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in0562\Downloads\"/>
    </mc:Choice>
  </mc:AlternateContent>
  <bookViews>
    <workbookView xWindow="0" yWindow="0" windowWidth="23040" windowHeight="8988" tabRatio="804" firstSheet="1" activeTab="1"/>
  </bookViews>
  <sheets>
    <sheet name="25Pivot" sheetId="16" state="hidden" r:id="rId1"/>
    <sheet name="26년 databook(취합)" sheetId="15" r:id="rId2"/>
    <sheet name="Sheet1" sheetId="23" r:id="rId3"/>
    <sheet name="수주리스트" sheetId="17" state="hidden" r:id="rId4"/>
    <sheet name="영업대표별" sheetId="18" r:id="rId5"/>
    <sheet name="팀연간" sheetId="19" r:id="rId6"/>
    <sheet name="HSM비교" sheetId="20" state="hidden" r:id="rId7"/>
    <sheet name="요약" sheetId="21" r:id="rId8"/>
    <sheet name="index" sheetId="3" r:id="rId9"/>
    <sheet name="검증용" sheetId="22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D" localSheetId="1" hidden="1">[1]FAB별!#REF!</definedName>
    <definedName name="__123Graph_D" localSheetId="6" hidden="1">[1]FAB별!#REF!</definedName>
    <definedName name="__123Graph_D" localSheetId="9" hidden="1">[1]FAB별!#REF!</definedName>
    <definedName name="__123Graph_D" localSheetId="4" hidden="1">[1]FAB별!#REF!</definedName>
    <definedName name="__123Graph_D" localSheetId="5" hidden="1">[1]FAB별!#REF!</definedName>
    <definedName name="__123Graph_D" hidden="1">[1]FAB별!#REF!</definedName>
    <definedName name="_xlnm._FilterDatabase" localSheetId="1" hidden="1">'26년 databook(취합)'!$A$23:$BF$727</definedName>
    <definedName name="_xlnm._FilterDatabase" localSheetId="9" hidden="1">검증용!$B$4:$L$281</definedName>
    <definedName name="_xlnm._FilterDatabase" localSheetId="3" hidden="1">수주리스트!$A$2:$Q$2</definedName>
    <definedName name="_xlnm._FilterDatabase" localSheetId="4" hidden="1">영업대표별!$B$5:$O$19</definedName>
    <definedName name="_Key1" localSheetId="1" hidden="1">#REF!</definedName>
    <definedName name="_Key1" localSheetId="6" hidden="1">#REF!</definedName>
    <definedName name="_Key1" localSheetId="9" hidden="1">#REF!</definedName>
    <definedName name="_Key1" localSheetId="4" hidden="1">#REF!</definedName>
    <definedName name="_Key1" localSheetId="5" hidden="1">#REF!</definedName>
    <definedName name="_Key1" hidden="1">#REF!</definedName>
    <definedName name="_Key2" localSheetId="1" hidden="1">#REF!</definedName>
    <definedName name="_Key2" localSheetId="6" hidden="1">#REF!</definedName>
    <definedName name="_Key2" localSheetId="9" hidden="1">#REF!</definedName>
    <definedName name="_Key2" localSheetId="4" hidden="1">#REF!</definedName>
    <definedName name="_Key2" localSheetId="5" hidden="1">#REF!</definedName>
    <definedName name="_Key2" hidden="1">#REF!</definedName>
    <definedName name="_Sort" localSheetId="1" hidden="1">#REF!</definedName>
    <definedName name="_Sort" localSheetId="6" hidden="1">#REF!</definedName>
    <definedName name="_Sort" localSheetId="9" hidden="1">#REF!</definedName>
    <definedName name="_Sort" localSheetId="4" hidden="1">#REF!</definedName>
    <definedName name="_Sort" localSheetId="5" hidden="1">#REF!</definedName>
    <definedName name="_Sort" hidden="1">#REF!</definedName>
    <definedName name="B" localSheetId="1">'[2]2006상반기'!#REF!</definedName>
    <definedName name="B" localSheetId="6">'[2]2006상반기'!#REF!</definedName>
    <definedName name="B" localSheetId="4">'[2]2006상반기'!#REF!</definedName>
    <definedName name="B" localSheetId="5">'[2]2006상반기'!#REF!</definedName>
    <definedName name="B">'[2]2006상반기'!#REF!</definedName>
    <definedName name="M" localSheetId="1">'[2]2006상반기'!#REF!</definedName>
    <definedName name="M" localSheetId="6">'[2]2006상반기'!#REF!</definedName>
    <definedName name="M" localSheetId="4">'[2]2006상반기'!#REF!</definedName>
    <definedName name="M" localSheetId="5">'[2]2006상반기'!#REF!</definedName>
    <definedName name="M">'[2]2006상반기'!#REF!</definedName>
    <definedName name="Z_020F00EB_B223_4F72_819B_3C7876A1699D_.wvu.FilterData" localSheetId="3" hidden="1">수주리스트!$A$2:$P$2</definedName>
    <definedName name="Z_046A2F7C_C712_4710_8524_933FD8F5AE34_.wvu.FilterData" localSheetId="3" hidden="1">수주리스트!$A$2:$Q$2</definedName>
    <definedName name="Z_0558EC69_BD94_426B_B479_82BA1E9FA3B6_.wvu.FilterData" localSheetId="3" hidden="1">수주리스트!$A$2:$P$191</definedName>
    <definedName name="Z_09AA4736_135D_44B6_86A1_02C12891717F_.wvu.FilterData" localSheetId="3" hidden="1">수주리스트!$A$2:$P$187</definedName>
    <definedName name="Z_0C8D3979_BCAC_404C_847D_916B3B5834FC_.wvu.FilterData" localSheetId="3" hidden="1">수주리스트!$A$2:$Q$2</definedName>
    <definedName name="Z_1A28532A_2F90_4B2C_9804_E4456D4D40BD_.wvu.FilterData" localSheetId="3" hidden="1">수주리스트!$A$2:$P$2</definedName>
    <definedName name="Z_1BDF2538_DDBC_4103_BBF4_8330D7CE5EF9_.wvu.FilterData" localSheetId="3" hidden="1">수주리스트!$A$2:$P$2</definedName>
    <definedName name="Z_1EE50A5D_E8E6_4E45_9020_BB7C58782EA4_.wvu.FilterData" localSheetId="3" hidden="1">수주리스트!$A$2:$Q$179</definedName>
    <definedName name="Z_24A8D3B4_3B3F_4558_A16B_F9394B998777_.wvu.FilterData" localSheetId="3" hidden="1">수주리스트!$A$2:$P$187</definedName>
    <definedName name="Z_2955675C_B699_4D6D_9C70_2B97BB671231_.wvu.FilterData" localSheetId="3" hidden="1">수주리스트!$A$2:$P$241</definedName>
    <definedName name="Z_3327F503_DDCE_4133_8A6A_679EF464C687_.wvu.FilterData" localSheetId="3" hidden="1">수주리스트!$A$2:$Q$217</definedName>
    <definedName name="Z_3C1F3C34_3F0E_4A69_9286_5B59D2236301_.wvu.FilterData" localSheetId="3" hidden="1">수주리스트!$A$2:$P$187</definedName>
    <definedName name="Z_3FA97EEF_14AC_4845_9EFD_1D6A532E2E56_.wvu.FilterData" localSheetId="3" hidden="1">수주리스트!$A$2:$P$241</definedName>
    <definedName name="Z_40BCC7E8_900D_482C_9F8B_6714BA32B597_.wvu.FilterData" localSheetId="3" hidden="1">수주리스트!$A$2:$P$2</definedName>
    <definedName name="Z_43C4D0AE_A487_432B_BCD1_08E972F1F293_.wvu.FilterData" localSheetId="3" hidden="1">수주리스트!$A$2:$P$241</definedName>
    <definedName name="Z_49FF05CC_677F_446B_A36C_DC03BFFF6C80_.wvu.FilterData" localSheetId="3" hidden="1">수주리스트!$A$2:$P$241</definedName>
    <definedName name="Z_532EBFBA_2E15_4DAC_ACFD_DD7BD552C967_.wvu.FilterData" localSheetId="3" hidden="1">수주리스트!$A$2:$P$241</definedName>
    <definedName name="Z_5EFE4827_A7D2_4BB1_A204_8F4861272F63_.wvu.FilterData" localSheetId="3" hidden="1">수주리스트!$A$2:$Q$210</definedName>
    <definedName name="Z_5F370A8F_6802_4ADF_9879_FDC5D5E72F9F_.wvu.FilterData" localSheetId="3" hidden="1">수주리스트!$A$2:$P$241</definedName>
    <definedName name="Z_6933E255_3D7E_480C_9E62_A807B032B028_.wvu.FilterData" localSheetId="3" hidden="1">수주리스트!$A$2:$Q$210</definedName>
    <definedName name="Z_6BDC4621_6094_4D3A_9766_691CC1F71A1A_.wvu.FilterData" localSheetId="3" hidden="1">수주리스트!$A$2:$P$241</definedName>
    <definedName name="Z_6D743646_AA2C_4069_B3D9_60B7960EE434_.wvu.FilterData" localSheetId="3" hidden="1">수주리스트!$A$2:$Q$236</definedName>
    <definedName name="Z_727DA35F_5151_4827_AA35_50C4B78C721E_.wvu.FilterData" localSheetId="3" hidden="1">수주리스트!$A$2:$P$241</definedName>
    <definedName name="Z_76C9CA4A_DF7F_4655_82EB_4E66403B7229_.wvu.FilterData" localSheetId="3" hidden="1">수주리스트!$A$2:$Q$2</definedName>
    <definedName name="Z_77AE410B_6373_4868_A7DC_4B51D42AA71A_.wvu.FilterData" localSheetId="3" hidden="1">수주리스트!$A$2:$Q$2</definedName>
    <definedName name="Z_89958951_2834_4314_B08C_655E9B5DDD6D_.wvu.FilterData" localSheetId="3" hidden="1">수주리스트!$A$2:$P$241</definedName>
    <definedName name="Z_8A00F7CF_7B88_47A1_9EC5_FA32B3F897C1_.wvu.FilterData" localSheetId="3" hidden="1">수주리스트!$A$2:$P$241</definedName>
    <definedName name="Z_8CC6EF8E_CDFD_4D24_B520_C8BDAC35CEF4_.wvu.FilterData" localSheetId="3" hidden="1">수주리스트!$A$2:$P$2</definedName>
    <definedName name="Z_9249A29B_099E_4C37_9372_755534B15205_.wvu.FilterData" localSheetId="3" hidden="1">수주리스트!$A$2:$Q$2</definedName>
    <definedName name="Z_93A66725_2AFC_45C6_B99D_D7F87B600BA3_.wvu.FilterData" localSheetId="3" hidden="1">수주리스트!$A$2:$Q$2</definedName>
    <definedName name="Z_9430C7A3_645A_4B88_B9E9_E6B71D93BCDA_.wvu.FilterData" localSheetId="3" hidden="1">수주리스트!$A$2:$Q$172</definedName>
    <definedName name="Z_97749649_0D2F_4E70_9627_5841233CAC9A_.wvu.FilterData" localSheetId="3" hidden="1">수주리스트!$A$2:$P$2</definedName>
    <definedName name="Z_9B19916F_7863_45E6_8028_257A374CF2CD_.wvu.FilterData" localSheetId="3" hidden="1">수주리스트!$A$2:$Q$172</definedName>
    <definedName name="Z_9B235D82_C5FA_491C_BA76_50E437197E34_.wvu.FilterData" localSheetId="3" hidden="1">수주리스트!$A$2:$P$241</definedName>
    <definedName name="Z_9C1124F3_9586_45BB_ABD9_BB871A2407E6_.wvu.FilterData" localSheetId="3" hidden="1">수주리스트!$A$2:$Q$2</definedName>
    <definedName name="Z_9CE03105_5E98_46EC_B6C1_D41BE9CDF040_.wvu.FilterData" localSheetId="3" hidden="1">수주리스트!$A$2:$Q$179</definedName>
    <definedName name="Z_9D86325C_FD45_4F3E_9BC5_FA3D1F21D1B6_.wvu.FilterData" localSheetId="3" hidden="1">수주리스트!$A$2:$Q$95</definedName>
    <definedName name="Z_9FD17CE6_6F2C_4139_A4B4_4C736B16BB2D_.wvu.FilterData" localSheetId="3" hidden="1">수주리스트!$A$2:$Q$210</definedName>
    <definedName name="Z_A0FFF521_1D28_474D_A145_DE326A4E7800_.wvu.FilterData" localSheetId="3" hidden="1">수주리스트!$A$2:$P$2</definedName>
    <definedName name="Z_A5F1E428_C921_4771_902B_B4D283DB34B8_.wvu.FilterData" localSheetId="3" hidden="1">수주리스트!$A$2:$Q$2</definedName>
    <definedName name="Z_B1314291_E0E8_4C22_827A_020DCEBDEF2F_.wvu.FilterData" localSheetId="3" hidden="1">수주리스트!$A$2:$Q$2</definedName>
    <definedName name="Z_B3C574CB_8E05_4CFD_906C_46D0664C632A_.wvu.FilterData" localSheetId="3" hidden="1">수주리스트!$A$2:$P$2</definedName>
    <definedName name="Z_B491B7F6_8BA0_4823_AE0A_7833BC6A03C1_.wvu.FilterData" localSheetId="3" hidden="1">수주리스트!$A$2:$Q$2</definedName>
    <definedName name="Z_B69E4F81_0B58_4D9D_A3C8_C7CA15D6393E_.wvu.FilterData" localSheetId="3" hidden="1">수주리스트!$A$2:$Q$2</definedName>
    <definedName name="Z_BA1D6D3D_FD9E_4CE1_8651_643CF4974DF4_.wvu.FilterData" localSheetId="3" hidden="1">수주리스트!$A$2:$Q$210</definedName>
    <definedName name="Z_BC7A0F4A_8E4B_422F_9CFC_1C02AC098A9C_.wvu.FilterData" localSheetId="3" hidden="1">수주리스트!$A$2:$P$241</definedName>
    <definedName name="Z_BF960FA2_CA24_4531_B95E_945487CF49A3_.wvu.FilterData" localSheetId="3" hidden="1">수주리스트!$A$2:$P$241</definedName>
    <definedName name="Z_C3D80D2B_887C_42A0_927E_9D7C609BA81D_.wvu.FilterData" localSheetId="3" hidden="1">수주리스트!$A$2:$Q$210</definedName>
    <definedName name="Z_C92751C5_90AB_4D88_99BA_A8329A421C35_.wvu.FilterData" localSheetId="3" hidden="1">수주리스트!$A$2:$Q$2</definedName>
    <definedName name="Z_CA54F526_7713_4B2A_A675_ABC88DC7E965_.wvu.FilterData" localSheetId="3" hidden="1">수주리스트!$A$2:$Q$236</definedName>
    <definedName name="Z_CB0A190F_B942_4939_81D2_02122D97D301_.wvu.FilterData" localSheetId="3" hidden="1">수주리스트!$A$2:$P$187</definedName>
    <definedName name="Z_D497E945_13ED_4CBD_9F19_A4120E917C81_.wvu.FilterData" localSheetId="3" hidden="1">수주리스트!$A$2:$Q$2</definedName>
    <definedName name="Z_DA751DD4_1B8B_4702_ADBB_BD4D5F6EE15E_.wvu.FilterData" localSheetId="3" hidden="1">수주리스트!$A$2:$Q$172</definedName>
    <definedName name="Z_DA7EBA83_EA2E_4E7F_839E_4B2460EF9EDD_.wvu.FilterData" localSheetId="3" hidden="1">수주리스트!$A$2:$P$2</definedName>
    <definedName name="Z_DE302310_B2ED_41A9_B92C_EA5EDE0E04B6_.wvu.FilterData" localSheetId="3" hidden="1">수주리스트!$A$2:$P$241</definedName>
    <definedName name="Z_DED32894_0B42_4E03_A585_160DF8DB9E48_.wvu.FilterData" localSheetId="3" hidden="1">수주리스트!$A$2:$P$2</definedName>
    <definedName name="Z_E3131E3E_C8BA_4A05_8AB1_123A18ACEA7E_.wvu.FilterData" localSheetId="3" hidden="1">수주리스트!$A$2:$P$241</definedName>
    <definedName name="Z_E3BE9855_76F3_4A7F_AE5A_BB32A70E788D_.wvu.FilterData" localSheetId="3" hidden="1">수주리스트!$A$2:$Q$2</definedName>
    <definedName name="Z_E9920B5C_63CF_4EBF_B42A_32CA3F58B57A_.wvu.FilterData" localSheetId="3" hidden="1">수주리스트!$A$2:$P$236</definedName>
    <definedName name="Z_EA16B2FE_F661_4DBD_B703_4BAA1B2383F5_.wvu.FilterData" localSheetId="3" hidden="1">수주리스트!$A$2:$P$172</definedName>
    <definedName name="Z_EACDD70F_B1F7_4DCC_858A_EFB7FDEA254F_.wvu.FilterData" localSheetId="3" hidden="1">수주리스트!$A$2:$P$2</definedName>
    <definedName name="Z_EBDF8CB3_EDDF_41EB_9F91_3910A78C1B24_.wvu.FilterData" localSheetId="3" hidden="1">수주리스트!$A$2:$Q$2</definedName>
    <definedName name="Z_EE9835C8_61F1_4A3E_B42C_A29156E0E327_.wvu.FilterData" localSheetId="3" hidden="1">수주리스트!$A$2:$P$2</definedName>
    <definedName name="Z_EFF9D4B0_D4CF_4333_BBBE_7470A3FB2FF2_.wvu.FilterData" localSheetId="3" hidden="1">수주리스트!$A$2:$P$195</definedName>
    <definedName name="Z_F0776CFE_6620_41AC_B2C5_1075E88B3AE6_.wvu.FilterData" localSheetId="3" hidden="1">수주리스트!$A$2:$P$2</definedName>
    <definedName name="Z_F8767275_16B9_44A7_983F_4AB7B4D356D5_.wvu.FilterData" localSheetId="3" hidden="1">수주리스트!$A$2:$Q$2</definedName>
    <definedName name="Z_FCC74098_0A58_4645_927D_7105D834F141_.wvu.FilterData" localSheetId="3" hidden="1">수주리스트!$A$2:$Q$107</definedName>
    <definedName name="계약단위">[3]Index.!$G$2:$G$4</definedName>
    <definedName name="고객사" localSheetId="1">'[2]2006상반기'!#REF!</definedName>
    <definedName name="고객사" localSheetId="6">'[2]2006상반기'!#REF!</definedName>
    <definedName name="고객사" localSheetId="4">'[2]2006상반기'!#REF!</definedName>
    <definedName name="고객사" localSheetId="5">'[2]2006상반기'!#REF!</definedName>
    <definedName name="고객사">'[2]2006상반기'!#REF!</definedName>
    <definedName name="기업분류" localSheetId="1">'[2]2006상반기'!#REF!</definedName>
    <definedName name="기업분류" localSheetId="6">'[2]2006상반기'!#REF!</definedName>
    <definedName name="기업분류" localSheetId="4">'[2]2006상반기'!#REF!</definedName>
    <definedName name="기업분류" localSheetId="5">'[2]2006상반기'!#REF!</definedName>
    <definedName name="기업분류">'[2]2006상반기'!#REF!</definedName>
    <definedName name="기업순위" localSheetId="1">'[2]2006상반기'!#REF!</definedName>
    <definedName name="기업순위" localSheetId="6">'[2]2006상반기'!#REF!</definedName>
    <definedName name="기업순위" localSheetId="4">'[2]2006상반기'!#REF!</definedName>
    <definedName name="기업순위" localSheetId="5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6">'[2]2006상반기'!#REF!</definedName>
    <definedName name="ㅁ" localSheetId="4">'[2]2006상반기'!#REF!</definedName>
    <definedName name="ㅁ" localSheetId="5">'[2]2006상반기'!#REF!</definedName>
    <definedName name="ㅁ">'[2]2006상반기'!#REF!</definedName>
    <definedName name="ㅁㄴㅇㄹㅇㅁㄴ" localSheetId="1" hidden="1">#REF!</definedName>
    <definedName name="ㅁㄴㅇㄹㅇㅁㄴ" localSheetId="6" hidden="1">#REF!</definedName>
    <definedName name="ㅁㄴㅇㄹㅇㅁㄴ" localSheetId="9" hidden="1">#REF!</definedName>
    <definedName name="ㅁㄴㅇㄹㅇㅁㄴ" localSheetId="4" hidden="1">#REF!</definedName>
    <definedName name="ㅁㄴㅇㄹㅇㅁㄴ" localSheetId="5" hidden="1">#REF!</definedName>
    <definedName name="ㅁㄴㅇㄹㅇㅁㄴ" hidden="1">#REF!</definedName>
    <definedName name="매출" localSheetId="1">'[2]2006상반기'!#REF!</definedName>
    <definedName name="매출" localSheetId="6">'[2]2006상반기'!#REF!</definedName>
    <definedName name="매출" localSheetId="4">'[2]2006상반기'!#REF!</definedName>
    <definedName name="매출" localSheetId="5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6">'[2]2006상반기'!#REF!</definedName>
    <definedName name="산업분류" localSheetId="4">'[2]2006상반기'!#REF!</definedName>
    <definedName name="산업분류" localSheetId="5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6" hidden="1">#REF!</definedName>
    <definedName name="ㅇㄴㄹㅇㄴ" localSheetId="9" hidden="1">#REF!</definedName>
    <definedName name="ㅇㄴㄹㅇㄴ" localSheetId="4" hidden="1">#REF!</definedName>
    <definedName name="ㅇㄴㄹㅇㄴ" localSheetId="5" hidden="1">#REF!</definedName>
    <definedName name="ㅇㄴㄹㅇㄴ" hidden="1">#REF!</definedName>
    <definedName name="ㅇㄹㄴㅇㅁ" localSheetId="1" hidden="1">#REF!</definedName>
    <definedName name="ㅇㄹㄴㅇㅁ" localSheetId="6" hidden="1">#REF!</definedName>
    <definedName name="ㅇㄹㄴㅇㅁ" localSheetId="9" hidden="1">#REF!</definedName>
    <definedName name="ㅇㄹㄴㅇㅁ" localSheetId="4" hidden="1">#REF!</definedName>
    <definedName name="ㅇㄹㄴㅇㅁ" localSheetId="5" hidden="1">#REF!</definedName>
    <definedName name="ㅇㄹㄴㅇㅁ" hidden="1">#REF!</definedName>
    <definedName name="ㅇㅇ" localSheetId="1">#REF!</definedName>
    <definedName name="ㅇㅇ" localSheetId="6">#REF!</definedName>
    <definedName name="ㅇㅇ" localSheetId="9">#REF!</definedName>
    <definedName name="ㅇㅇ" localSheetId="4">#REF!</definedName>
    <definedName name="ㅇㅇ" localSheetId="5">#REF!</definedName>
    <definedName name="ㅇㅇ">#REF!</definedName>
    <definedName name="영업대표" localSheetId="1">'[2]2006상반기'!#REF!</definedName>
    <definedName name="영업대표" localSheetId="6">'[2]2006상반기'!#REF!</definedName>
    <definedName name="영업대표" localSheetId="4">'[2]2006상반기'!#REF!</definedName>
    <definedName name="영업대표" localSheetId="5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6">'[2]2006상반기'!#REF!</definedName>
    <definedName name="인아웃" localSheetId="4">'[2]2006상반기'!#REF!</definedName>
    <definedName name="인아웃" localSheetId="5">'[2]2006상반기'!#REF!</definedName>
    <definedName name="인아웃">'[2]2006상반기'!#REF!</definedName>
    <definedName name="ㅈ" localSheetId="1">'[2]2006상반기'!#REF!</definedName>
    <definedName name="ㅈ" localSheetId="6">'[2]2006상반기'!#REF!</definedName>
    <definedName name="ㅈ" localSheetId="4">'[2]2006상반기'!#REF!</definedName>
    <definedName name="ㅈ" localSheetId="5">'[2]2006상반기'!#REF!</definedName>
    <definedName name="ㅈ">'[2]2006상반기'!#REF!</definedName>
  </definedNames>
  <calcPr calcId="162913"/>
  <pivotCaches>
    <pivotCache cacheId="0" r:id="rId26"/>
    <pivotCache cacheId="1" r:id="rId27"/>
    <pivotCache cacheId="2" r:id="rId2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3" i="15" l="1"/>
  <c r="AE63" i="15" s="1"/>
  <c r="AC36" i="15"/>
  <c r="AE36" i="15" s="1"/>
  <c r="AC25" i="15" l="1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24" i="15"/>
  <c r="AE24" i="15" s="1"/>
  <c r="AM22" i="15" l="1"/>
  <c r="A22" i="15" l="1"/>
  <c r="P8" i="19" l="1"/>
  <c r="X22" i="15" l="1"/>
  <c r="W22" i="15"/>
  <c r="AC22" i="15" l="1"/>
  <c r="R8" i="19"/>
  <c r="M7" i="18" l="1"/>
  <c r="M8" i="18"/>
  <c r="M9" i="18"/>
  <c r="M10" i="18"/>
  <c r="M11" i="18"/>
  <c r="M12" i="18"/>
  <c r="M13" i="18"/>
  <c r="M14" i="18"/>
  <c r="M15" i="18"/>
  <c r="M6" i="18"/>
  <c r="J17" i="18"/>
  <c r="M17" i="18" s="1"/>
  <c r="D13" i="22" l="1"/>
  <c r="D281" i="22" l="1"/>
  <c r="C281" i="22"/>
  <c r="B281" i="22"/>
  <c r="D280" i="22"/>
  <c r="C280" i="22"/>
  <c r="B280" i="22"/>
  <c r="D279" i="22"/>
  <c r="C279" i="22"/>
  <c r="B279" i="22"/>
  <c r="D278" i="22"/>
  <c r="C278" i="22"/>
  <c r="B278" i="22"/>
  <c r="D277" i="22"/>
  <c r="C277" i="22"/>
  <c r="B277" i="22"/>
  <c r="D276" i="22"/>
  <c r="C276" i="22"/>
  <c r="B276" i="22"/>
  <c r="D275" i="22"/>
  <c r="C275" i="22"/>
  <c r="B275" i="22"/>
  <c r="D274" i="22"/>
  <c r="C274" i="22"/>
  <c r="B274" i="22"/>
  <c r="D273" i="22"/>
  <c r="C273" i="22"/>
  <c r="B273" i="22"/>
  <c r="D272" i="22"/>
  <c r="C272" i="22"/>
  <c r="B272" i="22"/>
  <c r="D271" i="22"/>
  <c r="C271" i="22"/>
  <c r="B271" i="22"/>
  <c r="D270" i="22"/>
  <c r="C270" i="22"/>
  <c r="B270" i="22"/>
  <c r="D269" i="22"/>
  <c r="C269" i="22"/>
  <c r="B269" i="22"/>
  <c r="D268" i="22"/>
  <c r="C268" i="22"/>
  <c r="B268" i="22"/>
  <c r="D267" i="22"/>
  <c r="C267" i="22"/>
  <c r="B267" i="22"/>
  <c r="D266" i="22"/>
  <c r="C266" i="22"/>
  <c r="B266" i="22"/>
  <c r="D265" i="22"/>
  <c r="C265" i="22"/>
  <c r="B265" i="22"/>
  <c r="D264" i="22"/>
  <c r="C264" i="22"/>
  <c r="B264" i="22"/>
  <c r="D263" i="22"/>
  <c r="C263" i="22"/>
  <c r="B263" i="22"/>
  <c r="D262" i="22"/>
  <c r="C262" i="22"/>
  <c r="B262" i="22"/>
  <c r="D261" i="22"/>
  <c r="C261" i="22"/>
  <c r="B261" i="22"/>
  <c r="D260" i="22"/>
  <c r="C260" i="22"/>
  <c r="B260" i="22"/>
  <c r="D259" i="22"/>
  <c r="C259" i="22"/>
  <c r="B259" i="22"/>
  <c r="D258" i="22"/>
  <c r="C258" i="22"/>
  <c r="B258" i="22"/>
  <c r="D257" i="22"/>
  <c r="C257" i="22"/>
  <c r="B257" i="22"/>
  <c r="D256" i="22"/>
  <c r="C256" i="22"/>
  <c r="B256" i="22"/>
  <c r="D255" i="22"/>
  <c r="C255" i="22"/>
  <c r="B255" i="22"/>
  <c r="D254" i="22"/>
  <c r="C254" i="22"/>
  <c r="B254" i="22"/>
  <c r="D253" i="22"/>
  <c r="C253" i="22"/>
  <c r="B253" i="22"/>
  <c r="D252" i="22"/>
  <c r="C252" i="22"/>
  <c r="B252" i="22"/>
  <c r="D251" i="22"/>
  <c r="C251" i="22"/>
  <c r="B251" i="22"/>
  <c r="D250" i="22"/>
  <c r="C250" i="22"/>
  <c r="B250" i="22"/>
  <c r="D249" i="22"/>
  <c r="C249" i="22"/>
  <c r="B249" i="22"/>
  <c r="D248" i="22"/>
  <c r="C248" i="22"/>
  <c r="B248" i="22"/>
  <c r="D247" i="22"/>
  <c r="C247" i="22"/>
  <c r="B247" i="22"/>
  <c r="D246" i="22"/>
  <c r="C246" i="22"/>
  <c r="B246" i="22"/>
  <c r="D245" i="22"/>
  <c r="C245" i="22"/>
  <c r="B245" i="22"/>
  <c r="D244" i="22"/>
  <c r="C244" i="22"/>
  <c r="B244" i="22"/>
  <c r="D243" i="22"/>
  <c r="C243" i="22"/>
  <c r="B243" i="22"/>
  <c r="D242" i="22"/>
  <c r="C242" i="22"/>
  <c r="B242" i="22"/>
  <c r="D241" i="22"/>
  <c r="C241" i="22"/>
  <c r="B241" i="22"/>
  <c r="D240" i="22"/>
  <c r="C240" i="22"/>
  <c r="B240" i="22"/>
  <c r="D239" i="22"/>
  <c r="C239" i="22"/>
  <c r="B239" i="22"/>
  <c r="D238" i="22"/>
  <c r="C238" i="22"/>
  <c r="B238" i="22"/>
  <c r="D237" i="22"/>
  <c r="C237" i="22"/>
  <c r="B237" i="22"/>
  <c r="D236" i="22"/>
  <c r="C236" i="22"/>
  <c r="B236" i="22"/>
  <c r="D235" i="22"/>
  <c r="C235" i="22"/>
  <c r="B235" i="22"/>
  <c r="D234" i="22"/>
  <c r="C234" i="22"/>
  <c r="B234" i="22"/>
  <c r="D233" i="22"/>
  <c r="C233" i="22"/>
  <c r="B233" i="22"/>
  <c r="D232" i="22"/>
  <c r="C232" i="22"/>
  <c r="B232" i="22"/>
  <c r="D231" i="22"/>
  <c r="C231" i="22"/>
  <c r="B231" i="22"/>
  <c r="D230" i="22"/>
  <c r="C230" i="22"/>
  <c r="B230" i="22"/>
  <c r="D229" i="22"/>
  <c r="C229" i="22"/>
  <c r="B229" i="22"/>
  <c r="D228" i="22"/>
  <c r="C228" i="22"/>
  <c r="B228" i="22"/>
  <c r="D227" i="22"/>
  <c r="C227" i="22"/>
  <c r="B227" i="22"/>
  <c r="D226" i="22"/>
  <c r="C226" i="22"/>
  <c r="B226" i="22"/>
  <c r="D225" i="22"/>
  <c r="C225" i="22"/>
  <c r="B225" i="22"/>
  <c r="D224" i="22"/>
  <c r="C224" i="22"/>
  <c r="B224" i="22"/>
  <c r="D223" i="22"/>
  <c r="C223" i="22"/>
  <c r="B223" i="22"/>
  <c r="D222" i="22"/>
  <c r="C222" i="22"/>
  <c r="B222" i="22"/>
  <c r="D221" i="22"/>
  <c r="C221" i="22"/>
  <c r="B221" i="22"/>
  <c r="D220" i="22"/>
  <c r="C220" i="22"/>
  <c r="B220" i="22"/>
  <c r="D219" i="22"/>
  <c r="C219" i="22"/>
  <c r="B219" i="22"/>
  <c r="D218" i="22"/>
  <c r="C218" i="22"/>
  <c r="B218" i="22"/>
  <c r="D217" i="22"/>
  <c r="C217" i="22"/>
  <c r="B217" i="22"/>
  <c r="D216" i="22"/>
  <c r="C216" i="22"/>
  <c r="B216" i="22"/>
  <c r="D215" i="22"/>
  <c r="C215" i="22"/>
  <c r="B215" i="22"/>
  <c r="D214" i="22"/>
  <c r="C214" i="22"/>
  <c r="B214" i="22"/>
  <c r="D213" i="22"/>
  <c r="C213" i="22"/>
  <c r="B213" i="22"/>
  <c r="D212" i="22"/>
  <c r="C212" i="22"/>
  <c r="B212" i="22"/>
  <c r="D211" i="22"/>
  <c r="C211" i="22"/>
  <c r="B211" i="22"/>
  <c r="D210" i="22"/>
  <c r="C210" i="22"/>
  <c r="B210" i="22"/>
  <c r="D209" i="22"/>
  <c r="C209" i="22"/>
  <c r="B209" i="22"/>
  <c r="D208" i="22"/>
  <c r="C208" i="22"/>
  <c r="B208" i="22"/>
  <c r="D207" i="22"/>
  <c r="C207" i="22"/>
  <c r="B207" i="22"/>
  <c r="D206" i="22"/>
  <c r="C206" i="22"/>
  <c r="B206" i="22"/>
  <c r="D205" i="22"/>
  <c r="C205" i="22"/>
  <c r="B205" i="22"/>
  <c r="D204" i="22"/>
  <c r="C204" i="22"/>
  <c r="B204" i="22"/>
  <c r="D203" i="22"/>
  <c r="C203" i="22"/>
  <c r="B203" i="22"/>
  <c r="D202" i="22"/>
  <c r="C202" i="22"/>
  <c r="B202" i="22"/>
  <c r="D201" i="22"/>
  <c r="C201" i="22"/>
  <c r="B201" i="22"/>
  <c r="D200" i="22"/>
  <c r="C200" i="22"/>
  <c r="B200" i="22"/>
  <c r="D199" i="22"/>
  <c r="C199" i="22"/>
  <c r="B199" i="22"/>
  <c r="D198" i="22"/>
  <c r="C198" i="22"/>
  <c r="B198" i="22"/>
  <c r="D197" i="22"/>
  <c r="C197" i="22"/>
  <c r="B197" i="22"/>
  <c r="D196" i="22"/>
  <c r="C196" i="22"/>
  <c r="B196" i="22"/>
  <c r="D195" i="22"/>
  <c r="C195" i="22"/>
  <c r="B195" i="22"/>
  <c r="D194" i="22"/>
  <c r="C194" i="22"/>
  <c r="B194" i="22"/>
  <c r="D193" i="22"/>
  <c r="C193" i="22"/>
  <c r="B193" i="22"/>
  <c r="D192" i="22"/>
  <c r="C192" i="22"/>
  <c r="B192" i="22"/>
  <c r="D191" i="22"/>
  <c r="C191" i="22"/>
  <c r="B191" i="22"/>
  <c r="D190" i="22"/>
  <c r="C190" i="22"/>
  <c r="B190" i="22"/>
  <c r="D189" i="22"/>
  <c r="C189" i="22"/>
  <c r="B189" i="22"/>
  <c r="D188" i="22"/>
  <c r="C188" i="22"/>
  <c r="B188" i="22"/>
  <c r="D187" i="22"/>
  <c r="C187" i="22"/>
  <c r="B187" i="22"/>
  <c r="D186" i="22"/>
  <c r="C186" i="22"/>
  <c r="B186" i="22"/>
  <c r="D185" i="22"/>
  <c r="C185" i="22"/>
  <c r="B185" i="22"/>
  <c r="D184" i="22"/>
  <c r="C184" i="22"/>
  <c r="B184" i="22"/>
  <c r="D183" i="22"/>
  <c r="C183" i="22"/>
  <c r="B183" i="22"/>
  <c r="D182" i="22"/>
  <c r="C182" i="22"/>
  <c r="B182" i="22"/>
  <c r="D181" i="22"/>
  <c r="C181" i="22"/>
  <c r="B181" i="22"/>
  <c r="D180" i="22"/>
  <c r="C180" i="22"/>
  <c r="B180" i="22"/>
  <c r="D179" i="22"/>
  <c r="C179" i="22"/>
  <c r="B179" i="22"/>
  <c r="D178" i="22"/>
  <c r="C178" i="22"/>
  <c r="B178" i="22"/>
  <c r="D177" i="22"/>
  <c r="C177" i="22"/>
  <c r="B177" i="22"/>
  <c r="D176" i="22"/>
  <c r="C176" i="22"/>
  <c r="B176" i="22"/>
  <c r="D175" i="22"/>
  <c r="C175" i="22"/>
  <c r="B175" i="22"/>
  <c r="D174" i="22"/>
  <c r="C174" i="22"/>
  <c r="B174" i="22"/>
  <c r="D173" i="22"/>
  <c r="C173" i="22"/>
  <c r="B173" i="22"/>
  <c r="D172" i="22"/>
  <c r="C172" i="22"/>
  <c r="B172" i="22"/>
  <c r="D171" i="22"/>
  <c r="C171" i="22"/>
  <c r="B171" i="22"/>
  <c r="D170" i="22"/>
  <c r="C170" i="22"/>
  <c r="B170" i="22"/>
  <c r="D169" i="22"/>
  <c r="C169" i="22"/>
  <c r="B169" i="22"/>
  <c r="D168" i="22"/>
  <c r="C168" i="22"/>
  <c r="B168" i="22"/>
  <c r="D167" i="22"/>
  <c r="C167" i="22"/>
  <c r="B167" i="22"/>
  <c r="D166" i="22"/>
  <c r="C166" i="22"/>
  <c r="B166" i="22"/>
  <c r="D165" i="22"/>
  <c r="C165" i="22"/>
  <c r="B165" i="22"/>
  <c r="D164" i="22"/>
  <c r="C164" i="22"/>
  <c r="B164" i="22"/>
  <c r="D163" i="22"/>
  <c r="C163" i="22"/>
  <c r="B163" i="22"/>
  <c r="D162" i="22"/>
  <c r="C162" i="22"/>
  <c r="B162" i="22"/>
  <c r="D161" i="22"/>
  <c r="C161" i="22"/>
  <c r="B161" i="22"/>
  <c r="D160" i="22"/>
  <c r="C160" i="22"/>
  <c r="B160" i="22"/>
  <c r="D159" i="22"/>
  <c r="C159" i="22"/>
  <c r="B159" i="22"/>
  <c r="D158" i="22"/>
  <c r="C158" i="22"/>
  <c r="B158" i="22"/>
  <c r="D157" i="22"/>
  <c r="C157" i="22"/>
  <c r="B157" i="22"/>
  <c r="D156" i="22"/>
  <c r="C156" i="22"/>
  <c r="B156" i="22"/>
  <c r="D155" i="22"/>
  <c r="C155" i="22"/>
  <c r="B155" i="22"/>
  <c r="D154" i="22"/>
  <c r="C154" i="22"/>
  <c r="B154" i="22"/>
  <c r="D153" i="22"/>
  <c r="C153" i="22"/>
  <c r="B153" i="22"/>
  <c r="D152" i="22"/>
  <c r="C152" i="22"/>
  <c r="B152" i="22"/>
  <c r="D151" i="22"/>
  <c r="C151" i="22"/>
  <c r="B151" i="22"/>
  <c r="D150" i="22"/>
  <c r="C150" i="22"/>
  <c r="B150" i="22"/>
  <c r="D149" i="22"/>
  <c r="C149" i="22"/>
  <c r="B149" i="22"/>
  <c r="D148" i="22"/>
  <c r="C148" i="22"/>
  <c r="B148" i="22"/>
  <c r="D147" i="22"/>
  <c r="C147" i="22"/>
  <c r="B147" i="22"/>
  <c r="D146" i="22"/>
  <c r="C146" i="22"/>
  <c r="B146" i="22"/>
  <c r="D145" i="22"/>
  <c r="C145" i="22"/>
  <c r="B145" i="22"/>
  <c r="D144" i="22"/>
  <c r="C144" i="22"/>
  <c r="B144" i="22"/>
  <c r="D143" i="22"/>
  <c r="C143" i="22"/>
  <c r="B143" i="22"/>
  <c r="D142" i="22"/>
  <c r="C142" i="22"/>
  <c r="B142" i="22"/>
  <c r="D141" i="22"/>
  <c r="C141" i="22"/>
  <c r="B141" i="22"/>
  <c r="D140" i="22"/>
  <c r="C140" i="22"/>
  <c r="B140" i="22"/>
  <c r="D139" i="22"/>
  <c r="C139" i="22"/>
  <c r="B139" i="22"/>
  <c r="D138" i="22"/>
  <c r="C138" i="22"/>
  <c r="B138" i="22"/>
  <c r="D137" i="22"/>
  <c r="C137" i="22"/>
  <c r="B137" i="22"/>
  <c r="D136" i="22"/>
  <c r="C136" i="22"/>
  <c r="B136" i="22"/>
  <c r="D135" i="22"/>
  <c r="C135" i="22"/>
  <c r="B135" i="22"/>
  <c r="D134" i="22"/>
  <c r="C134" i="22"/>
  <c r="B134" i="22"/>
  <c r="D133" i="22"/>
  <c r="C133" i="22"/>
  <c r="B133" i="22"/>
  <c r="D132" i="22"/>
  <c r="C132" i="22"/>
  <c r="B132" i="22"/>
  <c r="D131" i="22"/>
  <c r="C131" i="22"/>
  <c r="B131" i="22"/>
  <c r="D130" i="22"/>
  <c r="C130" i="22"/>
  <c r="B130" i="22"/>
  <c r="D129" i="22"/>
  <c r="C129" i="22"/>
  <c r="B129" i="22"/>
  <c r="D128" i="22"/>
  <c r="C128" i="22"/>
  <c r="B128" i="22"/>
  <c r="D127" i="22"/>
  <c r="C127" i="22"/>
  <c r="B127" i="22"/>
  <c r="D126" i="22"/>
  <c r="C126" i="22"/>
  <c r="B126" i="22"/>
  <c r="D125" i="22"/>
  <c r="C125" i="22"/>
  <c r="B125" i="22"/>
  <c r="D124" i="22"/>
  <c r="C124" i="22"/>
  <c r="B124" i="22"/>
  <c r="D123" i="22"/>
  <c r="C123" i="22"/>
  <c r="B123" i="22"/>
  <c r="D122" i="22"/>
  <c r="C122" i="22"/>
  <c r="B122" i="22"/>
  <c r="D121" i="22"/>
  <c r="C121" i="22"/>
  <c r="B121" i="22"/>
  <c r="D120" i="22"/>
  <c r="C120" i="22"/>
  <c r="B120" i="22"/>
  <c r="D119" i="22"/>
  <c r="C119" i="22"/>
  <c r="B119" i="22"/>
  <c r="D118" i="22"/>
  <c r="C118" i="22"/>
  <c r="B118" i="22"/>
  <c r="D117" i="22"/>
  <c r="C117" i="22"/>
  <c r="B117" i="22"/>
  <c r="D116" i="22"/>
  <c r="C116" i="22"/>
  <c r="B116" i="22"/>
  <c r="D115" i="22"/>
  <c r="C115" i="22"/>
  <c r="B115" i="22"/>
  <c r="D114" i="22"/>
  <c r="C114" i="22"/>
  <c r="B114" i="22"/>
  <c r="D113" i="22"/>
  <c r="C113" i="22"/>
  <c r="B113" i="22"/>
  <c r="D112" i="22"/>
  <c r="C112" i="22"/>
  <c r="B112" i="22"/>
  <c r="D111" i="22"/>
  <c r="C111" i="22"/>
  <c r="B111" i="22"/>
  <c r="D110" i="22"/>
  <c r="C110" i="22"/>
  <c r="B110" i="22"/>
  <c r="D109" i="22"/>
  <c r="C109" i="22"/>
  <c r="B109" i="22"/>
  <c r="D108" i="22"/>
  <c r="C108" i="22"/>
  <c r="B108" i="22"/>
  <c r="D107" i="22"/>
  <c r="C107" i="22"/>
  <c r="B107" i="22"/>
  <c r="D106" i="22"/>
  <c r="C106" i="22"/>
  <c r="B106" i="22"/>
  <c r="D105" i="22"/>
  <c r="C105" i="22"/>
  <c r="B105" i="22"/>
  <c r="D104" i="22"/>
  <c r="C104" i="22"/>
  <c r="B104" i="22"/>
  <c r="D103" i="22"/>
  <c r="C103" i="22"/>
  <c r="B103" i="22"/>
  <c r="D102" i="22"/>
  <c r="C102" i="22"/>
  <c r="B102" i="22"/>
  <c r="D101" i="22"/>
  <c r="C101" i="22"/>
  <c r="B101" i="22"/>
  <c r="D100" i="22"/>
  <c r="C100" i="22"/>
  <c r="B100" i="22"/>
  <c r="D99" i="22"/>
  <c r="C99" i="22"/>
  <c r="B99" i="22"/>
  <c r="D98" i="22"/>
  <c r="C98" i="22"/>
  <c r="B98" i="22"/>
  <c r="D97" i="22"/>
  <c r="C97" i="22"/>
  <c r="B97" i="22"/>
  <c r="D96" i="22"/>
  <c r="C96" i="22"/>
  <c r="B96" i="22"/>
  <c r="D95" i="22"/>
  <c r="C95" i="22"/>
  <c r="B95" i="22"/>
  <c r="D94" i="22"/>
  <c r="C94" i="22"/>
  <c r="B94" i="22"/>
  <c r="D93" i="22"/>
  <c r="C93" i="22"/>
  <c r="B93" i="22"/>
  <c r="D92" i="22"/>
  <c r="C92" i="22"/>
  <c r="B92" i="22"/>
  <c r="D91" i="22"/>
  <c r="C91" i="22"/>
  <c r="B91" i="22"/>
  <c r="D90" i="22"/>
  <c r="C90" i="22"/>
  <c r="B90" i="22"/>
  <c r="D89" i="22"/>
  <c r="C89" i="22"/>
  <c r="B89" i="22"/>
  <c r="D88" i="22"/>
  <c r="C88" i="22"/>
  <c r="B88" i="22"/>
  <c r="D87" i="22"/>
  <c r="C87" i="22"/>
  <c r="B87" i="22"/>
  <c r="D86" i="22"/>
  <c r="C86" i="22"/>
  <c r="B86" i="22"/>
  <c r="D85" i="22"/>
  <c r="C85" i="22"/>
  <c r="B85" i="22"/>
  <c r="D84" i="22"/>
  <c r="C84" i="22"/>
  <c r="B84" i="22"/>
  <c r="D83" i="22"/>
  <c r="C83" i="22"/>
  <c r="B83" i="22"/>
  <c r="D82" i="22"/>
  <c r="C82" i="22"/>
  <c r="B82" i="22"/>
  <c r="D81" i="22"/>
  <c r="C81" i="22"/>
  <c r="B81" i="22"/>
  <c r="D80" i="22"/>
  <c r="C80" i="22"/>
  <c r="B80" i="22"/>
  <c r="D79" i="22"/>
  <c r="C79" i="22"/>
  <c r="B79" i="22"/>
  <c r="D78" i="22"/>
  <c r="C78" i="22"/>
  <c r="B78" i="22"/>
  <c r="D77" i="22"/>
  <c r="C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D61" i="22"/>
  <c r="C61" i="22"/>
  <c r="B61" i="22"/>
  <c r="D60" i="22"/>
  <c r="C60" i="22"/>
  <c r="B60" i="22"/>
  <c r="D59" i="22"/>
  <c r="C59" i="22"/>
  <c r="B59" i="22"/>
  <c r="D58" i="22"/>
  <c r="C58" i="22"/>
  <c r="B58" i="22"/>
  <c r="D57" i="22"/>
  <c r="C57" i="22"/>
  <c r="B57" i="22"/>
  <c r="D56" i="22"/>
  <c r="C56" i="22"/>
  <c r="B56" i="22"/>
  <c r="D55" i="22"/>
  <c r="C55" i="22"/>
  <c r="B55" i="22"/>
  <c r="D54" i="22"/>
  <c r="C54" i="22"/>
  <c r="B54" i="22"/>
  <c r="D53" i="22"/>
  <c r="C53" i="22"/>
  <c r="B53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C46" i="22"/>
  <c r="B46" i="22"/>
  <c r="D45" i="22"/>
  <c r="C45" i="22"/>
  <c r="B45" i="22"/>
  <c r="D44" i="22"/>
  <c r="C44" i="22"/>
  <c r="B44" i="22"/>
  <c r="D43" i="22"/>
  <c r="C43" i="22"/>
  <c r="B43" i="22"/>
  <c r="D42" i="22"/>
  <c r="C42" i="22"/>
  <c r="B42" i="22"/>
  <c r="D41" i="22"/>
  <c r="C41" i="22"/>
  <c r="B41" i="22"/>
  <c r="D40" i="22"/>
  <c r="C40" i="22"/>
  <c r="B40" i="22"/>
  <c r="D39" i="22"/>
  <c r="C39" i="22"/>
  <c r="B39" i="22"/>
  <c r="D38" i="22"/>
  <c r="C38" i="22"/>
  <c r="B38" i="22"/>
  <c r="D37" i="22"/>
  <c r="C37" i="22"/>
  <c r="B37" i="22"/>
  <c r="D36" i="22"/>
  <c r="C36" i="22"/>
  <c r="B36" i="22"/>
  <c r="D35" i="22"/>
  <c r="C35" i="22"/>
  <c r="B35" i="22"/>
  <c r="D34" i="22"/>
  <c r="C34" i="22"/>
  <c r="B34" i="22"/>
  <c r="D33" i="22"/>
  <c r="C33" i="22"/>
  <c r="B33" i="22"/>
  <c r="D32" i="22"/>
  <c r="C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6" i="22"/>
  <c r="C16" i="22"/>
  <c r="B16" i="22"/>
  <c r="D15" i="22"/>
  <c r="C15" i="22"/>
  <c r="B15" i="22"/>
  <c r="D14" i="22"/>
  <c r="C14" i="22"/>
  <c r="B14" i="22"/>
  <c r="C13" i="22"/>
  <c r="B13" i="22"/>
  <c r="D12" i="22"/>
  <c r="C12" i="22"/>
  <c r="B12" i="22"/>
  <c r="D11" i="22"/>
  <c r="C11" i="22"/>
  <c r="B11" i="22"/>
  <c r="D10" i="22"/>
  <c r="C10" i="22"/>
  <c r="B10" i="22"/>
  <c r="D9" i="22"/>
  <c r="C9" i="22"/>
  <c r="B9" i="22"/>
  <c r="D8" i="22"/>
  <c r="C8" i="22"/>
  <c r="B8" i="22"/>
  <c r="D7" i="22"/>
  <c r="C7" i="22"/>
  <c r="B7" i="22"/>
  <c r="D6" i="22"/>
  <c r="C6" i="22"/>
  <c r="B6" i="22"/>
  <c r="D5" i="22"/>
  <c r="C5" i="22"/>
  <c r="B5" i="22"/>
  <c r="L3" i="22"/>
  <c r="K3" i="22"/>
  <c r="J3" i="22"/>
  <c r="H3" i="22"/>
  <c r="G3" i="22"/>
  <c r="F3" i="22"/>
  <c r="P10" i="19" l="1"/>
  <c r="E11" i="19"/>
  <c r="F11" i="19"/>
  <c r="G11" i="19"/>
  <c r="H11" i="19"/>
  <c r="I11" i="19"/>
  <c r="J11" i="19"/>
  <c r="K11" i="19"/>
  <c r="L11" i="19"/>
  <c r="M11" i="19"/>
  <c r="N11" i="19"/>
  <c r="O11" i="19"/>
  <c r="D11" i="19"/>
  <c r="P11" i="19" l="1"/>
  <c r="R11" i="19" s="1"/>
  <c r="AC5" i="15" l="1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N22" i="15"/>
  <c r="AL22" i="15"/>
  <c r="AK22" i="15"/>
  <c r="AI22" i="15"/>
  <c r="AH22" i="15"/>
  <c r="AG22" i="15"/>
  <c r="AF22" i="15"/>
  <c r="AD22" i="15"/>
  <c r="AE22" i="15" l="1"/>
  <c r="AC10" i="15"/>
  <c r="AJ22" i="15"/>
  <c r="P9" i="19"/>
  <c r="AC15" i="15" l="1"/>
  <c r="AC14" i="15"/>
  <c r="AC8" i="15" l="1"/>
  <c r="AC13" i="15" l="1"/>
  <c r="AC11" i="15"/>
  <c r="AC9" i="15"/>
  <c r="AC7" i="15"/>
  <c r="AC6" i="15"/>
  <c r="AC4" i="15" l="1"/>
  <c r="AC12" i="15" l="1"/>
  <c r="AC16" i="15" s="1"/>
  <c r="AD10" i="15"/>
  <c r="V22" i="15" l="1"/>
  <c r="U22" i="15"/>
  <c r="B1" i="3" l="1"/>
  <c r="AW15" i="20"/>
  <c r="AV15" i="20"/>
  <c r="AU15" i="20"/>
  <c r="AS15" i="20"/>
  <c r="AR15" i="20"/>
  <c r="AQ15" i="20"/>
  <c r="AO15" i="20"/>
  <c r="AN15" i="20"/>
  <c r="AM15" i="20"/>
  <c r="AK15" i="20"/>
  <c r="AJ15" i="20"/>
  <c r="AI15" i="20"/>
  <c r="AG15" i="20"/>
  <c r="AF15" i="20"/>
  <c r="AE15" i="20"/>
  <c r="AC15" i="20"/>
  <c r="AB15" i="20"/>
  <c r="AA15" i="20"/>
  <c r="Y15" i="20"/>
  <c r="X15" i="20"/>
  <c r="W15" i="20"/>
  <c r="U15" i="20"/>
  <c r="T15" i="20"/>
  <c r="S15" i="20"/>
  <c r="Q15" i="20"/>
  <c r="P15" i="20"/>
  <c r="O15" i="20"/>
  <c r="M15" i="20"/>
  <c r="L15" i="20"/>
  <c r="K15" i="20"/>
  <c r="I15" i="20"/>
  <c r="H15" i="20"/>
  <c r="G15" i="20"/>
  <c r="E15" i="20"/>
  <c r="D15" i="20"/>
  <c r="C15" i="20"/>
  <c r="I14" i="20"/>
  <c r="E14" i="20"/>
  <c r="AW13" i="20"/>
  <c r="AS13" i="20"/>
  <c r="AO13" i="20"/>
  <c r="AK13" i="20"/>
  <c r="AG13" i="20"/>
  <c r="AC13" i="20"/>
  <c r="Y13" i="20"/>
  <c r="U13" i="20"/>
  <c r="Q13" i="20"/>
  <c r="I13" i="20"/>
  <c r="E13" i="20"/>
  <c r="AW12" i="20"/>
  <c r="AS12" i="20"/>
  <c r="AO12" i="20"/>
  <c r="AK12" i="20"/>
  <c r="AG12" i="20"/>
  <c r="AC12" i="20"/>
  <c r="Y12" i="20"/>
  <c r="U12" i="20"/>
  <c r="Q12" i="20"/>
  <c r="I12" i="20"/>
  <c r="E12" i="20"/>
  <c r="AW11" i="20"/>
  <c r="AS11" i="20"/>
  <c r="AO11" i="20"/>
  <c r="AK11" i="20"/>
  <c r="AG11" i="20"/>
  <c r="AC11" i="20"/>
  <c r="Y11" i="20"/>
  <c r="U11" i="20"/>
  <c r="Q11" i="20"/>
  <c r="I11" i="20"/>
  <c r="E11" i="20"/>
  <c r="AW10" i="20"/>
  <c r="AS10" i="20"/>
  <c r="AO10" i="20"/>
  <c r="AK10" i="20"/>
  <c r="AG10" i="20"/>
  <c r="AC10" i="20"/>
  <c r="Y10" i="20"/>
  <c r="U10" i="20"/>
  <c r="Q10" i="20"/>
  <c r="I10" i="20"/>
  <c r="E10" i="20"/>
  <c r="AW9" i="20"/>
  <c r="AS9" i="20"/>
  <c r="AO9" i="20"/>
  <c r="AK9" i="20"/>
  <c r="AG9" i="20"/>
  <c r="AC9" i="20"/>
  <c r="Y9" i="20"/>
  <c r="U9" i="20"/>
  <c r="Q9" i="20"/>
  <c r="I9" i="20"/>
  <c r="E9" i="20"/>
  <c r="AW8" i="20"/>
  <c r="AS8" i="20"/>
  <c r="AO8" i="20"/>
  <c r="AK8" i="20"/>
  <c r="AG8" i="20"/>
  <c r="AC8" i="20"/>
  <c r="Y8" i="20"/>
  <c r="U8" i="20"/>
  <c r="Q8" i="20"/>
  <c r="I8" i="20"/>
  <c r="E8" i="20"/>
  <c r="AW7" i="20"/>
  <c r="AS7" i="20"/>
  <c r="AO7" i="20"/>
  <c r="AK7" i="20"/>
  <c r="AG7" i="20"/>
  <c r="AC7" i="20"/>
  <c r="Y7" i="20"/>
  <c r="U7" i="20"/>
  <c r="Q7" i="20"/>
  <c r="I7" i="20"/>
  <c r="E7" i="20"/>
  <c r="AW6" i="20"/>
  <c r="AS6" i="20"/>
  <c r="AO6" i="20"/>
  <c r="AK6" i="20"/>
  <c r="AG6" i="20"/>
  <c r="AC6" i="20"/>
  <c r="Y6" i="20"/>
  <c r="U6" i="20"/>
  <c r="Q6" i="20"/>
  <c r="I6" i="20"/>
  <c r="E6" i="20"/>
  <c r="AW5" i="20"/>
  <c r="AS5" i="20"/>
  <c r="AO5" i="20"/>
  <c r="AK5" i="20"/>
  <c r="AG5" i="20"/>
  <c r="AC5" i="20"/>
  <c r="Y5" i="20"/>
  <c r="U5" i="20"/>
  <c r="Q5" i="20"/>
  <c r="I5" i="20"/>
  <c r="E5" i="20"/>
  <c r="AW4" i="20"/>
  <c r="AS4" i="20"/>
  <c r="AO4" i="20"/>
  <c r="AK4" i="20"/>
  <c r="AG4" i="20"/>
  <c r="AC4" i="20"/>
  <c r="Y4" i="20"/>
  <c r="U4" i="20"/>
  <c r="Q4" i="20"/>
  <c r="I4" i="20"/>
  <c r="E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P6" i="19"/>
  <c r="L17" i="18"/>
  <c r="K17" i="18"/>
  <c r="Y16" i="18"/>
  <c r="X16" i="18"/>
  <c r="W16" i="18"/>
  <c r="T16" i="18"/>
  <c r="R16" i="18"/>
  <c r="O16" i="18"/>
  <c r="N16" i="18"/>
  <c r="T15" i="18"/>
  <c r="O15" i="18"/>
  <c r="N15" i="18"/>
  <c r="I15" i="18"/>
  <c r="T14" i="18"/>
  <c r="O14" i="18"/>
  <c r="N14" i="18"/>
  <c r="I14" i="18"/>
  <c r="T13" i="18"/>
  <c r="O13" i="18"/>
  <c r="N13" i="18"/>
  <c r="I13" i="18"/>
  <c r="T12" i="18"/>
  <c r="O12" i="18"/>
  <c r="N12" i="18"/>
  <c r="T11" i="18"/>
  <c r="O11" i="18"/>
  <c r="N11" i="18"/>
  <c r="I11" i="18"/>
  <c r="T10" i="18"/>
  <c r="O10" i="18"/>
  <c r="N10" i="18"/>
  <c r="I10" i="18"/>
  <c r="T9" i="18"/>
  <c r="O9" i="18"/>
  <c r="N9" i="18"/>
  <c r="I9" i="18"/>
  <c r="T8" i="18"/>
  <c r="O8" i="18"/>
  <c r="N8" i="18"/>
  <c r="I8" i="18"/>
  <c r="T7" i="18"/>
  <c r="O7" i="18"/>
  <c r="N7" i="18"/>
  <c r="I7" i="18"/>
  <c r="T6" i="18"/>
  <c r="O6" i="18"/>
  <c r="N6" i="18"/>
  <c r="I6" i="18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AD15" i="15"/>
  <c r="AD14" i="15"/>
  <c r="P7" i="19" l="1"/>
  <c r="R7" i="19" s="1"/>
  <c r="O17" i="18"/>
  <c r="I17" i="18"/>
  <c r="P15" i="19"/>
  <c r="P12" i="19"/>
  <c r="AD13" i="15"/>
  <c r="AD5" i="15"/>
  <c r="AD11" i="15"/>
  <c r="AD6" i="15"/>
  <c r="AD12" i="15"/>
  <c r="AD4" i="15"/>
  <c r="AD7" i="15"/>
  <c r="AD8" i="15"/>
  <c r="AD9" i="15"/>
  <c r="AD16" i="15" l="1"/>
</calcChain>
</file>

<file path=xl/comments1.xml><?xml version="1.0" encoding="utf-8"?>
<comments xmlns="http://schemas.openxmlformats.org/spreadsheetml/2006/main">
  <authors>
    <author>황동현</author>
    <author>임차미</author>
  </authors>
  <commentList>
    <comment ref="V282" authorId="0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  <comment ref="J366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J368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<sst xmlns="http://schemas.openxmlformats.org/spreadsheetml/2006/main" count="9729" uniqueCount="872">
  <si>
    <t>이재성</t>
  </si>
  <si>
    <t>송민지</t>
  </si>
  <si>
    <t>송승희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</si>
  <si>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</si>
  <si>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</si>
  <si>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</si>
  <si>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</si>
  <si>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</si>
  <si>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</si>
  <si>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</si>
  <si>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</si>
  <si>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</si>
  <si>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</si>
  <si>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</si>
  <si>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</si>
  <si>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</si>
  <si>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 xml:space="preserve">25년
확정/가망/기회 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</si>
  <si>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</si>
  <si>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</si>
  <si>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</si>
  <si>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</si>
  <si>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</si>
  <si>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</si>
  <si>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</si>
  <si>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</si>
  <si>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</si>
  <si>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</si>
  <si>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</si>
  <si>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</si>
  <si>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</si>
  <si>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</si>
  <si>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</si>
  <si>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</si>
  <si>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</si>
  <si>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</si>
  <si>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</si>
  <si>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</si>
  <si>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</si>
  <si>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</si>
  <si>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</si>
  <si>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</si>
  <si>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</si>
  <si>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</si>
  <si>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</si>
  <si>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</si>
  <si>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</si>
  <si>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</si>
  <si>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4. 하이브리드러닝 - 플립형</t>
  </si>
  <si>
    <t>26. 정부지원사업 - HRDFLEX</t>
  </si>
  <si>
    <t>통합위탁</t>
  </si>
  <si>
    <t>서대원</t>
  </si>
  <si>
    <t>경기도사회적경제원</t>
  </si>
  <si>
    <t>국민연금공단</t>
  </si>
  <si>
    <t>에스케이케미칼</t>
  </si>
  <si>
    <t>5. 하이브리드러닝 - 러닝저니</t>
  </si>
  <si>
    <t>방인혜</t>
  </si>
  <si>
    <t>04 실주</t>
  </si>
  <si>
    <t>현대중공업</t>
  </si>
  <si>
    <t>현대중공업터보기계</t>
  </si>
  <si>
    <t>KT</t>
  </si>
  <si>
    <t>34. 기타 - 전화외국어</t>
  </si>
  <si>
    <t>8. 리더스아카데미 - 리더스아카데미</t>
  </si>
  <si>
    <t>비아트리스</t>
  </si>
  <si>
    <t>삼양씨앤씨_부천지점</t>
  </si>
  <si>
    <t>삼지전자</t>
  </si>
  <si>
    <t>서울대학교</t>
  </si>
  <si>
    <t>솔루엠</t>
  </si>
  <si>
    <t>에드워드코리아</t>
  </si>
  <si>
    <t>에스에이엠티</t>
  </si>
  <si>
    <t>엘오티머트리얼즈</t>
  </si>
  <si>
    <t>한국니토옵티칼</t>
  </si>
  <si>
    <t>기업교육4팀</t>
  </si>
  <si>
    <t>(주)엘지화학대산공장</t>
  </si>
  <si>
    <t>한국가스안전공사</t>
  </si>
  <si>
    <t>한국보건복지인재원</t>
  </si>
  <si>
    <t>LXMDI</t>
  </si>
  <si>
    <t>금호건설</t>
  </si>
  <si>
    <t>분당서울대학교병원</t>
  </si>
  <si>
    <t>서울대학교병원</t>
  </si>
  <si>
    <t>LX 세미콘</t>
  </si>
  <si>
    <t>엘엑스벤처스</t>
  </si>
  <si>
    <t>엘엑스하우시스</t>
  </si>
  <si>
    <t>여신금융협회</t>
  </si>
  <si>
    <t>정보통신산업진흥원</t>
  </si>
  <si>
    <t>주식회사 경신</t>
  </si>
  <si>
    <t>코웨이 주식회사</t>
  </si>
  <si>
    <t>한국도로공사 인재개발원</t>
  </si>
  <si>
    <t>한국도로공사서비스</t>
  </si>
  <si>
    <t>23. 운영 - BPO</t>
  </si>
  <si>
    <t>한국서부발전주식회사</t>
  </si>
  <si>
    <t>한국전기안전공사</t>
  </si>
  <si>
    <t>금호석유화학</t>
  </si>
  <si>
    <t>기업교육2팀</t>
  </si>
  <si>
    <t>01 자체 LMS</t>
  </si>
  <si>
    <t>김도엽</t>
  </si>
  <si>
    <t>전보람</t>
  </si>
  <si>
    <t>HD현대마린솔루션</t>
  </si>
  <si>
    <t/>
  </si>
  <si>
    <t>02 경쟁사 LMS</t>
  </si>
  <si>
    <t>31. B2C - 일반과정</t>
  </si>
  <si>
    <t>황동현</t>
  </si>
  <si>
    <t>02 윈백</t>
  </si>
  <si>
    <t>김나리</t>
  </si>
  <si>
    <t>GC녹십자</t>
  </si>
  <si>
    <t>GC녹십자(MBA)</t>
  </si>
  <si>
    <t>GC녹십자(계층)</t>
  </si>
  <si>
    <t>경기도경제과학진흥원</t>
  </si>
  <si>
    <t>근로복지공단</t>
  </si>
  <si>
    <t>근로복지공단_요양부</t>
  </si>
  <si>
    <t>넥센타이어</t>
  </si>
  <si>
    <t>녹십자EM</t>
  </si>
  <si>
    <t>동국제약</t>
  </si>
  <si>
    <t>동서식품</t>
  </si>
  <si>
    <t>19. 솔루션 - 퀴즈앤</t>
  </si>
  <si>
    <t>소상공인시장진흥공단</t>
  </si>
  <si>
    <t>지씨셀</t>
  </si>
  <si>
    <t>콘티넨탈오토모티브코리아</t>
  </si>
  <si>
    <t>04 연장</t>
  </si>
  <si>
    <t>13. 솔루션 - 표준형 LABS</t>
  </si>
  <si>
    <t>강건모</t>
  </si>
  <si>
    <t>20. 솔루션 - AI교강사</t>
  </si>
  <si>
    <t>한국창업진흥원</t>
  </si>
  <si>
    <t>조미희</t>
  </si>
  <si>
    <t>HD현대일렉트릭</t>
  </si>
  <si>
    <t>한국발전인재개발원</t>
  </si>
  <si>
    <t>한국중부발전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</si>
  <si>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</si>
  <si>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</si>
  <si>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</si>
  <si>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</si>
  <si>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</si>
  <si>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</si>
  <si>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</si>
  <si>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</si>
  <si>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</si>
  <si>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</si>
  <si>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</si>
  <si>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</si>
  <si>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서동윤</t>
  </si>
  <si>
    <t>SM그룹</t>
  </si>
  <si>
    <t>국립중앙의료원</t>
  </si>
  <si>
    <t>국립중앙의료원(공공보건의료교육훈련센터)</t>
  </si>
  <si>
    <t>국세공무원교육원</t>
  </si>
  <si>
    <t>대한무역투자진흥공사</t>
  </si>
  <si>
    <t>동원그룹</t>
  </si>
  <si>
    <t>동화그룹</t>
  </si>
  <si>
    <t>삼표</t>
  </si>
  <si>
    <t>성남시의료원</t>
  </si>
  <si>
    <t>이지홀딩스</t>
  </si>
  <si>
    <t>코오롱베니트 주식회사</t>
  </si>
  <si>
    <t>한국가스기술공사</t>
  </si>
  <si>
    <t>한국과학기술연구원</t>
  </si>
  <si>
    <t>한국국제협력단(코이카)</t>
  </si>
  <si>
    <t>현대그린푸드 스마트푸드센터</t>
  </si>
  <si>
    <t>현대그린푸드(SAM)</t>
  </si>
  <si>
    <t>현대렌탈케어</t>
  </si>
  <si>
    <t>현대백화점그룹</t>
  </si>
  <si>
    <t>현대엘앤씨(L&amp;C)_상생아카데미</t>
  </si>
  <si>
    <t>현대홈쇼핑(신입상담원 교육)</t>
  </si>
  <si>
    <t>박민우</t>
  </si>
  <si>
    <t>국민은행</t>
  </si>
  <si>
    <t>05. 이러닝 - 북러닝</t>
  </si>
  <si>
    <t>서정용</t>
  </si>
  <si>
    <t>삼성생명서비스</t>
  </si>
  <si>
    <t>삼성카드</t>
  </si>
  <si>
    <t>장지웅</t>
  </si>
  <si>
    <t>JTBC미디어텍</t>
  </si>
  <si>
    <t>대구그린파워</t>
  </si>
  <si>
    <t>대성그룹</t>
  </si>
  <si>
    <t>대성에너지</t>
  </si>
  <si>
    <t>25. 운영 - 대관</t>
  </si>
  <si>
    <t>비엠더블유파이낸셜서비스코리아</t>
  </si>
  <si>
    <t>상상인증권</t>
  </si>
  <si>
    <t>에스케이렌터카</t>
  </si>
  <si>
    <t>예금보험공사</t>
  </si>
  <si>
    <t>이동의즐거움㈜</t>
  </si>
  <si>
    <t>한화63시티</t>
  </si>
  <si>
    <t>한화갤러리아</t>
  </si>
  <si>
    <t>한화커넥트</t>
  </si>
  <si>
    <t>한화푸드테크</t>
  </si>
  <si>
    <t>김지훈</t>
  </si>
  <si>
    <t>우리금융지주</t>
  </si>
  <si>
    <t>한국투자저축은행</t>
  </si>
  <si>
    <t>한국투자증권</t>
  </si>
  <si>
    <t>장윤오</t>
  </si>
  <si>
    <t>[1471]보령제약그룹</t>
  </si>
  <si>
    <t>[214]동아쏘시오홀딩스</t>
  </si>
  <si>
    <t>KGC</t>
  </si>
  <si>
    <t>KGC라이프앤진</t>
  </si>
  <si>
    <t>삼화페인트</t>
  </si>
  <si>
    <t>태아산업</t>
  </si>
  <si>
    <t>한국에너지공단</t>
  </si>
  <si>
    <t>한국코닝</t>
  </si>
  <si>
    <t>황재연</t>
  </si>
  <si>
    <t>대구광역시교육연수원</t>
  </si>
  <si>
    <t>한국보건산업진흥원</t>
  </si>
  <si>
    <t>안혜연</t>
  </si>
  <si>
    <t>대상 주식회사</t>
  </si>
  <si>
    <t>대상 홀딩스</t>
  </si>
  <si>
    <t>대상네트웍스</t>
  </si>
  <si>
    <t>대상다이브스㈜(前 대상에프앤비)</t>
  </si>
  <si>
    <t>대상웰라이프㈜(前 대상라이프사이언스)</t>
  </si>
  <si>
    <t>대상정보기술</t>
  </si>
  <si>
    <t>대상푸드플러스</t>
  </si>
  <si>
    <t>바디프랜드</t>
  </si>
  <si>
    <t>삼성자산운용</t>
  </si>
  <si>
    <t>서브원</t>
  </si>
  <si>
    <t>에스에스지닷컴</t>
  </si>
  <si>
    <t>우리금융캐피탈</t>
  </si>
  <si>
    <t>유니드</t>
  </si>
  <si>
    <t>유니드비티플러스</t>
  </si>
  <si>
    <t>이마트에브리데이</t>
  </si>
  <si>
    <t>우희란</t>
  </si>
  <si>
    <t>NHN KCP</t>
  </si>
  <si>
    <t>대한항공</t>
  </si>
  <si>
    <t>린나이코리아_FLEX24</t>
  </si>
  <si>
    <t>오스템글로벌</t>
  </si>
  <si>
    <t>오스템임플란트</t>
  </si>
  <si>
    <t>코스콤_FLEX24</t>
  </si>
  <si>
    <t>한국석유공사</t>
  </si>
  <si>
    <t>35. 기타 - 북러닝</t>
  </si>
  <si>
    <t>14. 컨텐츠 - 컨텐츠 개발</t>
  </si>
  <si>
    <t>휴엠앤씨</t>
  </si>
  <si>
    <t>이윤지</t>
  </si>
  <si>
    <t>귀뚜라미범양냉방</t>
  </si>
  <si>
    <t>귀뚜라미에너지</t>
  </si>
  <si>
    <t>귀뚜라미홀딩스</t>
  </si>
  <si>
    <t>아이비케이기업은행</t>
  </si>
  <si>
    <t>한국문화예술교육진흥원</t>
  </si>
  <si>
    <t>이종혁</t>
  </si>
  <si>
    <t>[28179]국가생명윤리정책원(의료기관)</t>
  </si>
  <si>
    <t>[7794]지멘스</t>
  </si>
  <si>
    <t>국도화학</t>
  </si>
  <si>
    <t>삼양식품</t>
  </si>
  <si>
    <t>한국산업안전보건공단</t>
  </si>
  <si>
    <t>고예서</t>
  </si>
  <si>
    <t>GS넷비전</t>
  </si>
  <si>
    <t>GS리테일</t>
  </si>
  <si>
    <t>GS에너지</t>
  </si>
  <si>
    <t>KMA협력사업</t>
  </si>
  <si>
    <t>경동나비엔</t>
  </si>
  <si>
    <t>에스알</t>
  </si>
  <si>
    <t>우아한청년들</t>
  </si>
  <si>
    <t>우아한형제들</t>
  </si>
  <si>
    <t>조선호텔앤리조트</t>
  </si>
  <si>
    <t>지에스글로벌</t>
  </si>
  <si>
    <t>지에스네트웍스</t>
  </si>
  <si>
    <t>지에스파워</t>
  </si>
  <si>
    <t>코웨이포천공장</t>
  </si>
  <si>
    <t>박혜원</t>
  </si>
  <si>
    <t>D&amp;O</t>
  </si>
  <si>
    <t>S&amp;I Corp</t>
  </si>
  <si>
    <t>고려대학교(컨텐츠개발)</t>
  </si>
  <si>
    <t>미래에셋캐피탈_FLEX24</t>
  </si>
  <si>
    <t>애경산업</t>
  </si>
  <si>
    <t>엘에프</t>
  </si>
  <si>
    <t>제주은행</t>
  </si>
  <si>
    <t>진성티이씨_FLEX24</t>
  </si>
  <si>
    <t>태영건설</t>
  </si>
  <si>
    <t>한국건설기술연구원</t>
  </si>
  <si>
    <t>한국조선해양플랜트협회</t>
  </si>
  <si>
    <t>한국지역난방공사</t>
  </si>
  <si>
    <t>한일시멘트</t>
  </si>
  <si>
    <t>아주대 경영대학원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</si>
  <si>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</si>
  <si>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</si>
  <si>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</si>
  <si>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</si>
  <si>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</si>
  <si>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</si>
  <si>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</si>
  <si>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</si>
  <si>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</si>
  <si>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</si>
  <si>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</si>
  <si>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</si>
  <si>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김묘정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</si>
  <si>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</si>
  <si>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</si>
  <si>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</si>
  <si>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</si>
  <si>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</si>
  <si>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</si>
  <si>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</si>
  <si>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</si>
  <si>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</si>
  <si>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</si>
  <si>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</si>
  <si>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</si>
  <si>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</si>
  <si>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</si>
  <si>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</si>
  <si>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</si>
  <si>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</si>
  <si>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</si>
  <si>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</si>
  <si>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</si>
  <si>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</si>
  <si>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</si>
  <si>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</si>
  <si>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</si>
  <si>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</si>
  <si>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</si>
  <si>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</si>
  <si>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</si>
  <si>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</si>
  <si>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</si>
  <si>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</si>
  <si>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</si>
  <si>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</si>
  <si>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</si>
  <si>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</si>
  <si>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</si>
  <si>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</si>
  <si>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</si>
  <si>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</si>
  <si>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</si>
  <si>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</si>
  <si>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합계 : 25년 예상매출합계</t>
  </si>
  <si>
    <t>나이스홀딩스</t>
  </si>
  <si>
    <t>대상펫라이프</t>
  </si>
  <si>
    <t>라이나생명보험</t>
  </si>
  <si>
    <t>새마을금고중앙회</t>
  </si>
  <si>
    <t>에스엠상선</t>
  </si>
  <si>
    <t>에스케이해운</t>
  </si>
  <si>
    <t>엠지손해보험</t>
  </si>
  <si>
    <t>케이티앤지</t>
  </si>
  <si>
    <t>한국노인인력개발원</t>
  </si>
  <si>
    <t>한국식품산업협회</t>
  </si>
  <si>
    <t>경찰청</t>
  </si>
  <si>
    <t>에릭슨엘지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</si>
  <si>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</si>
  <si>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</si>
  <si>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</si>
  <si>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</si>
  <si>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</si>
  <si>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</si>
  <si>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</si>
  <si>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</si>
  <si>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</si>
  <si>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</si>
  <si>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</si>
  <si>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</si>
  <si>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</si>
  <si>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</si>
  <si>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</si>
  <si>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</si>
  <si>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</si>
  <si>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</si>
  <si>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</si>
  <si>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</si>
  <si>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</si>
  <si>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구   분</t>
    <phoneticPr fontId="20" type="noConversion"/>
  </si>
  <si>
    <t>전주</t>
    <phoneticPr fontId="20" type="noConversion"/>
  </si>
  <si>
    <t>금주</t>
    <phoneticPr fontId="20" type="noConversion"/>
  </si>
  <si>
    <t>차이</t>
    <phoneticPr fontId="20" type="noConversion"/>
  </si>
  <si>
    <t>비고</t>
    <phoneticPr fontId="20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</si>
  <si>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</si>
  <si>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</si>
  <si>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</si>
  <si>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</si>
  <si>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</si>
  <si>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</si>
  <si>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</si>
  <si>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</si>
  <si>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</si>
  <si>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</si>
  <si>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</si>
  <si>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</si>
  <si>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</si>
  <si>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</si>
  <si>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</si>
  <si>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</si>
  <si>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</si>
  <si>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</si>
  <si>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</si>
  <si>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</si>
  <si>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</si>
  <si>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</si>
  <si>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</si>
  <si>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</si>
  <si>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</si>
  <si>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</si>
  <si>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</si>
  <si>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</si>
  <si>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</si>
  <si>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</si>
  <si>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</si>
  <si>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</si>
  <si>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</si>
  <si>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</si>
  <si>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</si>
  <si>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</si>
  <si>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</si>
  <si>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</si>
  <si>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</si>
  <si>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</si>
  <si>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</si>
  <si>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</si>
  <si>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</si>
  <si>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</si>
  <si>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</si>
  <si>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</si>
  <si>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</si>
  <si>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</si>
  <si>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</si>
  <si>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</si>
  <si>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</si>
  <si>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</si>
  <si>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</si>
  <si>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</si>
  <si>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</si>
  <si>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</si>
  <si>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</si>
  <si>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</si>
  <si>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</si>
  <si>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</si>
  <si>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</si>
  <si>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</si>
  <si>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</si>
  <si>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</si>
  <si>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</si>
  <si>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</si>
  <si>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</si>
  <si>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</si>
  <si>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</si>
  <si>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</si>
  <si>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</si>
  <si>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</si>
  <si>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KB금융지주(케이비국민카드)</t>
  </si>
  <si>
    <t>사조원_FLEX24 (23:57480)</t>
  </si>
  <si>
    <t>휴온스_FLEX24 (23:57527)</t>
  </si>
  <si>
    <t>휴온스글로벌_FLEX24 (23:57528)</t>
  </si>
  <si>
    <t>휴온스메디텍_FLEX24 (23:54405)</t>
  </si>
  <si>
    <t>휴온스바이오파마_FLEX24 (23:57529)</t>
  </si>
  <si>
    <t>휴온스푸디언스_FLEX24 (23:57866)</t>
  </si>
  <si>
    <t xml:space="preserve">아이비케이기업은행( ibkonejob) </t>
  </si>
  <si>
    <t>나이스신용정보_FLEX24 (23:57514)</t>
  </si>
  <si>
    <t>나이스신용평가_FLEX24 (23:57479)</t>
  </si>
  <si>
    <t>2팀</t>
    <phoneticPr fontId="2" type="noConversion"/>
  </si>
  <si>
    <t>기업교육2팀 데이터북</t>
    <phoneticPr fontId="2" type="noConversion"/>
  </si>
  <si>
    <t>KB금융지주 (NMC)</t>
  </si>
  <si>
    <t>현대에버다임</t>
  </si>
  <si>
    <t>엘지화학</t>
  </si>
  <si>
    <t>엘지화학대산공장</t>
  </si>
  <si>
    <t>코스트코 코리아</t>
  </si>
  <si>
    <t>한익스프레스</t>
  </si>
  <si>
    <t>대상델리하임</t>
  </si>
  <si>
    <t>한독</t>
  </si>
  <si>
    <t>스타벅스커피 코리아</t>
  </si>
  <si>
    <t>유코카캐리어스</t>
  </si>
  <si>
    <t>대원제약</t>
  </si>
  <si>
    <t>삼일제약</t>
  </si>
  <si>
    <t>카길애그리퓨리나</t>
  </si>
  <si>
    <t>한국알콜산업</t>
  </si>
  <si>
    <t>사조동아원</t>
  </si>
  <si>
    <t>원익피앤이</t>
  </si>
  <si>
    <t>케이티씨에스(KT CS)</t>
  </si>
  <si>
    <t>한국보건의료연구원</t>
  </si>
  <si>
    <t>한국장애인고용공단</t>
  </si>
  <si>
    <t>금호타이어주식회사</t>
  </si>
  <si>
    <t>보령제약그룹</t>
  </si>
  <si>
    <t>사조오양</t>
  </si>
  <si>
    <t>주식회사 사조대림</t>
  </si>
  <si>
    <t>휴온스</t>
  </si>
  <si>
    <t>온세미</t>
  </si>
  <si>
    <t>대한장애인체육회</t>
  </si>
  <si>
    <t>솔브레인홀딩스</t>
  </si>
  <si>
    <t>다이닝브랜즈그룹</t>
  </si>
  <si>
    <t>기초과학연구원</t>
  </si>
  <si>
    <t>정보통신기획평가원</t>
  </si>
  <si>
    <t>엘카코리아</t>
  </si>
  <si>
    <t>엘앤에프</t>
  </si>
  <si>
    <t>주식회사 휴메딕스</t>
  </si>
  <si>
    <t>셀트리온제약</t>
  </si>
  <si>
    <t>동아쏘시오홀딩스</t>
  </si>
  <si>
    <t>한국국토정보공사</t>
  </si>
  <si>
    <t>넷마블</t>
  </si>
  <si>
    <t>나이스평가정보</t>
  </si>
  <si>
    <t>비케이알</t>
  </si>
  <si>
    <t>나이스신용정보</t>
  </si>
  <si>
    <t>보령컨슈머</t>
  </si>
  <si>
    <t>빙그레</t>
  </si>
  <si>
    <t>쌍용C&amp;E</t>
  </si>
  <si>
    <t>크리스탈제이드코리아</t>
  </si>
  <si>
    <t>휴온스글로벌</t>
  </si>
  <si>
    <t>파라다이스세가사미</t>
  </si>
  <si>
    <t>나이스신용평가</t>
  </si>
  <si>
    <t>한국저작권보호원</t>
  </si>
  <si>
    <t>국가생명윤리정책원(의료기관)</t>
  </si>
  <si>
    <t>한국농수산식품유통공사</t>
  </si>
  <si>
    <t>매일홀딩스</t>
  </si>
  <si>
    <t>컬리</t>
  </si>
  <si>
    <t>KGC인재개발원</t>
  </si>
  <si>
    <t>미래에셋캐피탈</t>
  </si>
  <si>
    <t>한국아이비엠</t>
  </si>
  <si>
    <t>코닝정밀소재</t>
  </si>
  <si>
    <t>고려아연</t>
  </si>
  <si>
    <t>삼양홀딩스</t>
  </si>
  <si>
    <t>사조산업</t>
  </si>
  <si>
    <t>SK마이크로웍스 솔루션즈</t>
  </si>
  <si>
    <t>네패스</t>
  </si>
  <si>
    <t>대한빙상경기연맹 온라인 강습회</t>
  </si>
  <si>
    <t>사조대림 인천공장</t>
  </si>
  <si>
    <t>조인주식회사</t>
  </si>
  <si>
    <t>코스콤펀드서비스</t>
  </si>
  <si>
    <t>린나이코리아</t>
  </si>
  <si>
    <t>휴온스메디텍</t>
  </si>
  <si>
    <t>컴투스</t>
  </si>
  <si>
    <t>상하농원</t>
  </si>
  <si>
    <t>매일유업</t>
  </si>
  <si>
    <t>컬리페이</t>
  </si>
  <si>
    <t>나이스평가정보_FLEX</t>
  </si>
  <si>
    <t>한양대학교</t>
  </si>
  <si>
    <t>케이티엔지니어링</t>
  </si>
  <si>
    <t>선인자동차</t>
  </si>
  <si>
    <t xml:space="preserve">서울시50플러스재단 40대직업캠프 </t>
  </si>
  <si>
    <t>한국농수산식품유통공사(유통교육원)</t>
  </si>
  <si>
    <t>한국농수산식품유통공사(인턴십용)</t>
  </si>
  <si>
    <t>한국정보통신</t>
  </si>
  <si>
    <t>서울시설공단</t>
  </si>
  <si>
    <t>딜라이브</t>
  </si>
  <si>
    <t>대한체육회</t>
  </si>
  <si>
    <t>코스콤</t>
  </si>
  <si>
    <t>지멘스</t>
  </si>
  <si>
    <t>한영회계법인</t>
  </si>
  <si>
    <t>코스맥스</t>
  </si>
  <si>
    <t>유라코퍼레이션</t>
  </si>
  <si>
    <t>공무원연금공단</t>
  </si>
  <si>
    <t>국방과학연구소</t>
  </si>
  <si>
    <t>이스타항공㈜</t>
  </si>
  <si>
    <t>15119</t>
  </si>
  <si>
    <t>한국수자원공사 인재개발원(25년이관)</t>
  </si>
  <si>
    <t>한국수자원공사 인재개발원</t>
  </si>
  <si>
    <t>1월</t>
    <phoneticPr fontId="2" type="noConversion"/>
  </si>
  <si>
    <t>신우섭</t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</si>
  <si>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</si>
  <si>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</si>
  <si>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</si>
  <si>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계</t>
    <phoneticPr fontId="2" type="noConversion"/>
  </si>
  <si>
    <t>[우희란 DB 이관 매출]</t>
    <phoneticPr fontId="2" type="noConversion"/>
  </si>
  <si>
    <t>안효준</t>
  </si>
  <si>
    <t>도로공사시설관리</t>
  </si>
  <si>
    <t>2월</t>
    <phoneticPr fontId="2" type="noConversion"/>
  </si>
  <si>
    <t>06 사업취소</t>
  </si>
  <si>
    <t>케이비손해사정</t>
  </si>
  <si>
    <t>합계 : 1월 매출</t>
  </si>
  <si>
    <t>장윤오</t>
    <phoneticPr fontId="2" type="noConversion"/>
  </si>
  <si>
    <t>황재연</t>
    <phoneticPr fontId="2" type="noConversion"/>
  </si>
  <si>
    <t>안혜연</t>
    <phoneticPr fontId="2" type="noConversion"/>
  </si>
  <si>
    <t>김나리</t>
    <phoneticPr fontId="2" type="noConversion"/>
  </si>
  <si>
    <t>이윤지</t>
    <phoneticPr fontId="2" type="noConversion"/>
  </si>
  <si>
    <t>이종혁</t>
    <phoneticPr fontId="2" type="noConversion"/>
  </si>
  <si>
    <t>고예서</t>
    <phoneticPr fontId="2" type="noConversion"/>
  </si>
  <si>
    <t>ㅇ</t>
    <phoneticPr fontId="2" type="noConversion"/>
  </si>
  <si>
    <t>ㅇ</t>
    <phoneticPr fontId="2" type="noConversion"/>
  </si>
  <si>
    <t>신우섭</t>
    <phoneticPr fontId="2" type="noConversion"/>
  </si>
  <si>
    <t>제주특별자치도개발공사</t>
  </si>
  <si>
    <t>기업등급</t>
    <phoneticPr fontId="2" type="noConversion"/>
  </si>
  <si>
    <t>3월</t>
    <phoneticPr fontId="2" type="noConversion"/>
  </si>
  <si>
    <t>삼화페인트공업</t>
  </si>
  <si>
    <t>오송첨단의료산업진흥재단</t>
  </si>
  <si>
    <t>삭제필요</t>
  </si>
  <si>
    <t>26. 이러닝 - 정부지원사업</t>
  </si>
  <si>
    <t>휴온스바이오파마</t>
  </si>
  <si>
    <t>휴온스랩</t>
  </si>
  <si>
    <t>KB캐피탈</t>
  </si>
  <si>
    <t>장윤오</t>
    <phoneticPr fontId="2" type="noConversion"/>
  </si>
  <si>
    <t>국가보훈부</t>
    <phoneticPr fontId="2" type="noConversion"/>
  </si>
  <si>
    <t>데이터북(매출란)</t>
    <phoneticPr fontId="2" type="noConversion"/>
  </si>
  <si>
    <t>여신 바이패스매출 확인 필요</t>
    <phoneticPr fontId="2" type="noConversion"/>
  </si>
  <si>
    <t>X</t>
    <phoneticPr fontId="2" type="noConversion"/>
  </si>
  <si>
    <t>GC녹십자홀딩스</t>
  </si>
  <si>
    <t>대상 홀딩스(그로우)</t>
  </si>
  <si>
    <t>22. 솔루션 - 그로우포웍스</t>
  </si>
  <si>
    <t>이글루코퍼레이션</t>
  </si>
  <si>
    <t>합계 : 2월 매출</t>
  </si>
  <si>
    <t>ㅇ</t>
    <phoneticPr fontId="2" type="noConversion"/>
  </si>
  <si>
    <t>ㅇ</t>
    <phoneticPr fontId="2" type="noConversion"/>
  </si>
  <si>
    <t>ㅇ</t>
    <phoneticPr fontId="2" type="noConversion"/>
  </si>
  <si>
    <t>에스엘엘중앙</t>
  </si>
  <si>
    <t>삼성전자</t>
  </si>
  <si>
    <t>삼성전자(EHS학부)</t>
  </si>
  <si>
    <t>삼성전자(게이트키퍼양성)</t>
  </si>
  <si>
    <t>삼성전자(상생협력)</t>
  </si>
  <si>
    <t>삼성전자_DS MBA</t>
  </si>
  <si>
    <t>삼성전자_DS리더십교육</t>
  </si>
  <si>
    <t>삼성전자서비스</t>
  </si>
  <si>
    <t>삼성전자판매</t>
  </si>
  <si>
    <t>우리자산운용</t>
  </si>
  <si>
    <t>사조원_A25</t>
  </si>
  <si>
    <t>린나이코리아_A25</t>
  </si>
  <si>
    <t>아이비케이기업은행(IBK EDU)</t>
  </si>
  <si>
    <t>4월</t>
    <phoneticPr fontId="2" type="noConversion"/>
  </si>
  <si>
    <t>솔루엠헬스케어_FLEX24</t>
  </si>
  <si>
    <t>솔루엠센서_FLEX24</t>
  </si>
  <si>
    <t>솔루엠_FLEX24</t>
  </si>
  <si>
    <t>서울대학교 경영대학</t>
  </si>
  <si>
    <t>한국사회보장정보원</t>
  </si>
  <si>
    <t>KB저축은행</t>
  </si>
  <si>
    <t>데이터북(매출란)</t>
    <phoneticPr fontId="2" type="noConversion"/>
  </si>
  <si>
    <t>ERP 마감</t>
    <phoneticPr fontId="2" type="noConversion"/>
  </si>
  <si>
    <t>바이패스 포함ㅇ</t>
    <phoneticPr fontId="2" type="noConversion"/>
  </si>
  <si>
    <t>ㅇ</t>
    <phoneticPr fontId="2" type="noConversion"/>
  </si>
  <si>
    <t>x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</si>
  <si>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</si>
  <si>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</si>
  <si>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</si>
  <si>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합계 : 3월 매출</t>
  </si>
  <si>
    <t>62036</t>
  </si>
  <si>
    <t>5월</t>
    <phoneticPr fontId="2" type="noConversion"/>
  </si>
  <si>
    <t>KB금융지주(FMC)</t>
    <phoneticPr fontId="2" type="noConversion"/>
  </si>
  <si>
    <t>NICE신용평가(HRD아카이브 )</t>
  </si>
  <si>
    <t>KGC(E-test)</t>
  </si>
  <si>
    <t>담당자</t>
    <phoneticPr fontId="2" type="noConversion"/>
  </si>
  <si>
    <t>확정</t>
    <phoneticPr fontId="2" type="noConversion"/>
  </si>
  <si>
    <t>가망+기회</t>
    <phoneticPr fontId="2" type="noConversion"/>
  </si>
  <si>
    <t>계</t>
    <phoneticPr fontId="2" type="noConversion"/>
  </si>
  <si>
    <t>05 Drop</t>
  </si>
  <si>
    <t>합계 : 4월 매출</t>
  </si>
  <si>
    <t>동서</t>
  </si>
  <si>
    <t>콘티테크플루이드코리아</t>
  </si>
  <si>
    <t>이윤지(퇴사)</t>
  </si>
  <si>
    <t>KB금융지주 (CEO코칭)</t>
  </si>
  <si>
    <t>KB금융지주(KB국민은행)</t>
  </si>
  <si>
    <t>우리금융지주 이사국(최고경영자)</t>
  </si>
  <si>
    <t>고유
번호</t>
    <phoneticPr fontId="2" type="noConversion"/>
  </si>
  <si>
    <t>휴온스엔</t>
  </si>
  <si>
    <t>웹젠</t>
  </si>
  <si>
    <t>차이</t>
    <phoneticPr fontId="2" type="noConversion"/>
  </si>
  <si>
    <t>5월</t>
    <phoneticPr fontId="2" type="noConversion"/>
  </si>
  <si>
    <t>합계 : 5월 매출</t>
  </si>
  <si>
    <t>28. 구독 - 휴넷FLEX</t>
  </si>
  <si>
    <t>7월</t>
    <phoneticPr fontId="2" type="noConversion"/>
  </si>
  <si>
    <t>6월</t>
    <phoneticPr fontId="2" type="noConversion"/>
  </si>
  <si>
    <t>한국산업기술기획평가원</t>
  </si>
  <si>
    <t>대구광역시교육연수원(마이크로러닝 임차)</t>
  </si>
  <si>
    <t>26년
담당팀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</si>
  <si>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</si>
  <si>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*유형 선택</t>
  </si>
  <si>
    <t xml:space="preserve">26년
확정/가망/기회 </t>
    <phoneticPr fontId="2" type="noConversion"/>
  </si>
  <si>
    <t>26년 예상매출합계</t>
    <phoneticPr fontId="2" type="noConversion"/>
  </si>
  <si>
    <t>26년 사업유형</t>
    <phoneticPr fontId="2" type="noConversion"/>
  </si>
  <si>
    <t>4월 예상</t>
    <phoneticPr fontId="2" type="noConversion"/>
  </si>
  <si>
    <t>박정규</t>
  </si>
  <si>
    <t>김신정</t>
  </si>
  <si>
    <t>최상근</t>
  </si>
  <si>
    <t>최영기</t>
  </si>
  <si>
    <t>이지송</t>
  </si>
  <si>
    <t>FS팀</t>
  </si>
  <si>
    <t>황중목</t>
  </si>
  <si>
    <t>남만기</t>
  </si>
  <si>
    <t>공통 DB</t>
  </si>
  <si>
    <t>장현아</t>
  </si>
  <si>
    <t>양은희</t>
  </si>
  <si>
    <t>제휴</t>
  </si>
  <si>
    <t>09 2025년 매출</t>
  </si>
  <si>
    <t>샘표식품</t>
  </si>
  <si>
    <t>합계 : 26년 예상매출합계</t>
  </si>
  <si>
    <t>합계 : 4월 예상</t>
  </si>
  <si>
    <t>합계 : 5월 예상</t>
  </si>
  <si>
    <t>국가보훈부</t>
  </si>
  <si>
    <t>아이비케이기업은행(퇴근길연수)</t>
  </si>
  <si>
    <t>IBK 직원챙김연수</t>
  </si>
  <si>
    <t>이마트</t>
  </si>
  <si>
    <t>현대드림투어</t>
  </si>
  <si>
    <t>현대렌탈케어_FLEX24</t>
  </si>
  <si>
    <t>병무청 사회복무연수센터</t>
  </si>
  <si>
    <t>한국뇌연구원</t>
  </si>
  <si>
    <t>삼성전자_DS(신입사원_마리플)</t>
  </si>
  <si>
    <t>휴온스생명과학</t>
  </si>
  <si>
    <t>삼성전자(BPO)</t>
  </si>
  <si>
    <t>삼성전자(협성회)</t>
  </si>
  <si>
    <t>휴메딕스</t>
  </si>
  <si>
    <t>삼양패키징</t>
  </si>
  <si>
    <t>여신금융협회(오프라인운영)</t>
  </si>
  <si>
    <t>케이티앤지(E-test)</t>
  </si>
  <si>
    <t>성도이엔지</t>
  </si>
  <si>
    <t>어바웃펫(gs계열사)</t>
  </si>
  <si>
    <t>파주시청</t>
  </si>
  <si>
    <t>로버트보쉬코리아</t>
  </si>
  <si>
    <t>산은캐피탈(KDB캐피탈)</t>
  </si>
  <si>
    <t>타다</t>
  </si>
  <si>
    <t>전주</t>
    <phoneticPr fontId="2" type="noConversion"/>
  </si>
  <si>
    <t>26년 영업대표
(To_be)</t>
    <phoneticPr fontId="2" type="noConversion"/>
  </si>
  <si>
    <t>28.구독 - 휴넷FLEX</t>
  </si>
  <si>
    <t>대상홀딩스</t>
  </si>
  <si>
    <t>휴온스메디텍_아카이브</t>
  </si>
  <si>
    <t>나이스평가정보(HRD아카이브)</t>
  </si>
  <si>
    <t>최다경</t>
  </si>
  <si>
    <t>SGI서울보증</t>
  </si>
  <si>
    <t>SGI서울보증 Edu-Partner</t>
  </si>
  <si>
    <t>경기주택도시공사</t>
  </si>
  <si>
    <t>교원</t>
  </si>
  <si>
    <t>국가과학기술인력개발원(KIRD)</t>
  </si>
  <si>
    <t>국토교통부</t>
  </si>
  <si>
    <t>국토교통부(국토교통인재개발원)</t>
  </si>
  <si>
    <t>디비생명보험</t>
  </si>
  <si>
    <t>산업통상자원부</t>
  </si>
  <si>
    <t>서울도시가스</t>
  </si>
  <si>
    <t>서울특별시(서울시 평생학습포털)</t>
  </si>
  <si>
    <t>세아그룹</t>
  </si>
  <si>
    <t>통계청(통계인재개발원)</t>
  </si>
  <si>
    <t>한국거래소</t>
  </si>
  <si>
    <t>한국고용노동교육원</t>
  </si>
  <si>
    <t>한국기술교육대학교 온라인평생교육원</t>
  </si>
  <si>
    <t>한국무역보험공사</t>
  </si>
  <si>
    <t>한국산림복지진흥원</t>
  </si>
  <si>
    <t>한국산업은행</t>
  </si>
  <si>
    <t>한국스탠다드차타드은행</t>
  </si>
  <si>
    <t>한국전력기술</t>
  </si>
  <si>
    <t>한국주택금융공사</t>
  </si>
  <si>
    <t>해성그룹</t>
  </si>
  <si>
    <t>해양수산부</t>
  </si>
  <si>
    <t>아시아나항공</t>
  </si>
  <si>
    <t>'26년 (1~12월)</t>
    <phoneticPr fontId="2" type="noConversion"/>
  </si>
  <si>
    <t>26년
개인별
목표</t>
    <phoneticPr fontId="2" type="noConversion"/>
  </si>
  <si>
    <t>25년 매출</t>
    <phoneticPr fontId="2" type="noConversion"/>
  </si>
  <si>
    <t>26년 영업대표
(as_is)</t>
    <phoneticPr fontId="2" type="noConversion"/>
  </si>
  <si>
    <t>매출변동 사유</t>
    <phoneticPr fontId="2" type="noConversion"/>
  </si>
  <si>
    <t xml:space="preserve"> </t>
    <phoneticPr fontId="2" type="noConversion"/>
  </si>
  <si>
    <t>국가공무원인재개발원</t>
  </si>
  <si>
    <t>4.0억 확정 추가</t>
  </si>
  <si>
    <t>원익아이피에스</t>
  </si>
  <si>
    <t>[61806]삼양_SMB</t>
  </si>
  <si>
    <t>0</t>
  </si>
  <si>
    <t>삼양</t>
  </si>
  <si>
    <t>박재은</t>
  </si>
  <si>
    <t>박재은</t>
    <phoneticPr fontId="2" type="noConversion"/>
  </si>
  <si>
    <t>박재은</t>
    <phoneticPr fontId="2" type="noConversion"/>
  </si>
  <si>
    <t>`</t>
    <phoneticPr fontId="2" type="noConversion"/>
  </si>
  <si>
    <t>(27년 1월 발행 가능성 有)</t>
  </si>
  <si>
    <t>송준호</t>
  </si>
  <si>
    <t>송준호</t>
    <phoneticPr fontId="2" type="noConversion"/>
  </si>
  <si>
    <t>이관</t>
    <phoneticPr fontId="2" type="noConversion"/>
  </si>
  <si>
    <t>송준호</t>
    <phoneticPr fontId="2" type="noConversion"/>
  </si>
  <si>
    <t>신우섭</t>
    <phoneticPr fontId="2" type="noConversion"/>
  </si>
  <si>
    <t>신우섭</t>
    <phoneticPr fontId="2" type="noConversion"/>
  </si>
  <si>
    <t>[DB 이관 매출]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</si>
  <si>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</si>
  <si>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</si>
  <si>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</si>
  <si>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</si>
  <si>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</si>
  <si>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</si>
  <si>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</si>
  <si>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</si>
  <si>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</si>
  <si>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</si>
  <si>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</si>
  <si>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</si>
  <si>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</si>
  <si>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</si>
  <si>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</si>
  <si>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</si>
  <si>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</si>
  <si>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LIG</t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</si>
  <si>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</si>
  <si>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</si>
  <si>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</si>
  <si>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</si>
  <si>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분당서울대학교병원(감염관리팀)</t>
  </si>
  <si>
    <t>개인결제(전화외국어,간호직무 신청수 감소)</t>
  </si>
  <si>
    <t>25년 선발행</t>
  </si>
  <si>
    <t>1월 마감</t>
    <phoneticPr fontId="2" type="noConversion"/>
  </si>
  <si>
    <t>법정필수교육</t>
  </si>
  <si>
    <t>콘텐츠개발예정</t>
  </si>
  <si>
    <t>합계 : 1월 마감</t>
  </si>
  <si>
    <t>"O"로 표기해주세요.</t>
    <phoneticPr fontId="2" type="noConversion"/>
  </si>
  <si>
    <t>핵심 Target 
R/S 기업</t>
    <phoneticPr fontId="2" type="noConversion"/>
  </si>
  <si>
    <t>고려아연온산제련소</t>
  </si>
  <si>
    <t>대상_동반성장</t>
  </si>
  <si>
    <t>대상문화재단</t>
  </si>
  <si>
    <t>JB우리캐피탈</t>
  </si>
  <si>
    <t>민주평화통일자문회의</t>
  </si>
  <si>
    <t>국가생명윤리정책원(콘텐츠쿡)</t>
  </si>
  <si>
    <t>NHN PAYCO</t>
  </si>
  <si>
    <t>상록골프앤리조트</t>
  </si>
  <si>
    <t>디앤케이켐텍</t>
  </si>
  <si>
    <t>퍼브(LX그룹 정산용)</t>
  </si>
  <si>
    <t>평택국제자동차부두</t>
  </si>
  <si>
    <t>㈜동성화인텍</t>
  </si>
  <si>
    <t>원익</t>
  </si>
  <si>
    <t>원익머트리얼즈</t>
  </si>
  <si>
    <t>원익큐엔씨 안성지점</t>
  </si>
  <si>
    <t>[20478]원익큐엔씨</t>
  </si>
  <si>
    <t>케이지씨예본</t>
  </si>
  <si>
    <t>아주대학교산학협력단</t>
  </si>
  <si>
    <t>2월 마감</t>
    <phoneticPr fontId="2" type="noConversion"/>
  </si>
  <si>
    <t>2.1시작으로 3월부터 계산서 발행</t>
  </si>
  <si>
    <t>RS감소</t>
  </si>
  <si>
    <t>1월 금액 2월로 이월</t>
  </si>
  <si>
    <t>3월로 이월</t>
  </si>
  <si>
    <t>한국투자금융지주법정의무교육</t>
  </si>
  <si>
    <t>2월 통합 발행</t>
  </si>
  <si>
    <t>취소 반영</t>
  </si>
  <si>
    <t>- 선금을 개발원 내부사정으로 인해 2월에서 3월로 연기</t>
  </si>
  <si>
    <t>합계 : 2월 마감</t>
  </si>
  <si>
    <t>O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</si>
  <si>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</si>
  <si>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</si>
  <si>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</si>
  <si>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</si>
  <si>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</si>
  <si>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</si>
  <si>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</si>
  <si>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4월로 연기(후발행)</t>
  </si>
  <si>
    <t>4월로 연기(선발행)</t>
  </si>
  <si>
    <t>4월로 연기(1분기)</t>
  </si>
  <si>
    <t>4월발행-&gt;3월발행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</si>
  <si>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</si>
  <si>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</si>
  <si>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</si>
  <si>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</si>
  <si>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</si>
  <si>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분기별 정산</t>
  </si>
  <si>
    <t>HD한국조선해양</t>
  </si>
  <si>
    <t>한국식품산업협회 부설 한국식품과학연구원</t>
  </si>
  <si>
    <t>지에스글로벌(미국법인)</t>
  </si>
  <si>
    <t>코닝나노프로텍</t>
  </si>
  <si>
    <t>원익큐엔씨</t>
  </si>
  <si>
    <t>계산서 미발행, 운영팀 확인중</t>
  </si>
  <si>
    <t>3월 매출반영</t>
  </si>
  <si>
    <t>3월발행-&gt;4월,5월 발행</t>
  </si>
  <si>
    <t>케이티앤지</t>
    <phoneticPr fontId="2" type="noConversion"/>
  </si>
  <si>
    <t>코웨이 주식회사</t>
    <phoneticPr fontId="2" type="noConversion"/>
  </si>
  <si>
    <t>서울대학교병원</t>
    <phoneticPr fontId="2" type="noConversion"/>
  </si>
  <si>
    <t>HD현대마린솔루션</t>
    <phoneticPr fontId="2" type="noConversion"/>
  </si>
  <si>
    <t>사전정산/사후정산 변경</t>
  </si>
  <si>
    <t xml:space="preserve">코닝나노프로텍 주식회사 </t>
    <phoneticPr fontId="2" type="noConversion"/>
  </si>
  <si>
    <t>대상 주식회사</t>
    <phoneticPr fontId="2" type="noConversion"/>
  </si>
  <si>
    <t>주식회사 동성케미컬(지주)</t>
    <phoneticPr fontId="2" type="noConversion"/>
  </si>
  <si>
    <t>여신금융협회(b2c)</t>
    <phoneticPr fontId="2" type="noConversion"/>
  </si>
  <si>
    <t>케이티엔지니어링</t>
    <phoneticPr fontId="2" type="noConversion"/>
  </si>
  <si>
    <t>한국과학기술연구원</t>
    <phoneticPr fontId="2" type="noConversion"/>
  </si>
  <si>
    <t>정보통신기획평가원</t>
    <phoneticPr fontId="2" type="noConversion"/>
  </si>
  <si>
    <t>3월 31일자 발행완료</t>
  </si>
  <si>
    <t>박재은</t>
    <phoneticPr fontId="2" type="noConversion"/>
  </si>
  <si>
    <t>박재은</t>
    <phoneticPr fontId="2" type="noConversion"/>
  </si>
  <si>
    <t>03 신규</t>
    <phoneticPr fontId="2" type="noConversion"/>
  </si>
  <si>
    <t>(주)코스모코스</t>
  </si>
  <si>
    <t>24405-26-001</t>
  </si>
  <si>
    <t>3월 실매출 반영</t>
  </si>
  <si>
    <t>3월 금액 이월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</si>
  <si>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</si>
  <si>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</si>
  <si>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</si>
  <si>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</si>
  <si>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</si>
  <si>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</si>
  <si>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박민우</t>
    <phoneticPr fontId="2" type="noConversion"/>
  </si>
  <si>
    <t>한국고용노동교육원</t>
    <phoneticPr fontId="2" type="noConversion"/>
  </si>
  <si>
    <t>한국수자원공사 인재개발원</t>
    <phoneticPr fontId="2" type="noConversion"/>
  </si>
  <si>
    <t>KT&amp;G로 통합 발행</t>
  </si>
  <si>
    <t>온/오프 전체 합계금액을 오기재했었음</t>
  </si>
  <si>
    <t>데이터 연동 작업 일정 연기로 발행 지연</t>
  </si>
  <si>
    <t>대상웰라이프㈜(前 대상라이프사이언스)</t>
    <phoneticPr fontId="2" type="noConversion"/>
  </si>
  <si>
    <t>에스피삼화㈜</t>
    <phoneticPr fontId="2" type="noConversion"/>
  </si>
  <si>
    <t>이종혁</t>
    <phoneticPr fontId="2" type="noConversion"/>
  </si>
  <si>
    <t>4월발행-&gt;3월발행, VAT 제외금액으로 기재</t>
  </si>
  <si>
    <t>LXMDI</t>
    <phoneticPr fontId="2" type="noConversion"/>
  </si>
  <si>
    <t>한국투자금융지주(휴)</t>
    <phoneticPr fontId="2" type="noConversion"/>
  </si>
  <si>
    <t>원익큐브</t>
    <phoneticPr fontId="2" type="noConversion"/>
  </si>
  <si>
    <t>전주 데이터 오류, 사업 예가 1억1천임</t>
  </si>
  <si>
    <t>3월 마감</t>
    <phoneticPr fontId="2" type="noConversion"/>
  </si>
  <si>
    <t>합계 : 3월 마감</t>
  </si>
  <si>
    <t>사업완료후 정산</t>
  </si>
  <si>
    <t xml:space="preserve">스픽 신청 제외(스픽과 직접 계약)로 인한 매출감소 </t>
  </si>
  <si>
    <t>선금50%</t>
  </si>
  <si>
    <t>잔금50%</t>
  </si>
  <si>
    <t>3월 발행취소금액+4월 재발행금액 합계 및 이러닝 2,462,400원 추가 발행</t>
  </si>
  <si>
    <t>3월 매출 이월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</si>
</sst>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7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 shrinkToFit="1"/>
    </xf>
    <xf numFmtId="0" fontId="4" fillId="14" borderId="2" xfId="0" applyFont="1" applyFill="1" applyBorder="1" applyAlignment="1">
      <alignment vertical="center" shrinkToFit="1"/>
    </xf>
    <xf numFmtId="14" fontId="0" fillId="0" borderId="0" xfId="1" applyNumberFormat="1" applyFont="1" applyAlignment="1">
      <alignment horizontal="center" vertical="center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14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7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9" fillId="0" borderId="19" xfId="0" applyNumberFormat="1" applyFont="1" applyBorder="1">
      <alignment vertical="center"/>
    </xf>
    <xf numFmtId="180" fontId="9" fillId="3" borderId="26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11" fillId="3" borderId="26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9" fillId="0" borderId="30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180" fontId="15" fillId="3" borderId="2" xfId="0" applyNumberFormat="1" applyFont="1" applyFill="1" applyBorder="1">
      <alignment vertical="center"/>
    </xf>
    <xf numFmtId="178" fontId="0" fillId="9" borderId="2" xfId="0" applyNumberFormat="1" applyFill="1" applyBorder="1" applyAlignment="1">
      <alignment horizontal="center" vertical="center" shrinkToFit="1"/>
    </xf>
    <xf numFmtId="14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0" xfId="0" applyFill="1">
      <alignment vertical="center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176" fontId="13" fillId="3" borderId="2" xfId="1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10" fillId="0" borderId="2" xfId="1" applyFont="1" applyFill="1" applyBorder="1" applyAlignment="1">
      <alignment vertical="center" shrinkToFit="1"/>
    </xf>
    <xf numFmtId="180" fontId="15" fillId="3" borderId="3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0" fontId="4" fillId="14" borderId="31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3" fontId="0" fillId="0" borderId="35" xfId="0" applyNumberForma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0" fontId="15" fillId="3" borderId="19" xfId="0" applyNumberFormat="1" applyFont="1" applyFill="1" applyBorder="1">
      <alignment vertical="center"/>
    </xf>
    <xf numFmtId="180" fontId="8" fillId="3" borderId="37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Fill="1">
      <alignment vertical="center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9" fillId="18" borderId="19" xfId="0" applyNumberFormat="1" applyFont="1" applyFill="1" applyBorder="1">
      <alignment vertical="center"/>
    </xf>
    <xf numFmtId="180" fontId="9" fillId="18" borderId="3" xfId="0" applyNumberFormat="1" applyFont="1" applyFill="1" applyBorder="1">
      <alignment vertical="center"/>
    </xf>
    <xf numFmtId="180" fontId="9" fillId="18" borderId="4" xfId="0" applyNumberFormat="1" applyFont="1" applyFill="1" applyBorder="1">
      <alignment vertical="center"/>
    </xf>
    <xf numFmtId="180" fontId="8" fillId="18" borderId="4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4" fillId="0" borderId="0" xfId="1" applyFont="1" applyBorder="1" applyAlignment="1">
      <alignment horizontal="right" vertical="center"/>
    </xf>
    <xf numFmtId="0" fontId="11" fillId="18" borderId="2" xfId="0" applyFont="1" applyFill="1" applyBorder="1" applyAlignment="1">
      <alignment horizontal="center" vertical="center"/>
    </xf>
    <xf numFmtId="176" fontId="3" fillId="18" borderId="2" xfId="1" applyFont="1" applyFill="1" applyBorder="1" applyAlignment="1">
      <alignment vertical="center" shrinkToFit="1"/>
    </xf>
    <xf numFmtId="176" fontId="0" fillId="18" borderId="2" xfId="0" applyNumberFormat="1" applyFill="1" applyBorder="1" applyAlignment="1">
      <alignment horizontal="center" vertical="center" shrinkToFit="1"/>
    </xf>
    <xf numFmtId="180" fontId="5" fillId="18" borderId="38" xfId="0" applyNumberFormat="1" applyFont="1" applyFill="1" applyBorder="1" applyAlignment="1">
      <alignment horizontal="right" vertical="center"/>
    </xf>
    <xf numFmtId="180" fontId="9" fillId="18" borderId="39" xfId="0" applyNumberFormat="1" applyFont="1" applyFill="1" applyBorder="1">
      <alignment vertical="center"/>
    </xf>
    <xf numFmtId="180" fontId="15" fillId="18" borderId="39" xfId="0" applyNumberFormat="1" applyFont="1" applyFill="1" applyBorder="1">
      <alignment vertical="center"/>
    </xf>
    <xf numFmtId="180" fontId="15" fillId="18" borderId="19" xfId="0" applyNumberFormat="1" applyFont="1" applyFill="1" applyBorder="1">
      <alignment vertical="center"/>
    </xf>
    <xf numFmtId="180" fontId="15" fillId="18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center" vertical="center"/>
    </xf>
    <xf numFmtId="176" fontId="38" fillId="0" borderId="0" xfId="1" applyFont="1" applyFill="1">
      <alignment vertical="center"/>
    </xf>
    <xf numFmtId="176" fontId="39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top" wrapText="1" shrinkToFit="1"/>
    </xf>
    <xf numFmtId="177" fontId="11" fillId="3" borderId="2" xfId="0" applyNumberFormat="1" applyFont="1" applyFill="1" applyBorder="1" applyAlignment="1">
      <alignment horizontal="center" vertical="center" shrinkToFit="1"/>
    </xf>
    <xf numFmtId="176" fontId="0" fillId="0" borderId="2" xfId="1" applyFont="1" applyBorder="1" applyAlignment="1">
      <alignment horizontal="center" vertical="center" shrinkToFit="1"/>
    </xf>
    <xf numFmtId="176" fontId="0" fillId="18" borderId="2" xfId="1" applyFont="1" applyFill="1" applyBorder="1" applyAlignment="1">
      <alignment horizontal="center" vertical="center" shrinkToFit="1"/>
    </xf>
    <xf numFmtId="176" fontId="4" fillId="14" borderId="2" xfId="1" applyFont="1" applyFill="1" applyBorder="1" applyAlignment="1">
      <alignment horizontal="center" vertical="center" shrinkToFit="1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0" fontId="37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6" fillId="0" borderId="0" xfId="0" applyFont="1" applyFill="1" applyBorder="1" applyAlignment="1">
      <alignment horizontal="left" vertical="top" wrapText="1" shrinkToFit="1"/>
    </xf>
    <xf numFmtId="0" fontId="15" fillId="13" borderId="40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15" fillId="2" borderId="41" xfId="0" applyFont="1" applyFill="1" applyBorder="1" applyAlignment="1">
      <alignment horizontal="center" vertical="center" wrapText="1" shrinkToFit="1"/>
    </xf>
    <xf numFmtId="41" fontId="0" fillId="0" borderId="0" xfId="0" applyNumberFormat="1">
      <alignment vertical="center"/>
    </xf>
    <xf numFmtId="176" fontId="3" fillId="0" borderId="0" xfId="1" applyFont="1" applyFill="1">
      <alignment vertical="center"/>
    </xf>
    <xf numFmtId="0" fontId="24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Border="1" applyAlignment="1">
      <alignment vertical="center" shrinkToFit="1"/>
    </xf>
    <xf numFmtId="176" fontId="13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wrapText="1" shrinkToFit="1"/>
    </xf>
    <xf numFmtId="176" fontId="9" fillId="2" borderId="2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42" xfId="0" applyFont="1" applyFill="1" applyBorder="1" applyAlignment="1" applyProtection="1">
      <alignment horizontal="center" vertical="center" shrinkToFit="1"/>
      <protection locked="0"/>
    </xf>
    <xf numFmtId="0" fontId="11" fillId="13" borderId="43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>
      <alignment horizontal="left" vertical="top" wrapText="1" shrinkToFit="1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18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18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176" fontId="15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center" vertical="center" shrinkToFit="1"/>
    </xf>
    <xf numFmtId="3" fontId="0" fillId="0" borderId="33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176" fontId="4" fillId="0" borderId="0" xfId="1" applyFont="1" applyBorder="1" applyAlignment="1">
      <alignment horizontal="righ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3" fontId="0" fillId="0" borderId="36" xfId="0" applyNumberFormat="1" applyBorder="1" applyAlignment="1">
      <alignment horizontal="right" vertical="center"/>
    </xf>
    <xf numFmtId="3" fontId="0" fillId="0" borderId="7" xfId="0" applyNumberFormat="1" applyBorder="1" applyAlignment="1">
      <alignment horizontal="right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176" fontId="5" fillId="2" borderId="2" xfId="8" applyFont="1" applyFill="1" applyBorder="1" applyAlignment="1" applyProtection="1">
      <alignment horizontal="right" vertical="center" shrinkToFit="1"/>
      <protection locked="0"/>
    </xf>
  </cellXfs>
  <cellStyles count="17">
    <cellStyle name="백분율" xfId="2" builtinId="5"/>
    <cellStyle name="쉼표 [0]" xfId="1" builtinId="6"/>
    <cellStyle name="쉼표 [0] 10" xfId="3"/>
    <cellStyle name="쉼표 [0] 10 2" xfId="4"/>
    <cellStyle name="쉼표 [0] 10 2 2" xfId="14"/>
    <cellStyle name="쉼표 [0] 10 2 3" xfId="10"/>
    <cellStyle name="쉼표 [0] 10 3" xfId="13"/>
    <cellStyle name="쉼표 [0] 10 4" xfId="9"/>
    <cellStyle name="쉼표 [0] 2" xfId="7"/>
    <cellStyle name="쉼표 [0] 2 2" xfId="8"/>
    <cellStyle name="쉼표 [0] 2 2 2" xfId="16"/>
    <cellStyle name="쉼표 [0] 2 2 3" xfId="12"/>
    <cellStyle name="쉼표 [0] 2 3" xfId="15"/>
    <cellStyle name="쉼표 [0] 2 4" xfId="11"/>
    <cellStyle name="표준" xfId="0" builtinId="0"/>
    <cellStyle name="표준 2" xfId="6"/>
    <cellStyle name="표준 3" xfId="5"/>
  </cellStyles>
  <dxfs count="32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pivotCacheDefinition" Target="pivotCache/pivotCacheDefinition2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17</xdr:row>
      <xdr:rowOff>23811</xdr:rowOff>
    </xdr:from>
    <xdr:to>
      <xdr:col>18</xdr:col>
      <xdr:colOff>2250281</xdr:colOff>
      <xdr:row>21</xdr:row>
      <xdr:rowOff>-1</xdr:rowOff>
    </xdr:to>
    <xdr:sp macro="" textlink="">
      <xdr:nvSpPr>
        <xdr:cNvPr id="2" name="TextBox 1"/>
        <xdr:cNvSpPr txBox="1"/>
      </xdr:nvSpPr>
      <xdr:spPr>
        <a:xfrm>
          <a:off x="2238375" y="238124"/>
          <a:ext cx="6298406" cy="83343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205\&#54016;&#48324;&#51088;&#47308;\databook\26&#45380;%20&#54016;&#48324;&#52712;&#54633;\&#44592;&#44368;2&#54016;\&#9733;2026&#45380;_databook_&#44592;&#44368;2&#54016;_260205_&#49436;&#46041;&#5098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&#44592;&#44368;1&#54016;_26030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16\&#54016;&#48324;&#51088;&#47308;\databook\&#9733;2026&#45380;_databook_FS3&#54016;&amp;GS&#54016;_260416_&#44160;&#53664;&#51473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8149;&#48124;&#50864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9436;&#46041;&#50980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50504;&#54812;&#50672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2&#54016;\&#9733;2026&#45380;_databook_&#44592;&#44368;2&#54016;_260430_&#49436;&#46041;&#5098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26년 databook(취합)"/>
      <sheetName val="25Pivot"/>
      <sheetName val="수주리스트"/>
      <sheetName val="팀연간"/>
      <sheetName val="영업대표별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heet1"/>
      <sheetName val="thsm자료_2600416"/>
      <sheetName val="26년 databook(취합)"/>
      <sheetName val="팀연간"/>
      <sheetName val="영업대표별"/>
      <sheetName val="마감내역"/>
      <sheetName val="요약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839.575419212961" createdVersion="6" refreshedVersion="6" minRefreshableVersion="3" recordCount="798">
  <cacheSource type="worksheet">
    <worksheetSource ref="D23:BE723" sheet="26년 databook(취합)"/>
  </cacheSource>
  <cacheFields count="68">
    <cacheField name="25년_x000a_담당팀" numFmtId="0">
      <sharedItems/>
    </cacheField>
    <cacheField name="25년_x000a_영업대표" numFmtId="0">
      <sharedItems containsBlank="1" count="14">
        <s v="김묘정"/>
        <s v="서동윤"/>
        <s v="김나리"/>
        <s v="안혜연"/>
        <s v="장윤오"/>
        <s v="황재연"/>
        <s v="고예서"/>
        <s v="이종혁"/>
        <s v="박혜원"/>
        <s v="공통 DB"/>
        <s v="신우섭"/>
        <s v="이윤지(퇴사)"/>
        <m u="1"/>
        <s v="이윤지" u="1"/>
      </sharedItems>
    </cacheField>
    <cacheField name="기업명 (HSM 기준)" numFmtId="0">
      <sharedItems/>
    </cacheField>
    <cacheField name="기업코드" numFmtId="0">
      <sharedItems containsBlank="1" containsMixedTypes="1" containsNumber="1" containsInteger="1" minValue="92" maxValue="63549"/>
    </cacheField>
    <cacheField name="기업등급" numFmtId="0">
      <sharedItems containsBlank="1"/>
    </cacheField>
    <cacheField name="고객구분" numFmtId="0">
      <sharedItems containsBlank="1" containsMixedTypes="1" containsNumber="1" containsInteger="1" minValue="12130000" maxValue="12130000"/>
    </cacheField>
    <cacheField name="LMS 상태" numFmtId="0">
      <sharedItems containsBlank="1" containsMixedTypes="1" containsNumber="1" containsInteger="1" minValue="80000" maxValue="80000"/>
    </cacheField>
    <cacheField name="24년 사업유형" numFmtId="0">
      <sharedItems containsBlank="1"/>
    </cacheField>
    <cacheField name="25년 사업유형" numFmtId="0">
      <sharedItems containsBlank="1" count="24">
        <s v="02. 이러닝 - 단과"/>
        <s v="01. 이러닝 - 통합위탁"/>
        <s v="08. 하이브리드러닝 - 하이브리드형 러닝"/>
        <s v="14. 컨텐츠 - 컨텐츠 개발"/>
        <s v="09. 하이브리드러닝 - 순수 오프라인"/>
        <s v="07. 이러닝 - 컨텐츠 임대/판매"/>
        <s v="03. 이러닝 - 법정"/>
        <s v="05. 이러닝 - 북러닝"/>
        <s v="23. 기타 - 플레이북"/>
        <s v="04. 이러닝 - 마이크로러닝"/>
        <s v="10. 구독 - 휴넷CEO멤버십"/>
        <s v="24. 기타 - 포럼"/>
        <s v="11. 구독 - 휴넷 리더십저니"/>
        <s v="19. 운영 - 운영매출"/>
        <s v="26. 이러닝 - 정부지원사업"/>
        <s v="15. 솔루션 - LABS"/>
        <s v="28. 구독 - 휴넷FLEX"/>
        <s v="13. 구독 - Wisdom spring"/>
        <s v="25. 기타 - 기타"/>
        <s v="17. 솔루션 - 기타"/>
        <s v="18. 운영 - BPO"/>
        <m u="1"/>
        <s v="06. 이러닝 - 휴넷FLEX" u="1"/>
        <s v="20. 기타 - 독서통신(제휴)" u="1"/>
      </sharedItems>
    </cacheField>
    <cacheField name="23년 매출" numFmtId="0">
      <sharedItems containsBlank="1" containsMixedTypes="1" containsNumber="1" containsInteger="1" minValue="0" maxValue="1736640729"/>
    </cacheField>
    <cacheField name="24년 매출" numFmtId="0">
      <sharedItems containsBlank="1" containsMixedTypes="1" containsNumber="1" minValue="0" maxValue="2207604250"/>
    </cacheField>
    <cacheField name="25년_x000a_확정/가망/기회 " numFmtId="0">
      <sharedItems containsBlank="1" count="9">
        <s v="03 기회"/>
        <s v="01 확정"/>
        <s v="02 가망"/>
        <s v="08 2024년 매출"/>
        <s v="04 실주"/>
        <s v="07 2023년 매출"/>
        <s v="06 사업취소"/>
        <s v="05 Drop"/>
        <m u="1"/>
      </sharedItems>
    </cacheField>
    <cacheField name="25년 목표합계" numFmtId="177">
      <sharedItems containsString="0" containsBlank="1" containsNumber="1" minValue="0" maxValue="1532000000"/>
    </cacheField>
    <cacheField name="25년 예상매출합계" numFmtId="177">
      <sharedItems containsSemiMixedTypes="0" containsString="0" containsNumber="1" minValue="0" maxValue="1541224340"/>
    </cacheField>
    <cacheField name="전주" numFmtId="0">
      <sharedItems containsSemiMixedTypes="0" containsString="0" containsNumber="1" minValue="0" maxValue="1540324785"/>
    </cacheField>
    <cacheField name="차이" numFmtId="177">
      <sharedItems containsSemiMixedTypes="0" containsString="0" containsNumber="1" minValue="-600000000" maxValue="100000000"/>
    </cacheField>
    <cacheField name="1월 목표" numFmtId="0">
      <sharedItems containsString="0" containsBlank="1" containsNumber="1" minValue="0" maxValue="300000000"/>
    </cacheField>
    <cacheField name="1월 예상" numFmtId="0">
      <sharedItems containsString="0" containsBlank="1" containsNumber="1" minValue="0" maxValue="241437204"/>
    </cacheField>
    <cacheField name="1월 매출" numFmtId="0">
      <sharedItems containsString="0" containsBlank="1" containsNumber="1" containsInteger="1" minValue="0" maxValue="241437204"/>
    </cacheField>
    <cacheField name="사유" numFmtId="0">
      <sharedItems containsBlank="1"/>
    </cacheField>
    <cacheField name="2월 목표" numFmtId="0">
      <sharedItems containsString="0" containsBlank="1" containsNumber="1" minValue="200000" maxValue="343636363.63636363"/>
    </cacheField>
    <cacheField name="2월 예상" numFmtId="0">
      <sharedItems containsString="0" containsBlank="1" containsNumber="1" minValue="0" maxValue="343636363.63636363"/>
    </cacheField>
    <cacheField name="2월 매출" numFmtId="0">
      <sharedItems containsString="0" containsBlank="1" containsNumber="1" minValue="0" maxValue="343643323.63636398"/>
    </cacheField>
    <cacheField name="사유2" numFmtId="0">
      <sharedItems containsBlank="1"/>
    </cacheField>
    <cacheField name="3월 목표" numFmtId="0">
      <sharedItems containsString="0" containsBlank="1" containsNumber="1" containsInteger="1" minValue="200000" maxValue="250000000"/>
    </cacheField>
    <cacheField name="3월 예상" numFmtId="0">
      <sharedItems containsString="0" containsBlank="1" containsNumber="1" minValue="0" maxValue="253636363.63636363"/>
    </cacheField>
    <cacheField name="3월 매출" numFmtId="0">
      <sharedItems containsString="0" containsBlank="1" containsNumber="1" containsInteger="1" minValue="0" maxValue="253636364"/>
    </cacheField>
    <cacheField name="사유3" numFmtId="0">
      <sharedItems containsBlank="1" containsMixedTypes="1" containsNumber="1" containsInteger="1" minValue="1297180" maxValue="1297180"/>
    </cacheField>
    <cacheField name="4월 목표" numFmtId="0">
      <sharedItems containsString="0" containsBlank="1" containsNumber="1" minValue="200000" maxValue="253636363.63636363"/>
    </cacheField>
    <cacheField name="4월 예상" numFmtId="0">
      <sharedItems containsString="0" containsBlank="1" containsNumber="1" containsInteger="1" minValue="0" maxValue="150000000"/>
    </cacheField>
    <cacheField name="4월 매출" numFmtId="0">
      <sharedItems containsString="0" containsBlank="1" containsNumber="1" containsInteger="1" minValue="0" maxValue="143060980"/>
    </cacheField>
    <cacheField name="사유4" numFmtId="0">
      <sharedItems containsBlank="1"/>
    </cacheField>
    <cacheField name="5월 목표" numFmtId="0">
      <sharedItems containsString="0" containsBlank="1" containsNumber="1" containsInteger="1" minValue="200000" maxValue="820000000"/>
    </cacheField>
    <cacheField name="5월 예상" numFmtId="0">
      <sharedItems containsString="0" containsBlank="1" containsNumber="1" containsInteger="1" minValue="0" maxValue="148021700"/>
    </cacheField>
    <cacheField name="5월 매출" numFmtId="0">
      <sharedItems containsString="0" containsBlank="1" containsNumber="1" containsInteger="1" minValue="0" maxValue="148222750"/>
    </cacheField>
    <cacheField name="사유5" numFmtId="0">
      <sharedItems containsNonDate="0" containsString="0" containsBlank="1"/>
    </cacheField>
    <cacheField name="6월 목표" numFmtId="0">
      <sharedItems containsString="0" containsBlank="1" containsNumber="1" containsInteger="1" minValue="200000" maxValue="200000000"/>
    </cacheField>
    <cacheField name="6월 예상" numFmtId="0">
      <sharedItems containsString="0" containsBlank="1" containsNumber="1" containsInteger="1" minValue="0" maxValue="204072727"/>
    </cacheField>
    <cacheField name="6월 매출" numFmtId="0">
      <sharedItems containsString="0" containsBlank="1" containsNumber="1" containsInteger="1" minValue="0" maxValue="98617230"/>
    </cacheField>
    <cacheField name="사유6" numFmtId="0">
      <sharedItems containsBlank="1"/>
    </cacheField>
    <cacheField name="7월 목표" numFmtId="0">
      <sharedItems containsString="0" containsBlank="1" containsNumber="1" containsInteger="1" minValue="200000" maxValue="200000000"/>
    </cacheField>
    <cacheField name="7월 예상" numFmtId="0">
      <sharedItems containsString="0" containsBlank="1" containsNumber="1" containsInteger="1" minValue="0" maxValue="820000000"/>
    </cacheField>
    <cacheField name="7월 매출" numFmtId="0">
      <sharedItems containsNonDate="0" containsString="0" containsBlank="1"/>
    </cacheField>
    <cacheField name="사유7" numFmtId="0">
      <sharedItems containsNonDate="0" containsString="0" containsBlank="1"/>
    </cacheField>
    <cacheField name="8월 목표" numFmtId="0">
      <sharedItems containsString="0" containsBlank="1" containsNumber="1" containsInteger="1" minValue="200000" maxValue="100000000"/>
    </cacheField>
    <cacheField name="8월 예상" numFmtId="0">
      <sharedItems containsString="0" containsBlank="1" containsNumber="1" containsInteger="1" minValue="0" maxValue="200000000"/>
    </cacheField>
    <cacheField name="8월 매출" numFmtId="0">
      <sharedItems containsString="0" containsBlank="1" containsNumber="1" containsInteger="1" minValue="6000000" maxValue="6000000"/>
    </cacheField>
    <cacheField name="사유8" numFmtId="0">
      <sharedItems containsString="0" containsBlank="1" containsNumber="1" containsInteger="1" minValue="6000000" maxValue="6000000"/>
    </cacheField>
    <cacheField name="9월 목표" numFmtId="0">
      <sharedItems containsString="0" containsBlank="1" containsNumber="1" containsInteger="1" minValue="200000" maxValue="200000000"/>
    </cacheField>
    <cacheField name="9월 예상" numFmtId="0">
      <sharedItems containsString="0" containsBlank="1" containsNumber="1" containsInteger="1" minValue="0" maxValue="200000000"/>
    </cacheField>
    <cacheField name="9월 매출" numFmtId="0">
      <sharedItems containsString="0" containsBlank="1" containsNumber="1" containsInteger="1" minValue="6000000" maxValue="6000000"/>
    </cacheField>
    <cacheField name="사유9" numFmtId="0">
      <sharedItems containsBlank="1" containsMixedTypes="1" containsNumber="1" containsInteger="1" minValue="6000000" maxValue="6000000"/>
    </cacheField>
    <cacheField name="10월 목표" numFmtId="0">
      <sharedItems containsString="0" containsBlank="1" containsNumber="1" containsInteger="1" minValue="200000" maxValue="300000000"/>
    </cacheField>
    <cacheField name="10월 예상" numFmtId="0">
      <sharedItems containsString="0" containsBlank="1" containsNumber="1" containsInteger="1" minValue="0" maxValue="300000000"/>
    </cacheField>
    <cacheField name="10월 매출" numFmtId="0">
      <sharedItems containsString="0" containsBlank="1" containsNumber="1" containsInteger="1" minValue="6000000" maxValue="6000000"/>
    </cacheField>
    <cacheField name="사유10" numFmtId="0">
      <sharedItems containsString="0" containsBlank="1" containsNumber="1" containsInteger="1" minValue="6000000" maxValue="6000000"/>
    </cacheField>
    <cacheField name="11월 목표" numFmtId="0">
      <sharedItems containsString="0" containsBlank="1" containsNumber="1" containsInteger="1" minValue="200000" maxValue="200000000"/>
    </cacheField>
    <cacheField name="11월 예상" numFmtId="0">
      <sharedItems containsString="0" containsBlank="1" containsNumber="1" containsInteger="1" minValue="0" maxValue="200000000"/>
    </cacheField>
    <cacheField name="11월 매출" numFmtId="0">
      <sharedItems containsString="0" containsBlank="1" containsNumber="1" containsInteger="1" minValue="6000000" maxValue="6000000"/>
    </cacheField>
    <cacheField name="사유11" numFmtId="0">
      <sharedItems containsString="0" containsBlank="1" containsNumber="1" containsInteger="1" minValue="6000000" maxValue="6000000"/>
    </cacheField>
    <cacheField name="12월 목표" numFmtId="0">
      <sharedItems containsString="0" containsBlank="1" containsNumber="1" containsInteger="1" minValue="300000" maxValue="800000000"/>
    </cacheField>
    <cacheField name="12월 예상" numFmtId="0">
      <sharedItems containsString="0" containsBlank="1" containsNumber="1" minValue="0" maxValue="800000000"/>
    </cacheField>
    <cacheField name="12월 매출" numFmtId="0">
      <sharedItems containsNonDate="0" containsString="0" containsBlank="1"/>
    </cacheField>
    <cacheField name="사유12" numFmtId="0">
      <sharedItems containsBlank="1"/>
    </cacheField>
    <cacheField name="26년 매출" numFmtId="0">
      <sharedItems containsString="0" containsBlank="1" containsNumber="1" containsInteger="1" minValue="95640000" maxValue="95640000"/>
    </cacheField>
    <cacheField name="27년 매출" numFmtId="0">
      <sharedItems containsNonDate="0" containsString="0" containsBlank="1"/>
    </cacheField>
    <cacheField name="28년 매출" numFmtId="0">
      <sharedItems containsNonDate="0" containsString="0" containsBlank="1"/>
    </cacheField>
    <cacheField name="하이브리드러닝_x000a_VRB여부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586602430558" createdVersion="6" refreshedVersion="6" minRefreshableVersion="3" recordCount="706">
  <cacheSource type="worksheet">
    <worksheetSource ref="A23:BF1002" sheet="26년 databook(취합)"/>
  </cacheSource>
  <cacheFields count="58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39.586610879633" createdVersion="6" refreshedVersion="6" minRefreshableVersion="3" recordCount="706">
  <cacheSource type="worksheet">
    <worksheetSource ref="A23:BE1002" sheet="26년 databook(취합)"/>
  </cacheSource>
  <cacheFields count="57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서동윤"/>
        <s v="박민우"/>
        <s v="안혜연"/>
        <s v="이종혁"/>
        <s v="박혜원"/>
        <s v="최다경"/>
        <s v="신우섭"/>
        <s v="박재은"/>
        <s v="송준호"/>
        <s v="최상근"/>
        <m/>
      </sharedItems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8">
  <r>
    <s v="기업교육2팀"/>
    <x v="0"/>
    <s v="bnk금융지주"/>
    <n v="24486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bnk캐피탈"/>
    <n v="25011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61301"/>
    <m/>
    <m/>
    <m/>
    <m/>
    <x v="1"/>
    <m/>
    <m/>
    <x v="1"/>
    <n v="0"/>
    <n v="5879560"/>
    <n v="5879560"/>
    <n v="0"/>
    <m/>
    <m/>
    <m/>
    <m/>
    <m/>
    <m/>
    <m/>
    <m/>
    <m/>
    <m/>
    <n v="1536090"/>
    <m/>
    <m/>
    <m/>
    <n v="1068240"/>
    <m/>
    <m/>
    <n v="3275230"/>
    <n v="3275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22246"/>
    <m/>
    <m/>
    <m/>
    <s v="6. 하이브리드러닝 - 집합형"/>
    <x v="2"/>
    <n v="681769455"/>
    <n v="42448125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</r>
  <r>
    <s v="기업교육2팀"/>
    <x v="0"/>
    <s v="KB금융지주"/>
    <n v="22246"/>
    <m/>
    <m/>
    <m/>
    <s v="10. 컨텐츠 - 컨텐츠 개발"/>
    <x v="3"/>
    <s v=""/>
    <n v="6363636"/>
    <x v="0"/>
    <n v="6000000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CEO코칭)"/>
    <n v="22246"/>
    <m/>
    <m/>
    <m/>
    <m/>
    <x v="4"/>
    <m/>
    <m/>
    <x v="1"/>
    <n v="0"/>
    <n v="16500000"/>
    <n v="16500000"/>
    <n v="0"/>
    <m/>
    <m/>
    <m/>
    <m/>
    <m/>
    <m/>
    <m/>
    <m/>
    <m/>
    <m/>
    <m/>
    <m/>
    <m/>
    <m/>
    <m/>
    <m/>
    <m/>
    <m/>
    <m/>
    <m/>
    <m/>
    <n v="16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NMC)"/>
    <n v="22246"/>
    <s v="01 1~1000대"/>
    <s v="03 신규"/>
    <m/>
    <m/>
    <x v="2"/>
    <m/>
    <n v="0"/>
    <x v="1"/>
    <n v="200000000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  <m/>
    <m/>
    <m/>
    <m/>
    <m/>
    <m/>
    <n v="200000000"/>
    <m/>
    <m/>
    <m/>
    <m/>
    <m/>
    <m/>
    <m/>
    <m/>
    <m/>
    <m/>
    <m/>
    <m/>
    <m/>
    <m/>
    <m/>
    <m/>
    <m/>
    <m/>
    <m/>
    <m/>
    <m/>
    <s v="yet"/>
  </r>
  <r>
    <s v="기업교육2팀"/>
    <x v="0"/>
    <s v="KB금융지주(FMC)"/>
    <n v="22246"/>
    <s v="01 1~1000대"/>
    <s v="01 수성"/>
    <s v="01 자체 LMS"/>
    <s v="5. 하이브리드러닝 - 러닝저니"/>
    <x v="2"/>
    <s v=""/>
    <n v="330309000"/>
    <x v="1"/>
    <n v="300000000"/>
    <n v="300000000"/>
    <n v="22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  <m/>
    <m/>
    <m/>
    <m/>
    <m/>
    <m/>
    <m/>
    <m/>
  </r>
  <r>
    <s v="기업교육2팀"/>
    <x v="0"/>
    <s v="KB금융지주(KB국민은행)"/>
    <n v="61302"/>
    <s v="01 1~1000대"/>
    <s v="01 수성"/>
    <s v="01 자체 LMS"/>
    <s v="10. 컨텐츠 - 컨텐츠 개발"/>
    <x v="3"/>
    <n v="16909091"/>
    <n v="16909090.909090906"/>
    <x v="1"/>
    <n v="17000000"/>
    <n v="16909091"/>
    <n v="16909091"/>
    <n v="0"/>
    <m/>
    <m/>
    <m/>
    <m/>
    <m/>
    <m/>
    <m/>
    <m/>
    <m/>
    <m/>
    <m/>
    <m/>
    <m/>
    <m/>
    <m/>
    <m/>
    <m/>
    <m/>
    <m/>
    <m/>
    <n v="17000000"/>
    <n v="16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국민은행)"/>
    <n v="61302"/>
    <m/>
    <m/>
    <m/>
    <m/>
    <x v="1"/>
    <m/>
    <n v="0"/>
    <x v="1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n v="30760160"/>
    <m/>
    <m/>
    <m/>
    <m/>
    <m/>
    <m/>
    <m/>
    <m/>
    <m/>
    <m/>
    <m/>
    <m/>
    <m/>
    <m/>
    <m/>
    <m/>
    <m/>
    <m/>
    <n v="100000000"/>
    <n v="69239840"/>
    <m/>
    <m/>
    <m/>
    <m/>
    <m/>
    <m/>
    <m/>
    <m/>
    <m/>
    <s v="PASS"/>
  </r>
  <r>
    <s v="기업교육2팀"/>
    <x v="0"/>
    <s v="KB금융지주(케이비국민카드)"/>
    <n v="61305"/>
    <m/>
    <m/>
    <m/>
    <m/>
    <x v="1"/>
    <n v="0"/>
    <n v="0"/>
    <x v="1"/>
    <n v="70000000"/>
    <n v="46321180"/>
    <n v="46000000"/>
    <n v="321180"/>
    <m/>
    <m/>
    <m/>
    <m/>
    <n v="3000000"/>
    <n v="8262920"/>
    <m/>
    <m/>
    <n v="7000000"/>
    <n v="6972410"/>
    <m/>
    <m/>
    <n v="7000000"/>
    <m/>
    <m/>
    <m/>
    <n v="7000000"/>
    <n v="13000000"/>
    <m/>
    <m/>
    <n v="7000000"/>
    <n v="9321180"/>
    <m/>
    <m/>
    <n v="7000000"/>
    <n v="8000000"/>
    <m/>
    <m/>
    <n v="5000000"/>
    <n v="7000000"/>
    <m/>
    <m/>
    <n v="7000000"/>
    <n v="8000000"/>
    <m/>
    <m/>
    <n v="7000000"/>
    <n v="7000000"/>
    <m/>
    <m/>
    <n v="7000000"/>
    <n v="7000000"/>
    <m/>
    <m/>
    <n v="6000000"/>
    <n v="0"/>
    <m/>
    <m/>
    <m/>
    <m/>
    <m/>
    <s v="PASS"/>
  </r>
  <r>
    <s v="기업교육2팀"/>
    <x v="0"/>
    <s v="KB금융지주(케이비국민카드)"/>
    <n v="61305"/>
    <m/>
    <m/>
    <m/>
    <m/>
    <x v="2"/>
    <n v="38064927"/>
    <n v="19100000"/>
    <x v="1"/>
    <n v="0"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국민카드)"/>
    <n v="61305"/>
    <s v="01 1~1000대"/>
    <s v="01 수성"/>
    <s v="01 자체 LMS"/>
    <s v="6. 하이브리드러닝 - 집합형"/>
    <x v="2"/>
    <m/>
    <m/>
    <x v="1"/>
    <n v="0"/>
    <n v="0"/>
    <n v="0"/>
    <n v="0"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손해보험)"/>
    <n v="61304"/>
    <m/>
    <m/>
    <m/>
    <m/>
    <x v="1"/>
    <m/>
    <n v="0"/>
    <x v="1"/>
    <n v="160000000"/>
    <n v="150559570"/>
    <n v="150461390"/>
    <n v="98180"/>
    <n v="20000000"/>
    <n v="0"/>
    <m/>
    <m/>
    <n v="20000000"/>
    <n v="30000000"/>
    <n v="1591600"/>
    <m/>
    <n v="20000000"/>
    <n v="12000000"/>
    <n v="26464810"/>
    <m/>
    <n v="10000000"/>
    <n v="20000000"/>
    <n v="12530940"/>
    <m/>
    <n v="20000000"/>
    <n v="10874040"/>
    <n v="10874040"/>
    <m/>
    <n v="10000000"/>
    <n v="10498180"/>
    <m/>
    <m/>
    <n v="10000000"/>
    <n v="136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m/>
    <m/>
    <m/>
    <s v="PASS"/>
  </r>
  <r>
    <s v="기업교육2팀"/>
    <x v="0"/>
    <s v="KB금융지주(케이비손해보험)"/>
    <n v="61304"/>
    <m/>
    <m/>
    <m/>
    <m/>
    <x v="2"/>
    <m/>
    <m/>
    <x v="1"/>
    <n v="0"/>
    <n v="3305000"/>
    <n v="3305000"/>
    <n v="0"/>
    <m/>
    <m/>
    <m/>
    <m/>
    <m/>
    <m/>
    <m/>
    <m/>
    <m/>
    <m/>
    <m/>
    <m/>
    <m/>
    <m/>
    <n v="33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증권)"/>
    <n v="61303"/>
    <m/>
    <m/>
    <m/>
    <m/>
    <x v="1"/>
    <m/>
    <n v="0"/>
    <x v="1"/>
    <n v="340000000"/>
    <n v="392061400"/>
    <n v="392061400"/>
    <n v="0"/>
    <n v="20000000"/>
    <n v="22744520"/>
    <n v="23496520"/>
    <m/>
    <n v="20000000"/>
    <n v="17255480"/>
    <n v="32437050"/>
    <m/>
    <n v="30000000"/>
    <n v="30000000"/>
    <n v="57083400"/>
    <m/>
    <n v="30000000"/>
    <n v="20000000"/>
    <n v="50937060"/>
    <m/>
    <n v="20000000"/>
    <n v="31000000"/>
    <n v="38107370"/>
    <m/>
    <n v="30000000"/>
    <n v="30000000"/>
    <m/>
    <m/>
    <n v="30000000"/>
    <n v="30000000"/>
    <m/>
    <m/>
    <n v="30000000"/>
    <n v="20000000"/>
    <m/>
    <m/>
    <n v="30000000"/>
    <n v="20000000"/>
    <m/>
    <m/>
    <n v="30000000"/>
    <n v="20000000"/>
    <m/>
    <m/>
    <n v="40000000"/>
    <n v="40000000"/>
    <m/>
    <m/>
    <n v="30000000"/>
    <n v="30000000"/>
    <m/>
    <m/>
    <m/>
    <m/>
    <m/>
    <s v="PASS"/>
  </r>
  <r>
    <s v="기업교육2팀"/>
    <x v="0"/>
    <s v="KB자산운용"/>
    <n v="61307"/>
    <m/>
    <m/>
    <m/>
    <m/>
    <x v="4"/>
    <m/>
    <n v="0"/>
    <x v="1"/>
    <n v="0"/>
    <n v="3000000"/>
    <n v="3000000"/>
    <n v="0"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저축은행"/>
    <n v="61310"/>
    <m/>
    <s v="03 신규"/>
    <s v="03 휴넷 LMS"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n v="10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m/>
    <m/>
    <m/>
  </r>
  <r>
    <s v="기업교육2팀"/>
    <x v="0"/>
    <s v="KT"/>
    <n v="1621"/>
    <s v="01 1~1000대"/>
    <m/>
    <m/>
    <s v="통합위탁"/>
    <x v="1"/>
    <n v="84000000"/>
    <n v="887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. 온라인 - 단과"/>
    <x v="0"/>
    <m/>
    <n v="77600000"/>
    <x v="2"/>
    <n v="78000000"/>
    <n v="78000000"/>
    <n v="78000000"/>
    <n v="0"/>
    <m/>
    <m/>
    <m/>
    <m/>
    <n v="78000000"/>
    <m/>
    <m/>
    <m/>
    <m/>
    <m/>
    <m/>
    <m/>
    <m/>
    <m/>
    <m/>
    <m/>
    <m/>
    <m/>
    <m/>
    <m/>
    <m/>
    <m/>
    <m/>
    <m/>
    <m/>
    <n v="7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1. 컨텐츠 - 컨텐츠 임대/판매"/>
    <x v="5"/>
    <n v="88065000"/>
    <n v="400948980"/>
    <x v="1"/>
    <n v="200000000"/>
    <n v="95000000"/>
    <n v="200000000"/>
    <n v="-105000000"/>
    <m/>
    <m/>
    <m/>
    <m/>
    <m/>
    <m/>
    <m/>
    <m/>
    <m/>
    <m/>
    <m/>
    <m/>
    <m/>
    <m/>
    <m/>
    <m/>
    <m/>
    <m/>
    <m/>
    <m/>
    <n v="100000000"/>
    <n v="0"/>
    <m/>
    <m/>
    <m/>
    <n v="95000000"/>
    <m/>
    <m/>
    <m/>
    <m/>
    <m/>
    <m/>
    <m/>
    <m/>
    <m/>
    <m/>
    <m/>
    <m/>
    <m/>
    <m/>
    <m/>
    <m/>
    <m/>
    <m/>
    <n v="100000000"/>
    <m/>
    <m/>
    <m/>
    <m/>
    <m/>
    <m/>
    <m/>
  </r>
  <r>
    <s v="기업교육2팀"/>
    <x v="0"/>
    <s v="KT"/>
    <n v="1621"/>
    <s v="01 1~1000대"/>
    <m/>
    <m/>
    <s v="6. 하이브리드러닝 - 집합형"/>
    <x v="2"/>
    <n v="10100000"/>
    <n v="72060000"/>
    <x v="1"/>
    <n v="5000000"/>
    <n v="76000000"/>
    <n v="76000000"/>
    <n v="0"/>
    <m/>
    <m/>
    <m/>
    <m/>
    <m/>
    <m/>
    <m/>
    <m/>
    <m/>
    <m/>
    <m/>
    <m/>
    <m/>
    <m/>
    <m/>
    <m/>
    <m/>
    <m/>
    <m/>
    <m/>
    <m/>
    <n v="76000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</r>
  <r>
    <s v="기업교육2팀"/>
    <x v="0"/>
    <s v="MG인재개발원"/>
    <n v="12837"/>
    <s v="04 3000대 이후"/>
    <s v="01 수성"/>
    <s v="03 휴넷 LMS"/>
    <s v="10. 컨텐츠 - 컨텐츠 개발"/>
    <x v="3"/>
    <n v="880000"/>
    <n v="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NH농협캐피탈"/>
    <n v="41115"/>
    <s v="02 1001~2000대"/>
    <s v="01 수성"/>
    <m/>
    <s v="1. 온라인 - 단과"/>
    <x v="0"/>
    <n v="4420000"/>
    <n v="4959000"/>
    <x v="1"/>
    <n v="6000000"/>
    <n v="6000000"/>
    <n v="6000000"/>
    <n v="0"/>
    <m/>
    <m/>
    <m/>
    <m/>
    <m/>
    <m/>
    <m/>
    <m/>
    <n v="3000000"/>
    <n v="3000000"/>
    <n v="0"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n v="3000000"/>
    <m/>
    <m/>
    <m/>
    <m/>
    <m/>
    <s v="PASS"/>
  </r>
  <r>
    <s v="기업교육2팀"/>
    <x v="0"/>
    <s v="NH농협캐피탈"/>
    <n v="41115"/>
    <s v="02 1001~2000대"/>
    <s v="01 수성"/>
    <m/>
    <s v="2. 온라인 - 법정"/>
    <x v="6"/>
    <n v="4577000"/>
    <n v="3654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s v="PASS"/>
  </r>
  <r>
    <s v="기업교육2팀"/>
    <x v="0"/>
    <s v="국민은행"/>
    <n v="28114"/>
    <m/>
    <m/>
    <m/>
    <m/>
    <x v="7"/>
    <m/>
    <n v="0"/>
    <x v="0"/>
    <n v="56000000"/>
    <n v="56000000"/>
    <n v="5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000000"/>
    <n v="56000000"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s v="01 수성"/>
    <s v="01 자체 LMS"/>
    <s v="11. 컨텐츠 - 컨텐츠 임대/판매"/>
    <x v="5"/>
    <n v="108181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m/>
    <m/>
    <s v="6. 하이브리드러닝 - 집합형"/>
    <x v="2"/>
    <n v="13800000"/>
    <n v="11300000"/>
    <x v="2"/>
    <n v="12000000"/>
    <n v="12000000"/>
    <n v="12000000"/>
    <n v="0"/>
    <m/>
    <m/>
    <m/>
    <m/>
    <m/>
    <m/>
    <m/>
    <m/>
    <n v="3000000"/>
    <m/>
    <m/>
    <m/>
    <m/>
    <m/>
    <m/>
    <m/>
    <m/>
    <m/>
    <m/>
    <m/>
    <n v="3000000"/>
    <m/>
    <m/>
    <m/>
    <m/>
    <n v="3000000"/>
    <m/>
    <m/>
    <m/>
    <n v="3000000"/>
    <m/>
    <m/>
    <n v="3000000"/>
    <n v="3000000"/>
    <m/>
    <m/>
    <m/>
    <m/>
    <m/>
    <m/>
    <m/>
    <m/>
    <m/>
    <m/>
    <n v="3000000"/>
    <n v="3000000"/>
    <m/>
    <m/>
    <m/>
    <m/>
    <m/>
    <m/>
  </r>
  <r>
    <s v="기업교육2팀"/>
    <x v="0"/>
    <s v="국민은행"/>
    <n v="28114"/>
    <s v="01 1~1000대"/>
    <s v="03 신규"/>
    <m/>
    <m/>
    <x v="2"/>
    <m/>
    <n v="0"/>
    <x v="4"/>
    <n v="30000000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</r>
  <r>
    <s v="기업교육2팀"/>
    <x v="0"/>
    <s v="농협경제지주"/>
    <n v="17791"/>
    <s v="01 1~1000대"/>
    <s v="01 수성"/>
    <s v="02 경쟁사 LMS"/>
    <s v="2. 온라인 - 법정"/>
    <x v="6"/>
    <n v="21555000"/>
    <n v="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0"/>
    <s v="농협경제지주"/>
    <n v="17791"/>
    <s v="01 1~1000대"/>
    <s v="01 수성"/>
    <s v="02 경쟁사 LMS"/>
    <s v="6. 하이브리드러닝 - 집합형"/>
    <x v="2"/>
    <s v=""/>
    <n v="2100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경제지주(축산)"/>
    <n v="28561"/>
    <s v="01 1~1000대"/>
    <s v="01 수성"/>
    <s v="02 경쟁사 LMS"/>
    <s v="2. 온라인 - 법정"/>
    <x v="6"/>
    <n v="10836000"/>
    <n v="6533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금융지주"/>
    <n v="22355"/>
    <m/>
    <m/>
    <m/>
    <m/>
    <x v="2"/>
    <m/>
    <m/>
    <x v="1"/>
    <n v="0"/>
    <n v="17230000"/>
    <n v="17230000"/>
    <n v="0"/>
    <m/>
    <m/>
    <m/>
    <m/>
    <m/>
    <m/>
    <m/>
    <m/>
    <m/>
    <m/>
    <m/>
    <m/>
    <m/>
    <m/>
    <n v="172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사료"/>
    <n v="4970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생명보험"/>
    <n v="1436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은행"/>
    <n v="13928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중앙회"/>
    <n v="61739"/>
    <m/>
    <m/>
    <m/>
    <s v="11. 컨텐츠 - 컨텐츠 임대/판매"/>
    <x v="5"/>
    <s v=""/>
    <n v="18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도로공사시설관리"/>
    <n v="55866"/>
    <m/>
    <m/>
    <m/>
    <m/>
    <x v="6"/>
    <m/>
    <m/>
    <x v="1"/>
    <n v="0"/>
    <n v="6815000"/>
    <n v="6815000"/>
    <n v="0"/>
    <m/>
    <m/>
    <m/>
    <m/>
    <m/>
    <m/>
    <m/>
    <m/>
    <m/>
    <m/>
    <m/>
    <m/>
    <m/>
    <m/>
    <n v="68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동원그룹"/>
    <n v="7823"/>
    <s v="01 1~1000대"/>
    <s v="01 수성"/>
    <s v="03 휴넷 LMS"/>
    <s v="통합위탁"/>
    <x v="1"/>
    <n v="1420287005"/>
    <n v="1520089260"/>
    <x v="1"/>
    <n v="1532000000"/>
    <n v="1541224340"/>
    <n v="1540324785"/>
    <n v="899555"/>
    <n v="300000000"/>
    <n v="116598910"/>
    <n v="107963360"/>
    <m/>
    <n v="100000000"/>
    <n v="100000000"/>
    <n v="116602910"/>
    <m/>
    <n v="100000000"/>
    <n v="150000000"/>
    <n v="142474785"/>
    <m/>
    <n v="100000000"/>
    <n v="150000000"/>
    <n v="143060980"/>
    <m/>
    <n v="150000000"/>
    <n v="148021700"/>
    <n v="148222750"/>
    <m/>
    <n v="150000000"/>
    <n v="140899555"/>
    <m/>
    <m/>
    <n v="100000000"/>
    <n v="120000000"/>
    <m/>
    <m/>
    <n v="100000000"/>
    <n v="100000000"/>
    <m/>
    <m/>
    <n v="100000000"/>
    <n v="150000000"/>
    <m/>
    <m/>
    <n v="100000000"/>
    <n v="150000000"/>
    <m/>
    <m/>
    <n v="100000000"/>
    <n v="100000000"/>
    <m/>
    <m/>
    <n v="132000000"/>
    <n v="122000000"/>
    <m/>
    <m/>
    <m/>
    <m/>
    <m/>
    <s v="PASS"/>
  </r>
  <r>
    <s v="기업교육2팀"/>
    <x v="0"/>
    <s v="동원그룹"/>
    <n v="7823"/>
    <s v="01 1~1000대"/>
    <m/>
    <m/>
    <m/>
    <x v="2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"/>
    <n v="7823"/>
    <s v="01 1~1000대"/>
    <s v="01 수성"/>
    <s v="03 휴넷 LMS"/>
    <s v="6. 하이브리드러닝 - 집합형"/>
    <x v="4"/>
    <n v="17900000"/>
    <n v="36790000"/>
    <x v="1"/>
    <n v="24000000"/>
    <n v="26630000"/>
    <n v="26630000"/>
    <n v="0"/>
    <n v="2000000"/>
    <n v="6270000"/>
    <n v="5700000"/>
    <m/>
    <n v="2000000"/>
    <n v="0"/>
    <m/>
    <m/>
    <n v="2000000"/>
    <n v="0"/>
    <m/>
    <m/>
    <n v="2000000"/>
    <n v="8200000"/>
    <m/>
    <m/>
    <n v="2000000"/>
    <n v="8200000"/>
    <n v="8200000"/>
    <m/>
    <n v="2000000"/>
    <n v="0"/>
    <m/>
    <m/>
    <n v="2000000"/>
    <n v="0"/>
    <m/>
    <m/>
    <n v="2000000"/>
    <n v="0"/>
    <m/>
    <m/>
    <n v="2000000"/>
    <n v="0"/>
    <m/>
    <m/>
    <n v="2000000"/>
    <n v="0"/>
    <m/>
    <m/>
    <n v="2000000"/>
    <n v="3730000"/>
    <m/>
    <m/>
    <n v="2000000"/>
    <n v="9000000"/>
    <m/>
    <m/>
    <m/>
    <m/>
    <m/>
    <m/>
  </r>
  <r>
    <s v="기업교육2팀"/>
    <x v="0"/>
    <s v="동원그룹"/>
    <n v="7823"/>
    <s v="01 1~1000대"/>
    <m/>
    <m/>
    <m/>
    <x v="8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(안전보건교육)"/>
    <n v="55188"/>
    <s v="01 1~1000대"/>
    <s v="01 수성"/>
    <s v="03 휴넷 LMS"/>
    <s v="2. 온라인 - 법정"/>
    <x v="6"/>
    <n v="12972000"/>
    <n v="24248000"/>
    <x v="2"/>
    <n v="20000000"/>
    <n v="20000000"/>
    <n v="20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0"/>
    <s v="동원산업"/>
    <n v="3972"/>
    <s v="01 1~1000대"/>
    <s v="01 수성"/>
    <s v="03 휴넷 LMS"/>
    <s v="6. 하이브리드러닝 - 집합형"/>
    <x v="4"/>
    <n v="4900000"/>
    <n v="0"/>
    <x v="1"/>
    <n v="0"/>
    <n v="10291900"/>
    <n v="10291900"/>
    <n v="0"/>
    <m/>
    <m/>
    <m/>
    <m/>
    <m/>
    <m/>
    <m/>
    <m/>
    <m/>
    <m/>
    <m/>
    <m/>
    <m/>
    <m/>
    <n v="10291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부산은행"/>
    <n v="3764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삼성생명"/>
    <n v="314"/>
    <s v="01 1~1000대"/>
    <s v="03 신규"/>
    <s v="03 신규"/>
    <s v="11. 컨텐츠 - 컨텐츠 임대/판매"/>
    <x v="5"/>
    <m/>
    <m/>
    <x v="0"/>
    <n v="20000000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선물"/>
    <n v="60609"/>
    <m/>
    <m/>
    <m/>
    <m/>
    <x v="1"/>
    <m/>
    <m/>
    <x v="1"/>
    <n v="0"/>
    <n v="372000"/>
    <n v="372000"/>
    <n v="0"/>
    <m/>
    <m/>
    <m/>
    <m/>
    <m/>
    <m/>
    <m/>
    <m/>
    <m/>
    <m/>
    <m/>
    <m/>
    <m/>
    <m/>
    <n v="171000"/>
    <m/>
    <m/>
    <n v="201000"/>
    <n v="20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 협력사"/>
    <n v="59035"/>
    <m/>
    <m/>
    <m/>
    <m/>
    <x v="0"/>
    <m/>
    <m/>
    <x v="1"/>
    <n v="0"/>
    <n v="1130000"/>
    <n v="1130000"/>
    <n v="0"/>
    <m/>
    <m/>
    <m/>
    <m/>
    <m/>
    <m/>
    <m/>
    <m/>
    <m/>
    <m/>
    <n v="11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1"/>
    <m/>
    <m/>
    <x v="6"/>
    <n v="65000000"/>
    <n v="5000000"/>
    <n v="5000000"/>
    <n v="0"/>
    <n v="25000000"/>
    <n v="25000000"/>
    <m/>
    <m/>
    <n v="20000000"/>
    <n v="20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10. 컨텐츠 - 컨텐츠 개발"/>
    <x v="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8"/>
    <m/>
    <m/>
    <x v="0"/>
    <n v="10000000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카드"/>
    <n v="40123"/>
    <s v="01 1~1000대"/>
    <s v="01 수성"/>
    <s v="02 경쟁사 LMS"/>
    <s v="10. 컨텐츠 - 컨텐츠 개발"/>
    <x v="3"/>
    <m/>
    <m/>
    <x v="1"/>
    <n v="30000000"/>
    <n v="3000000"/>
    <n v="3000000"/>
    <n v="0"/>
    <m/>
    <m/>
    <m/>
    <m/>
    <m/>
    <m/>
    <m/>
    <m/>
    <n v="30000000"/>
    <m/>
    <n v="3000000"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서비스손해사정"/>
    <n v="17362"/>
    <m/>
    <m/>
    <m/>
    <m/>
    <x v="2"/>
    <m/>
    <m/>
    <x v="1"/>
    <n v="0"/>
    <n v="6200000"/>
    <n v="6200000"/>
    <n v="0"/>
    <m/>
    <m/>
    <n v="4700000"/>
    <m/>
    <m/>
    <m/>
    <m/>
    <m/>
    <m/>
    <m/>
    <n v="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해상보험"/>
    <n v="5123"/>
    <s v="01 1~1000대"/>
    <s v="03 신규"/>
    <m/>
    <m/>
    <x v="0"/>
    <m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s v="04 3000대 이후"/>
    <s v="01 수성"/>
    <s v="03 휴넷 LMS"/>
    <s v="통합위탁"/>
    <x v="1"/>
    <n v="1736640729"/>
    <n v="220760425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m/>
    <m/>
    <m/>
    <s v="10. 컨텐츠 - 컨텐츠 개발"/>
    <x v="3"/>
    <s v=""/>
    <n v="128227273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복지회"/>
    <n v="50518"/>
    <s v="04 3000대 이후"/>
    <s v="01 수성"/>
    <s v="03 휴넷 LMS"/>
    <s v="통합위탁"/>
    <x v="1"/>
    <n v="7600120"/>
    <n v="706886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s v="03 휴넷 LMS"/>
    <s v="2. 온라인 - 법정"/>
    <x v="6"/>
    <n v="25906800"/>
    <n v="73692700"/>
    <x v="2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m/>
    <m/>
    <x v="2"/>
    <m/>
    <n v="0"/>
    <x v="1"/>
    <n v="20000000"/>
    <n v="168647273"/>
    <n v="168647273"/>
    <n v="0"/>
    <m/>
    <m/>
    <m/>
    <m/>
    <n v="20000000"/>
    <n v="20000000"/>
    <m/>
    <m/>
    <m/>
    <n v="21000000"/>
    <n v="25920000"/>
    <m/>
    <m/>
    <n v="25000000"/>
    <n v="22727273"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s v="yet"/>
  </r>
  <r>
    <s v="기업교육2팀"/>
    <x v="0"/>
    <s v="서울우유"/>
    <n v="6928"/>
    <m/>
    <m/>
    <m/>
    <s v="통합위탁"/>
    <x v="1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엘지에너지솔루션"/>
    <n v="46286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엘지에너지솔루션"/>
    <n v="46286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금융지주 (수주40%)"/>
    <n v="3734"/>
    <m/>
    <m/>
    <m/>
    <s v="5. 하이브리드러닝 - 러닝저니"/>
    <x v="2"/>
    <s v=""/>
    <n v="290909182"/>
    <x v="1"/>
    <n v="200000000"/>
    <n v="110061818"/>
    <n v="86061818"/>
    <n v="24000000"/>
    <m/>
    <m/>
    <m/>
    <m/>
    <m/>
    <m/>
    <m/>
    <m/>
    <m/>
    <m/>
    <m/>
    <m/>
    <m/>
    <m/>
    <n v="6061818"/>
    <m/>
    <m/>
    <m/>
    <m/>
    <m/>
    <m/>
    <m/>
    <m/>
    <m/>
    <m/>
    <m/>
    <m/>
    <m/>
    <m/>
    <m/>
    <m/>
    <m/>
    <m/>
    <m/>
    <m/>
    <m/>
    <m/>
    <m/>
    <m/>
    <m/>
    <n v="200000000"/>
    <n v="104000000"/>
    <m/>
    <m/>
    <m/>
    <m/>
    <m/>
    <m/>
    <m/>
    <m/>
    <m/>
    <m/>
  </r>
  <r>
    <s v="기업교육2팀"/>
    <x v="0"/>
    <s v="우리금융지주 이사국(최고경영자)"/>
    <n v="3734"/>
    <m/>
    <m/>
    <m/>
    <m/>
    <x v="4"/>
    <m/>
    <m/>
    <x v="1"/>
    <n v="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</r>
  <r>
    <s v="기업교육2팀"/>
    <x v="0"/>
    <s v="우리에프아이에스"/>
    <n v="13436"/>
    <s v="03 2001~3000대"/>
    <s v="01 수성"/>
    <s v="01 자체 LMS"/>
    <s v="2. 온라인 - 법정"/>
    <x v="6"/>
    <n v="35347000"/>
    <n v="3750000"/>
    <x v="1"/>
    <n v="3000000"/>
    <n v="1620909"/>
    <n v="1620909"/>
    <n v="0"/>
    <m/>
    <m/>
    <m/>
    <m/>
    <m/>
    <m/>
    <m/>
    <m/>
    <m/>
    <m/>
    <m/>
    <m/>
    <m/>
    <m/>
    <m/>
    <m/>
    <m/>
    <m/>
    <n v="1620909"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</r>
  <r>
    <s v="기업교육2팀"/>
    <x v="0"/>
    <s v="우리은행"/>
    <n v="177"/>
    <m/>
    <m/>
    <m/>
    <s v="3. 온라인 - 마이크로러닝"/>
    <x v="9"/>
    <n v="55000000"/>
    <n v="0"/>
    <x v="0"/>
    <n v="7000000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70000000"/>
    <m/>
    <m/>
    <m/>
    <m/>
    <m/>
    <m/>
  </r>
  <r>
    <s v="기업교육2팀"/>
    <x v="0"/>
    <s v="우리은행"/>
    <n v="177"/>
    <m/>
    <m/>
    <m/>
    <s v="11. 컨텐츠 - 컨텐츠 임대/판매"/>
    <x v="5"/>
    <n v="9090909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n v="25909091"/>
    <n v="81890409"/>
    <x v="1"/>
    <n v="70000000"/>
    <n v="909091"/>
    <n v="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0"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m/>
    <m/>
    <x v="2"/>
    <n v="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m/>
    <m/>
    <m/>
    <m/>
    <m/>
    <m/>
  </r>
  <r>
    <s v="기업교육2팀"/>
    <x v="0"/>
    <s v="우리종합금융"/>
    <n v="16028"/>
    <s v="01 1~1000대"/>
    <s v="01 수성"/>
    <s v="01 자체 LMS"/>
    <s v="2. 온라인 - 법정"/>
    <x v="6"/>
    <n v="18087000"/>
    <n v="685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</r>
  <r>
    <s v="기업교육2팀"/>
    <x v="0"/>
    <s v="우리투자증권"/>
    <n v="16028"/>
    <s v="01 1~1000대"/>
    <m/>
    <m/>
    <s v="1. 온라인 - 단과"/>
    <x v="0"/>
    <s v=""/>
    <n v="194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11. 컨텐츠 - 컨텐츠 임대/판매"/>
    <x v="5"/>
    <n v="909091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6. 하이브리드러닝 - 집합형"/>
    <x v="2"/>
    <m/>
    <n v="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뱅크"/>
    <n v="40132"/>
    <m/>
    <m/>
    <m/>
    <s v="2. 온라인 - 법정"/>
    <x v="6"/>
    <n v="810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"/>
    <m/>
    <m/>
    <x v="1"/>
    <n v="0"/>
    <n v="4519080"/>
    <n v="4519080"/>
    <n v="0"/>
    <m/>
    <m/>
    <m/>
    <m/>
    <m/>
    <m/>
    <n v="905240"/>
    <m/>
    <m/>
    <m/>
    <n v="1697850"/>
    <m/>
    <m/>
    <m/>
    <m/>
    <m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0"/>
    <m/>
    <n v="0"/>
    <x v="1"/>
    <n v="0"/>
    <n v="21680180"/>
    <n v="21680180"/>
    <n v="0"/>
    <m/>
    <m/>
    <m/>
    <m/>
    <m/>
    <m/>
    <m/>
    <m/>
    <m/>
    <m/>
    <m/>
    <m/>
    <m/>
    <m/>
    <n v="2585420"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n v="19094760"/>
    <m/>
    <m/>
    <m/>
    <m/>
    <m/>
    <m/>
  </r>
  <r>
    <s v="기업교육2팀"/>
    <x v="0"/>
    <s v="케이비증권"/>
    <n v="3819"/>
    <s v="01 1~1000대"/>
    <s v="01 수성"/>
    <s v="01 자체 LMS"/>
    <s v="1. 온라인 - 단과"/>
    <x v="0"/>
    <n v="2576000"/>
    <n v="2462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0"/>
    <s v="케이비증권"/>
    <n v="3819"/>
    <s v="01 1~1000대"/>
    <s v="01 수성"/>
    <s v="01 자체 LMS"/>
    <s v="2. 온라인 - 법정"/>
    <x v="6"/>
    <s v=""/>
    <n v="4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케이비증권"/>
    <n v="3819"/>
    <s v="01 1~1000대"/>
    <s v="01 수성"/>
    <s v="01 자체 LMS"/>
    <s v="6. 하이브리드러닝 - 집합형"/>
    <x v="2"/>
    <n v="2450000"/>
    <n v="6517273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풀무원"/>
    <s v="1202"/>
    <m/>
    <m/>
    <m/>
    <m/>
    <x v="10"/>
    <m/>
    <n v="0"/>
    <x v="0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0"/>
    <s v="풀무원"/>
    <s v="1202"/>
    <m/>
    <m/>
    <m/>
    <s v="8. 리더스아카데미 - 리더스아카데미"/>
    <x v="11"/>
    <m/>
    <n v="7000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0"/>
    <s v="한국관광공사"/>
    <n v="92"/>
    <s v="05 공공"/>
    <m/>
    <m/>
    <s v="10. 컨텐츠 - 컨텐츠 개발"/>
    <x v="3"/>
    <m/>
    <n v="0"/>
    <x v="0"/>
    <n v="820000000"/>
    <n v="820000000"/>
    <n v="820000000"/>
    <n v="0"/>
    <m/>
    <m/>
    <m/>
    <m/>
    <m/>
    <m/>
    <m/>
    <m/>
    <m/>
    <m/>
    <m/>
    <m/>
    <m/>
    <m/>
    <m/>
    <m/>
    <n v="820000000"/>
    <m/>
    <m/>
    <m/>
    <m/>
    <m/>
    <m/>
    <m/>
    <m/>
    <n v="8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한국농어촌공사"/>
    <s v="4513"/>
    <s v="05 공공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0"/>
    <s v="한국도로공사 인재개발원"/>
    <n v="15270"/>
    <s v="05 공공"/>
    <m/>
    <m/>
    <s v="통합위탁"/>
    <x v="1"/>
    <n v="850705253"/>
    <n v="525068232"/>
    <x v="4"/>
    <n v="700000000"/>
    <n v="450000000"/>
    <n v="450000000"/>
    <n v="0"/>
    <m/>
    <m/>
    <m/>
    <m/>
    <m/>
    <m/>
    <m/>
    <m/>
    <n v="250000000"/>
    <n v="2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</r>
  <r>
    <s v="기업교육2팀"/>
    <x v="0"/>
    <s v="한국도로공사 인재개발원"/>
    <n v="15270"/>
    <s v="05 공공"/>
    <m/>
    <m/>
    <s v="6. 하이브리드러닝 - 집합형"/>
    <x v="2"/>
    <n v="1560000"/>
    <n v="0"/>
    <x v="2"/>
    <n v="1000000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</r>
  <r>
    <s v="기업교육2팀"/>
    <x v="0"/>
    <s v="한국발전인재개발원"/>
    <n v="21107"/>
    <s v="05 공공"/>
    <s v="01 수성"/>
    <s v="01 자체 LMS"/>
    <s v="1. 온라인 - 단과"/>
    <x v="0"/>
    <n v="19198000"/>
    <n v="26637900"/>
    <x v="1"/>
    <n v="30000000"/>
    <n v="11416300"/>
    <n v="11416300"/>
    <n v="0"/>
    <n v="2500000"/>
    <n v="2500000"/>
    <m/>
    <m/>
    <n v="2500000"/>
    <m/>
    <m/>
    <m/>
    <n v="2500000"/>
    <m/>
    <n v="4618000"/>
    <m/>
    <n v="2500000"/>
    <n v="0"/>
    <n v="4949300"/>
    <m/>
    <n v="2500000"/>
    <n v="1849000"/>
    <n v="1849000"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m/>
    <m/>
    <m/>
    <m/>
  </r>
  <r>
    <s v="기업교육2팀"/>
    <x v="0"/>
    <s v="한국발전인재개발원"/>
    <n v="21107"/>
    <s v="05 공공"/>
    <m/>
    <m/>
    <m/>
    <x v="5"/>
    <m/>
    <n v="0"/>
    <x v="2"/>
    <n v="180000000"/>
    <n v="180000000"/>
    <n v="1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0"/>
    <n v="60000000"/>
    <m/>
    <m/>
    <n v="60000000"/>
    <n v="60000000"/>
    <m/>
    <m/>
    <n v="60000000"/>
    <n v="60000000"/>
    <m/>
    <m/>
    <m/>
    <m/>
    <m/>
    <m/>
  </r>
  <r>
    <s v="기업교육2팀"/>
    <x v="1"/>
    <s v="SM그룹"/>
    <n v="53605"/>
    <m/>
    <m/>
    <m/>
    <s v="2. 온라인 - 법정"/>
    <x v="6"/>
    <n v="44137000"/>
    <n v="43067500"/>
    <x v="1"/>
    <n v="24000000"/>
    <n v="1444000"/>
    <n v="1444000"/>
    <n v="0"/>
    <m/>
    <n v="1424000"/>
    <n v="1424000"/>
    <s v="본 건 실주 및 24년 입과 건 발행"/>
    <m/>
    <m/>
    <m/>
    <m/>
    <n v="6000000"/>
    <n v="20000"/>
    <n v="20000"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</r>
  <r>
    <s v="기업교육2팀"/>
    <x v="1"/>
    <s v="국립중앙의료원"/>
    <n v="16325"/>
    <s v="05 공공"/>
    <s v="01 수성"/>
    <s v="03 휴넷 LMS"/>
    <s v="1. 온라인 - 단과"/>
    <x v="0"/>
    <n v="20000000"/>
    <n v="10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국립중앙의료원"/>
    <n v="16325"/>
    <s v="05 공공"/>
    <m/>
    <m/>
    <s v="10. 컨텐츠 - 컨텐츠 개발"/>
    <x v="3"/>
    <m/>
    <n v="100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국립중앙의료원(공공보건의료교육훈련센터)"/>
    <n v="46166"/>
    <s v="05 공공"/>
    <s v="01 수성"/>
    <s v="03 휴넷 LMS"/>
    <s v="10. 컨텐츠 - 컨텐츠 개발"/>
    <x v="3"/>
    <n v="178000000"/>
    <n v="277000000"/>
    <x v="1"/>
    <n v="277000000"/>
    <n v="277000000"/>
    <n v="277000000"/>
    <n v="0"/>
    <n v="147000000"/>
    <n v="0"/>
    <n v="0"/>
    <s v="선금 청구 2월로 연기"/>
    <m/>
    <n v="193900000"/>
    <n v="193900000"/>
    <s v="선금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83100000"/>
    <m/>
    <m/>
    <m/>
    <m/>
    <m/>
    <s v="PASS"/>
  </r>
  <r>
    <s v="기업교육2팀"/>
    <x v="1"/>
    <s v="국민연금공단"/>
    <n v="4258"/>
    <s v="05 공공"/>
    <m/>
    <m/>
    <s v="통합위탁"/>
    <x v="1"/>
    <n v="617518800"/>
    <n v="483128200"/>
    <x v="1"/>
    <n v="550000000"/>
    <n v="461515600"/>
    <n v="462064100"/>
    <n v="-548500"/>
    <n v="0"/>
    <n v="0"/>
    <n v="0"/>
    <m/>
    <m/>
    <n v="2000600"/>
    <n v="2000600"/>
    <s v="24년 계약건 운영 잔금"/>
    <m/>
    <m/>
    <m/>
    <m/>
    <n v="100000000"/>
    <n v="0"/>
    <m/>
    <m/>
    <n v="50000000"/>
    <n v="51063500"/>
    <n v="51063500"/>
    <m/>
    <n v="50000000"/>
    <n v="55451500"/>
    <m/>
    <m/>
    <n v="50000000"/>
    <n v="62000000"/>
    <m/>
    <m/>
    <n v="50000000"/>
    <n v="62000000"/>
    <m/>
    <m/>
    <n v="50000000"/>
    <n v="62000000"/>
    <m/>
    <m/>
    <n v="50000000"/>
    <n v="60000000"/>
    <m/>
    <m/>
    <n v="50000000"/>
    <n v="57000000"/>
    <m/>
    <m/>
    <n v="100000000"/>
    <n v="50000000"/>
    <m/>
    <m/>
    <m/>
    <m/>
    <m/>
    <m/>
  </r>
  <r>
    <s v="기업교육2팀"/>
    <x v="1"/>
    <s v="국민연금공단"/>
    <n v="4258"/>
    <s v="05 공공"/>
    <m/>
    <m/>
    <s v="10. 컨텐츠 - 컨텐츠 개발"/>
    <x v="3"/>
    <n v="147079092"/>
    <n v="122844528"/>
    <x v="1"/>
    <n v="15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n v="100000000"/>
    <m/>
    <m/>
    <m/>
    <m/>
    <m/>
    <m/>
  </r>
  <r>
    <s v="기업교육2팀"/>
    <x v="1"/>
    <s v="국세공무원교육원"/>
    <n v="7606"/>
    <s v="05 공공"/>
    <m/>
    <m/>
    <s v="6. 하이브리드러닝 - 집합형"/>
    <x v="4"/>
    <s v=""/>
    <n v="158837091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1"/>
    <s v="대한무역투자진흥공사"/>
    <n v="1519"/>
    <s v="05 공공"/>
    <s v="03 신규"/>
    <s v="02 경쟁사 LMS"/>
    <s v="통합위탁"/>
    <x v="1"/>
    <s v=""/>
    <n v="42153802"/>
    <x v="1"/>
    <n v="48000000"/>
    <n v="88982790"/>
    <n v="88982790"/>
    <n v="0"/>
    <m/>
    <n v="0"/>
    <n v="0"/>
    <m/>
    <n v="8000000"/>
    <n v="5447400"/>
    <n v="5447400"/>
    <m/>
    <n v="8000000"/>
    <n v="5175100"/>
    <n v="5175100"/>
    <m/>
    <n v="8000000"/>
    <n v="11967200"/>
    <n v="11967200"/>
    <m/>
    <n v="8000000"/>
    <n v="7223790"/>
    <n v="7223790"/>
    <m/>
    <n v="8000000"/>
    <n v="7038990"/>
    <m/>
    <m/>
    <n v="8000000"/>
    <n v="12130310"/>
    <m/>
    <m/>
    <m/>
    <n v="8000000"/>
    <m/>
    <m/>
    <m/>
    <n v="8000000"/>
    <m/>
    <m/>
    <m/>
    <n v="8000000"/>
    <m/>
    <m/>
    <m/>
    <n v="8000000"/>
    <m/>
    <m/>
    <m/>
    <n v="8000000"/>
    <m/>
    <m/>
    <m/>
    <m/>
    <m/>
    <s v="PASS"/>
  </r>
  <r>
    <s v="기업교육2팀"/>
    <x v="1"/>
    <s v="대한무역투자진흥공사"/>
    <n v="1519"/>
    <s v="05 공공"/>
    <m/>
    <m/>
    <s v="통합위탁"/>
    <x v="1"/>
    <m/>
    <n v="0"/>
    <x v="6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m/>
    <m/>
    <m/>
    <m/>
  </r>
  <r>
    <s v="기업교육2팀"/>
    <x v="1"/>
    <s v="대한무역투자진흥공사"/>
    <n v="1519"/>
    <s v="05 공공"/>
    <m/>
    <m/>
    <s v="8. 리더스아카데미 - 리더스아카데미"/>
    <x v="12"/>
    <m/>
    <n v="135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동화그룹"/>
    <s v="6962"/>
    <m/>
    <m/>
    <m/>
    <s v="1. 온라인 - 단과"/>
    <x v="0"/>
    <s v=""/>
    <n v="17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라이나생명보험"/>
    <n v="8296"/>
    <s v="01 1~1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라이나생명보험"/>
    <n v="8296"/>
    <s v="01 1~1000대"/>
    <m/>
    <m/>
    <s v="1. 온라인 - 단과"/>
    <x v="4"/>
    <m/>
    <n v="0"/>
    <x v="6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삼표"/>
    <n v="5862"/>
    <m/>
    <m/>
    <m/>
    <s v="1. 온라인 - 단과"/>
    <x v="0"/>
    <n v="25178400"/>
    <n v="39825700"/>
    <x v="1"/>
    <n v="30000000"/>
    <n v="40890300"/>
    <n v="40633300"/>
    <n v="257000"/>
    <n v="2500000"/>
    <n v="2074000"/>
    <n v="2074000"/>
    <m/>
    <n v="2500000"/>
    <n v="2742000"/>
    <n v="2742000"/>
    <m/>
    <n v="2500000"/>
    <n v="3455200"/>
    <n v="3455200"/>
    <m/>
    <n v="2500000"/>
    <n v="4660400"/>
    <n v="4660400"/>
    <m/>
    <n v="2500000"/>
    <n v="4269200"/>
    <n v="4269200"/>
    <m/>
    <n v="2500000"/>
    <n v="5432500"/>
    <m/>
    <m/>
    <n v="2500000"/>
    <n v="3257000"/>
    <m/>
    <m/>
    <n v="2500000"/>
    <n v="3000000"/>
    <m/>
    <m/>
    <n v="2500000"/>
    <n v="3000000"/>
    <m/>
    <m/>
    <n v="2500000"/>
    <n v="3000000"/>
    <m/>
    <m/>
    <n v="2500000"/>
    <n v="3000000"/>
    <m/>
    <m/>
    <n v="2500000"/>
    <n v="3000000"/>
    <m/>
    <m/>
    <m/>
    <m/>
    <m/>
    <s v="PASS"/>
  </r>
  <r>
    <s v="기업교육2팀"/>
    <x v="1"/>
    <s v="삼표"/>
    <n v="5862"/>
    <m/>
    <m/>
    <m/>
    <s v="2. 온라인 - 법정"/>
    <x v="6"/>
    <s v=""/>
    <n v="100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성남시의료원"/>
    <n v="45738"/>
    <s v="05 공공"/>
    <s v="01 수성"/>
    <s v="03 휴넷 LMS"/>
    <s v="1. 온라인 - 단과"/>
    <x v="0"/>
    <s v=""/>
    <n v="0"/>
    <x v="7"/>
    <n v="20000000"/>
    <n v="20000000"/>
    <n v="20000000"/>
    <n v="0"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통합위탁"/>
    <x v="1"/>
    <n v="253643000"/>
    <n v="2241547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m/>
    <m/>
    <m/>
    <x v="0"/>
    <m/>
    <n v="0"/>
    <x v="0"/>
    <n v="400000000"/>
    <n v="600000000"/>
    <n v="6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600000000"/>
    <m/>
    <m/>
    <m/>
    <m/>
    <m/>
    <m/>
  </r>
  <r>
    <s v="기업교육2팀"/>
    <x v="1"/>
    <s v="아이비케이기업은행"/>
    <n v="1571"/>
    <s v="01 1~1000대"/>
    <s v="01 수성"/>
    <s v="03 휴넷 LMS"/>
    <s v="2. 온라인 - 법정"/>
    <x v="6"/>
    <n v="580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6. 하이브리드러닝 - 집합형"/>
    <x v="2"/>
    <n v="500000"/>
    <n v="8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m/>
    <m/>
    <m/>
    <s v="4. 하이브리드러닝 - 플립형"/>
    <x v="2"/>
    <m/>
    <n v="573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24. 운영 - 운영매출"/>
    <x v="13"/>
    <n v="158136364"/>
    <n v="90452118"/>
    <x v="0"/>
    <n v="90000000"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0"/>
    <n v="90000000"/>
    <m/>
    <m/>
    <m/>
    <m/>
    <m/>
    <m/>
    <m/>
    <m/>
    <m/>
    <m/>
    <m/>
    <m/>
    <m/>
    <m/>
  </r>
  <r>
    <s v="기업교육2팀"/>
    <x v="1"/>
    <s v="아이비케이기업은행( ibkonejob) "/>
    <n v="59197"/>
    <m/>
    <m/>
    <m/>
    <s v="1. 온라인 - 단과"/>
    <x v="0"/>
    <n v="18181818"/>
    <n v="200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(IBK EDU)"/>
    <n v="61326"/>
    <s v="01 1~1000대"/>
    <m/>
    <m/>
    <m/>
    <x v="0"/>
    <m/>
    <n v="0"/>
    <x v="1"/>
    <n v="0"/>
    <n v="11395000"/>
    <n v="12000000"/>
    <n v="-605000"/>
    <m/>
    <m/>
    <m/>
    <m/>
    <m/>
    <m/>
    <m/>
    <m/>
    <m/>
    <m/>
    <m/>
    <m/>
    <m/>
    <m/>
    <m/>
    <m/>
    <m/>
    <m/>
    <m/>
    <m/>
    <m/>
    <n v="5395000"/>
    <m/>
    <s v="후선직원교육 하반기"/>
    <m/>
    <m/>
    <m/>
    <m/>
    <m/>
    <m/>
    <m/>
    <m/>
    <m/>
    <m/>
    <m/>
    <m/>
    <m/>
    <m/>
    <m/>
    <m/>
    <m/>
    <m/>
    <m/>
    <m/>
    <m/>
    <n v="6000000"/>
    <m/>
    <s v="후선직원교육 하반기"/>
    <m/>
    <m/>
    <m/>
    <m/>
  </r>
  <r>
    <s v="기업교육2팀"/>
    <x v="1"/>
    <s v="에스엠상선"/>
    <n v="21794"/>
    <m/>
    <m/>
    <m/>
    <s v="26. 정부지원사업 - HRDFLEX"/>
    <x v="14"/>
    <s v=""/>
    <n v="8680000"/>
    <x v="1"/>
    <n v="10000000"/>
    <n v="6300000"/>
    <n v="6300000"/>
    <n v="0"/>
    <m/>
    <m/>
    <m/>
    <m/>
    <m/>
    <m/>
    <m/>
    <m/>
    <m/>
    <m/>
    <m/>
    <m/>
    <m/>
    <n v="1204000"/>
    <n v="1204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5096000"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m/>
    <m/>
    <x v="1"/>
    <n v="0"/>
    <n v="180000"/>
    <n v="180000"/>
    <n v="0"/>
    <m/>
    <m/>
    <m/>
    <m/>
    <m/>
    <m/>
    <m/>
    <m/>
    <m/>
    <m/>
    <m/>
    <m/>
    <m/>
    <m/>
    <n v="1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n v="53588000"/>
    <n v="900000"/>
    <x v="6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1"/>
    <s v="이지홀딩스"/>
    <n v="1832"/>
    <m/>
    <m/>
    <m/>
    <s v="1. 온라인 - 단과"/>
    <x v="0"/>
    <n v="70814580"/>
    <n v="91390200"/>
    <x v="1"/>
    <n v="76000000"/>
    <n v="92810310"/>
    <n v="92502300"/>
    <n v="308010"/>
    <n v="4500000"/>
    <n v="1903000"/>
    <n v="1903000"/>
    <s v="2월부터 본격 교육 진행, 1월 입과 감소 외 별다른 이슈 없음"/>
    <n v="6500000"/>
    <n v="10140600"/>
    <n v="10140600"/>
    <s v="일부 계열사 포함에 따른 입과량 증가"/>
    <n v="6500000"/>
    <n v="9954500"/>
    <n v="9969500"/>
    <m/>
    <n v="6500000"/>
    <n v="12053300"/>
    <n v="12053300"/>
    <m/>
    <n v="6500000"/>
    <n v="9659300"/>
    <n v="9659300"/>
    <m/>
    <n v="6500000"/>
    <n v="10858610"/>
    <m/>
    <m/>
    <n v="6500000"/>
    <n v="3226000"/>
    <m/>
    <m/>
    <n v="6500000"/>
    <n v="8000000"/>
    <m/>
    <m/>
    <n v="6500000"/>
    <n v="10000000"/>
    <m/>
    <m/>
    <n v="6500000"/>
    <n v="9000000"/>
    <m/>
    <m/>
    <n v="6500000"/>
    <n v="5000000"/>
    <m/>
    <m/>
    <n v="6500000"/>
    <n v="3000000"/>
    <m/>
    <m/>
    <m/>
    <m/>
    <m/>
    <s v="PASS"/>
  </r>
  <r>
    <s v="기업교육2팀"/>
    <x v="1"/>
    <s v="컬리"/>
    <n v="29047"/>
    <s v=""/>
    <s v="01 수성"/>
    <s v="03 휴넷 LMS"/>
    <s v="2. 온라인 - 법정"/>
    <x v="6"/>
    <n v="16197000"/>
    <n v="0"/>
    <x v="6"/>
    <n v="15000000"/>
    <n v="15000000"/>
    <n v="15000000"/>
    <n v="0"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컬리페이"/>
    <n v="55219"/>
    <m/>
    <m/>
    <m/>
    <s v="1. 온라인 - 단과"/>
    <x v="0"/>
    <n v="394000"/>
    <n v="76000"/>
    <x v="6"/>
    <n v="1000000"/>
    <n v="1000000"/>
    <n v="1000000"/>
    <n v="0"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코오롱베니트 주식회사"/>
    <n v="9077"/>
    <s v="01 1~1000대"/>
    <s v="03 신규"/>
    <s v="03 휴넷 LMS"/>
    <s v="통합위탁"/>
    <x v="1"/>
    <n v="469582594"/>
    <n v="1000224811"/>
    <x v="1"/>
    <n v="840000000"/>
    <n v="926270595"/>
    <n v="907348325"/>
    <n v="18922270"/>
    <n v="70000000"/>
    <n v="75627320"/>
    <n v="75627320"/>
    <m/>
    <n v="70000000"/>
    <n v="64192595"/>
    <n v="64192595"/>
    <s v="일부 계열사 이탈에 따른 입과량 감소"/>
    <n v="70000000"/>
    <n v="81361590"/>
    <n v="81361590"/>
    <m/>
    <n v="70000000"/>
    <n v="84663860"/>
    <n v="84663860"/>
    <m/>
    <n v="70000000"/>
    <n v="76502960"/>
    <n v="76502960"/>
    <m/>
    <n v="70000000"/>
    <n v="9392227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m/>
    <m/>
    <m/>
    <s v="PASS"/>
  </r>
  <r>
    <s v="기업교육2팀"/>
    <x v="1"/>
    <s v="코오롱베니트 주식회사"/>
    <n v="9077"/>
    <s v="01 1~1000대"/>
    <m/>
    <m/>
    <m/>
    <x v="2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코오롱베니트 주식회사"/>
    <n v="9077"/>
    <m/>
    <m/>
    <m/>
    <s v="6. 하이브리드러닝 - 집합형"/>
    <x v="4"/>
    <s v=""/>
    <n v="6400000"/>
    <x v="1"/>
    <n v="5000000"/>
    <n v="2400000"/>
    <n v="2400000"/>
    <n v="0"/>
    <m/>
    <m/>
    <m/>
    <m/>
    <m/>
    <m/>
    <m/>
    <m/>
    <m/>
    <n v="2400000"/>
    <n v="240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m/>
  </r>
  <r>
    <s v="기업교육2팀"/>
    <x v="1"/>
    <s v="한국가스기술공사"/>
    <n v="23258"/>
    <s v="05 공공"/>
    <s v="03 신규"/>
    <s v="03 휴넷 LMS"/>
    <s v="통합위탁"/>
    <x v="1"/>
    <s v=""/>
    <n v="329379060"/>
    <x v="1"/>
    <n v="220000000"/>
    <n v="269862590"/>
    <n v="269862590"/>
    <n v="0"/>
    <n v="0"/>
    <n v="0"/>
    <n v="0"/>
    <m/>
    <n v="20000000"/>
    <n v="33599360"/>
    <n v="33599360"/>
    <s v="연초 입과량 증가"/>
    <n v="20000000"/>
    <n v="40033450"/>
    <n v="40033450"/>
    <m/>
    <n v="20000000"/>
    <n v="54238250"/>
    <n v="54238250"/>
    <m/>
    <n v="20000000"/>
    <n v="41800040"/>
    <n v="41800040"/>
    <m/>
    <n v="20000000"/>
    <n v="0"/>
    <m/>
    <m/>
    <n v="20000000"/>
    <n v="93191490"/>
    <m/>
    <m/>
    <n v="20000000"/>
    <n v="7000000"/>
    <m/>
    <m/>
    <n v="20000000"/>
    <n v="0"/>
    <m/>
    <m/>
    <n v="20000000"/>
    <n v="0"/>
    <m/>
    <m/>
    <n v="20000000"/>
    <n v="0"/>
    <m/>
    <m/>
    <n v="20000000"/>
    <n v="0"/>
    <m/>
    <m/>
    <m/>
    <m/>
    <m/>
    <s v="PASS"/>
  </r>
  <r>
    <s v="기업교육2팀"/>
    <x v="1"/>
    <s v="한국가스기술공사"/>
    <n v="23258"/>
    <s v="05 공공"/>
    <m/>
    <m/>
    <s v="6. 하이브리드러닝 - 집합형"/>
    <x v="4"/>
    <m/>
    <n v="9775000"/>
    <x v="7"/>
    <n v="400000000"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400000000"/>
    <m/>
    <m/>
    <m/>
    <m/>
    <m/>
    <m/>
  </r>
  <r>
    <s v="기업교육2팀"/>
    <x v="1"/>
    <s v="한국과학기술연구원"/>
    <n v="1120"/>
    <s v="05 공공"/>
    <s v="03 신규"/>
    <s v="03 휴넷 LMS"/>
    <s v="통합위탁"/>
    <x v="1"/>
    <n v="135184000"/>
    <n v="80443920"/>
    <x v="1"/>
    <n v="72000000"/>
    <n v="70439010"/>
    <n v="70395760"/>
    <n v="43250"/>
    <n v="6000000"/>
    <n v="4031310"/>
    <n v="4031310"/>
    <s v="특별한 이슈 없음"/>
    <n v="6000000"/>
    <n v="5253850"/>
    <n v="5253850"/>
    <m/>
    <n v="6000000"/>
    <n v="4955080"/>
    <n v="4955080"/>
    <m/>
    <n v="6000000"/>
    <n v="4468130"/>
    <n v="4468130"/>
    <m/>
    <n v="6000000"/>
    <n v="3882290"/>
    <n v="3882290"/>
    <m/>
    <n v="6000000"/>
    <n v="3305100"/>
    <m/>
    <m/>
    <n v="6000000"/>
    <n v="4543250"/>
    <m/>
    <m/>
    <n v="6000000"/>
    <n v="6000000"/>
    <m/>
    <m/>
    <n v="6000000"/>
    <n v="6000000"/>
    <m/>
    <m/>
    <n v="6000000"/>
    <n v="7500000"/>
    <m/>
    <m/>
    <n v="6000000"/>
    <n v="8500000"/>
    <m/>
    <m/>
    <n v="6000000"/>
    <n v="12000000"/>
    <m/>
    <m/>
    <m/>
    <m/>
    <m/>
    <s v="PASS"/>
  </r>
  <r>
    <s v="기업교육2팀"/>
    <x v="1"/>
    <s v="한국국제협력단(코이카)"/>
    <n v="42793"/>
    <s v="05 공공"/>
    <s v="01 수성"/>
    <s v="03 휴넷 LMS"/>
    <s v="1. 온라인 - 단과"/>
    <x v="0"/>
    <n v="46625530"/>
    <n v="55138310"/>
    <x v="1"/>
    <n v="35000000"/>
    <n v="108542680"/>
    <n v="100000000"/>
    <n v="8542680"/>
    <m/>
    <m/>
    <m/>
    <m/>
    <m/>
    <m/>
    <m/>
    <m/>
    <m/>
    <m/>
    <m/>
    <m/>
    <m/>
    <m/>
    <m/>
    <m/>
    <m/>
    <m/>
    <m/>
    <m/>
    <n v="35000000"/>
    <n v="0"/>
    <m/>
    <m/>
    <m/>
    <n v="58542680"/>
    <m/>
    <m/>
    <m/>
    <m/>
    <m/>
    <m/>
    <m/>
    <m/>
    <m/>
    <m/>
    <m/>
    <m/>
    <m/>
    <m/>
    <m/>
    <m/>
    <m/>
    <m/>
    <m/>
    <n v="50000000"/>
    <m/>
    <m/>
    <m/>
    <m/>
    <m/>
    <s v="PASS"/>
  </r>
  <r>
    <s v="기업교육2팀"/>
    <x v="1"/>
    <s v="한국국제협력단(코이카)"/>
    <n v="42793"/>
    <s v="05 공공"/>
    <m/>
    <m/>
    <s v="1. 온라인 - 단과"/>
    <x v="0"/>
    <m/>
    <n v="0"/>
    <x v="6"/>
    <n v="35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50000000"/>
    <m/>
    <m/>
    <m/>
    <m/>
    <m/>
    <m/>
  </r>
  <r>
    <s v="기업교육2팀"/>
    <x v="1"/>
    <s v="한국국제협력단(코이카)"/>
    <n v="42793"/>
    <s v="05 공공"/>
    <m/>
    <m/>
    <s v="6. 하이브리드러닝 - 집합형"/>
    <x v="4"/>
    <s v=""/>
    <n v="197448680"/>
    <x v="1"/>
    <n v="500000000"/>
    <n v="550000000"/>
    <n v="550000000"/>
    <n v="0"/>
    <m/>
    <n v="241437204"/>
    <n v="241437204"/>
    <s v="선금 40% 청구"/>
    <n v="200000000"/>
    <n v="0"/>
    <m/>
    <s v="1월에 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8562796"/>
    <m/>
    <m/>
    <m/>
    <m/>
    <m/>
    <s v="PASS"/>
  </r>
  <r>
    <s v="기업교육2팀"/>
    <x v="1"/>
    <s v="한국국제협력단(코이카)"/>
    <n v="42793"/>
    <s v="05 공공"/>
    <s v="01 수성"/>
    <m/>
    <s v="10. 컨텐츠 - 컨텐츠 개발"/>
    <x v="3"/>
    <s v=""/>
    <n v="55000000"/>
    <x v="6"/>
    <n v="0"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한국국제협력단(코이카)"/>
    <n v="42793"/>
    <s v="05 공공"/>
    <s v="01 수성"/>
    <m/>
    <s v="14. 솔루션 - 맞춤형 LABS"/>
    <x v="15"/>
    <s v=""/>
    <n v="2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 스마트푸드센터"/>
    <n v="55875"/>
    <m/>
    <s v="01 수성"/>
    <s v="03 휴넷 LMS"/>
    <s v="1. 온라인 - 단과"/>
    <x v="0"/>
    <n v="670500"/>
    <n v="6255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(SAM)"/>
    <n v="12964"/>
    <s v="01 1~1000대"/>
    <s v="01 수성"/>
    <s v="03 휴넷 LMS"/>
    <s v="14. 솔루션 - 맞춤형 LABS"/>
    <x v="15"/>
    <n v="20000000"/>
    <n v="20000000"/>
    <x v="1"/>
    <n v="20000000"/>
    <n v="20000000"/>
    <n v="20000000"/>
    <n v="0"/>
    <m/>
    <m/>
    <m/>
    <m/>
    <n v="20000000"/>
    <n v="0"/>
    <m/>
    <s v="3월로 이월"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글로비스"/>
    <n v="3793"/>
    <s v="01 1~1000대"/>
    <s v="03 신규"/>
    <s v="03 휴넷 LMS"/>
    <s v="1. 온라인 - 단과"/>
    <x v="0"/>
    <n v="828000"/>
    <n v="161000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드림투어"/>
    <n v="62546"/>
    <m/>
    <m/>
    <m/>
    <s v="1. 온라인 - 단과"/>
    <x v="0"/>
    <s v=""/>
    <n v="92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m/>
    <m/>
    <m/>
    <s v="1. 온라인 - 단과"/>
    <x v="0"/>
    <n v="40225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s v=""/>
    <s v=""/>
    <s v=""/>
    <s v="2. 온라인 - 법정"/>
    <x v="6"/>
    <s v=""/>
    <n v="40075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n v="1000000"/>
    <n v="0"/>
    <m/>
    <m/>
    <m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렌탈케어_FLEX24"/>
    <n v="60151"/>
    <m/>
    <m/>
    <m/>
    <s v="26. 정부지원사업 - HRDFLEX"/>
    <x v="16"/>
    <s v=""/>
    <n v="952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현대백화점그룹"/>
    <n v="7392"/>
    <s v="01 1~1000대"/>
    <s v="04 연장"/>
    <s v="03 휴넷 LMS"/>
    <s v="통합위탁"/>
    <x v="1"/>
    <n v="454917242"/>
    <n v="543420420"/>
    <x v="1"/>
    <n v="480000000"/>
    <n v="485410310"/>
    <n v="509301530"/>
    <n v="-23891220"/>
    <m/>
    <n v="4387500"/>
    <n v="4387500"/>
    <s v="24년 교육건 발행"/>
    <m/>
    <m/>
    <m/>
    <m/>
    <m/>
    <n v="69302510"/>
    <n v="69302510"/>
    <m/>
    <m/>
    <n v="70483180"/>
    <n v="70483180"/>
    <m/>
    <n v="75000000"/>
    <n v="31628340"/>
    <n v="31628340"/>
    <m/>
    <n v="75000000"/>
    <n v="26108780"/>
    <m/>
    <m/>
    <n v="75000000"/>
    <n v="50000000"/>
    <m/>
    <m/>
    <n v="85000000"/>
    <n v="75000000"/>
    <m/>
    <m/>
    <n v="85000000"/>
    <n v="66000000"/>
    <m/>
    <m/>
    <n v="85000000"/>
    <n v="62500000"/>
    <m/>
    <m/>
    <m/>
    <n v="30000000"/>
    <m/>
    <m/>
    <m/>
    <m/>
    <m/>
    <m/>
    <m/>
    <m/>
    <m/>
    <s v="PASS"/>
  </r>
  <r>
    <s v="기업교육2팀"/>
    <x v="1"/>
    <s v="현대백화점그룹"/>
    <n v="7392"/>
    <s v="01 1~1000대"/>
    <m/>
    <m/>
    <s v="3. 온라인 - 마이크로러닝"/>
    <x v="9"/>
    <m/>
    <n v="32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6. 하이브리드러닝 - 집합형"/>
    <x v="4"/>
    <n v="9700000"/>
    <n v="14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7. 휴넷CEO - 휴넷CEO"/>
    <x v="10"/>
    <n v="21675000"/>
    <n v="0"/>
    <x v="1"/>
    <n v="30000000"/>
    <n v="32000000"/>
    <n v="32000000"/>
    <n v="0"/>
    <m/>
    <m/>
    <m/>
    <m/>
    <m/>
    <m/>
    <m/>
    <m/>
    <n v="30000000"/>
    <n v="32000000"/>
    <n v="3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m/>
    <m/>
    <m/>
    <x v="17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현대백화점그룹"/>
    <n v="7392"/>
    <m/>
    <m/>
    <m/>
    <s v="10. 컨텐츠 - 컨텐츠 개발"/>
    <x v="3"/>
    <n v="98181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에버다임"/>
    <n v="8345"/>
    <s v="02 1001~2000대"/>
    <s v="01 수성"/>
    <s v="03 휴넷 LMS"/>
    <s v="통합위탁"/>
    <x v="1"/>
    <n v="189204000"/>
    <n v="115401870"/>
    <x v="1"/>
    <n v="111000000"/>
    <n v="115085780"/>
    <n v="112920180"/>
    <n v="2165600"/>
    <n v="2000000"/>
    <n v="461200"/>
    <n v="461200"/>
    <s v="4월부터 본격적인 교육 진행"/>
    <n v="2000000"/>
    <n v="494640"/>
    <n v="494640"/>
    <s v="4월부터 본격적인 교육 진행"/>
    <n v="2000000"/>
    <n v="413300"/>
    <n v="413300"/>
    <m/>
    <n v="20000000"/>
    <n v="26430840"/>
    <n v="26430840"/>
    <m/>
    <n v="15000000"/>
    <n v="20591000"/>
    <n v="20591000"/>
    <m/>
    <n v="10000000"/>
    <n v="20529200"/>
    <m/>
    <m/>
    <n v="10000000"/>
    <n v="14165600"/>
    <m/>
    <m/>
    <n v="10000000"/>
    <n v="10000000"/>
    <m/>
    <m/>
    <n v="10000000"/>
    <n v="10000000"/>
    <m/>
    <m/>
    <n v="10000000"/>
    <n v="8000000"/>
    <m/>
    <m/>
    <n v="10000000"/>
    <n v="4000000"/>
    <m/>
    <m/>
    <n v="10000000"/>
    <n v="0"/>
    <m/>
    <m/>
    <m/>
    <m/>
    <m/>
    <s v="PASS"/>
  </r>
  <r>
    <s v="기업교육2팀"/>
    <x v="1"/>
    <s v="현대엘앤씨(L&amp;C)_상생아카데미"/>
    <s v="47211"/>
    <m/>
    <m/>
    <m/>
    <s v="1. 온라인 - 단과"/>
    <x v="0"/>
    <m/>
    <n v="160000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홈쇼핑(동양EMS)"/>
    <n v="43681"/>
    <s v="01 1~1000대"/>
    <s v="01 수성"/>
    <s v=""/>
    <s v="24. 운영 - 운영매출"/>
    <x v="13"/>
    <n v="210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홈쇼핑(신입상담원 교육)"/>
    <n v="46071"/>
    <m/>
    <m/>
    <m/>
    <s v="14. 솔루션 - 맞춤형 LABS"/>
    <x v="15"/>
    <n v="1000000"/>
    <n v="10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5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3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GC녹십자"/>
    <n v="268"/>
    <m/>
    <s v="01 수성"/>
    <s v="02 경쟁사 LMS"/>
    <s v="14. 솔루션 - 맞춤형 LABS"/>
    <x v="15"/>
    <n v="1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(MBA)"/>
    <n v="268"/>
    <m/>
    <s v="01 수성"/>
    <m/>
    <s v="6. 하이브리드러닝 - 집합형"/>
    <x v="2"/>
    <n v="46459091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GC녹십자(계층)"/>
    <n v="268"/>
    <s v="01 1~1000대"/>
    <s v="03 신규"/>
    <s v="02 경쟁사 LMS"/>
    <m/>
    <x v="2"/>
    <m/>
    <n v="0"/>
    <x v="1"/>
    <n v="40000000"/>
    <n v="11980000"/>
    <n v="11980000"/>
    <n v="0"/>
    <m/>
    <n v="2800000"/>
    <n v="2800000"/>
    <m/>
    <m/>
    <n v="5180000"/>
    <n v="5180000"/>
    <m/>
    <m/>
    <m/>
    <m/>
    <m/>
    <m/>
    <m/>
    <m/>
    <m/>
    <m/>
    <m/>
    <m/>
    <m/>
    <m/>
    <m/>
    <m/>
    <m/>
    <m/>
    <n v="4000000"/>
    <m/>
    <m/>
    <m/>
    <m/>
    <m/>
    <m/>
    <n v="40000000"/>
    <m/>
    <m/>
    <m/>
    <m/>
    <m/>
    <m/>
    <m/>
    <m/>
    <m/>
    <m/>
    <m/>
    <m/>
    <m/>
    <m/>
    <m/>
    <m/>
    <m/>
    <m/>
    <m/>
  </r>
  <r>
    <s v="기업교육2팀"/>
    <x v="2"/>
    <s v="GC녹십자홀딩스"/>
    <n v="11047"/>
    <m/>
    <m/>
    <m/>
    <m/>
    <x v="2"/>
    <m/>
    <m/>
    <x v="1"/>
    <n v="0"/>
    <n v="50000000"/>
    <n v="50000000"/>
    <n v="0"/>
    <m/>
    <m/>
    <m/>
    <m/>
    <m/>
    <m/>
    <m/>
    <m/>
    <m/>
    <m/>
    <m/>
    <m/>
    <m/>
    <m/>
    <m/>
    <m/>
    <m/>
    <m/>
    <m/>
    <m/>
    <m/>
    <n v="20200000"/>
    <m/>
    <m/>
    <m/>
    <n v="21800000"/>
    <m/>
    <m/>
    <m/>
    <m/>
    <m/>
    <m/>
    <m/>
    <m/>
    <m/>
    <m/>
    <m/>
    <m/>
    <m/>
    <m/>
    <m/>
    <n v="8000000"/>
    <m/>
    <m/>
    <m/>
    <m/>
    <m/>
    <m/>
    <m/>
    <m/>
    <m/>
    <m/>
  </r>
  <r>
    <s v="기업교육2팀"/>
    <x v="2"/>
    <s v="GC녹십자홀딩스"/>
    <n v="11047"/>
    <m/>
    <s v="03 신규"/>
    <s v="02 경쟁사 LMS"/>
    <m/>
    <x v="10"/>
    <m/>
    <m/>
    <x v="1"/>
    <n v="0"/>
    <n v="2700000"/>
    <n v="2700000"/>
    <n v="0"/>
    <m/>
    <m/>
    <m/>
    <m/>
    <m/>
    <m/>
    <m/>
    <m/>
    <m/>
    <m/>
    <n v="2000000"/>
    <m/>
    <m/>
    <m/>
    <m/>
    <m/>
    <m/>
    <n v="700000"/>
    <n v="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s v="03 휴넷 LMS"/>
    <s v="1. 온라인 - 단과"/>
    <x v="0"/>
    <n v="19800000"/>
    <n v="0"/>
    <x v="1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m/>
    <m/>
    <m/>
    <m/>
    <m/>
    <m/>
    <m/>
    <m/>
    <m/>
    <m/>
    <m/>
    <m/>
    <n v="18000000"/>
    <m/>
    <m/>
    <m/>
    <m/>
    <m/>
    <m/>
  </r>
  <r>
    <s v="기업교육2팀"/>
    <x v="2"/>
    <s v="경기도경제과학진흥원"/>
    <n v="29626"/>
    <s v="05 공공"/>
    <s v="01 수성"/>
    <s v="03 휴넷 LMS"/>
    <s v="6. 하이브리드러닝 - 집합형"/>
    <x v="2"/>
    <m/>
    <n v="20881818"/>
    <x v="4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m/>
    <s v="10. 컨텐츠 - 컨텐츠 개발"/>
    <x v="3"/>
    <m/>
    <n v="18181818"/>
    <x v="2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</r>
  <r>
    <s v="기업교육2팀"/>
    <x v="2"/>
    <s v="경기도사회적경제원"/>
    <n v="55916"/>
    <s v="05 공공"/>
    <s v="01 수성"/>
    <s v="03 휴넷 LMS"/>
    <s v="10. 컨텐츠 - 컨텐츠 개발"/>
    <x v="3"/>
    <n v="181818182"/>
    <n v="90000000"/>
    <x v="1"/>
    <n v="100000000"/>
    <n v="100000000"/>
    <n v="100000000"/>
    <n v="0"/>
    <m/>
    <m/>
    <m/>
    <m/>
    <m/>
    <m/>
    <m/>
    <m/>
    <m/>
    <m/>
    <m/>
    <m/>
    <n v="60000000"/>
    <n v="70000000"/>
    <n v="70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2"/>
    <s v="경동나비엔"/>
    <n v="3098"/>
    <m/>
    <s v="01 수성"/>
    <s v="02 경쟁사 LMS"/>
    <s v="6. 하이브리드러닝 - 집합형"/>
    <x v="2"/>
    <m/>
    <m/>
    <x v="1"/>
    <n v="32000000"/>
    <n v="20189500"/>
    <n v="20189500"/>
    <n v="0"/>
    <m/>
    <m/>
    <m/>
    <m/>
    <m/>
    <m/>
    <m/>
    <m/>
    <n v="8000000"/>
    <m/>
    <m/>
    <m/>
    <m/>
    <n v="7189500"/>
    <n v="7189500"/>
    <m/>
    <m/>
    <m/>
    <m/>
    <m/>
    <n v="8000000"/>
    <m/>
    <m/>
    <s v="김나리-&gt;고예서 DB이관 삭제"/>
    <m/>
    <m/>
    <m/>
    <m/>
    <m/>
    <m/>
    <m/>
    <m/>
    <n v="8000000"/>
    <n v="5000000"/>
    <m/>
    <s v="김나리-&gt;고예서 DB이관 삭제"/>
    <m/>
    <m/>
    <m/>
    <m/>
    <m/>
    <m/>
    <m/>
    <m/>
    <n v="8000000"/>
    <n v="8000000"/>
    <m/>
    <s v="김나리-&gt;고예서 DB이관 삭제"/>
    <m/>
    <m/>
    <m/>
    <m/>
  </r>
  <r>
    <s v="기업교육2팀"/>
    <x v="2"/>
    <s v="경찰청"/>
    <n v="10694"/>
    <s v="05 공공"/>
    <m/>
    <m/>
    <m/>
    <x v="9"/>
    <m/>
    <n v="0"/>
    <x v="4"/>
    <n v="141900000"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900000"/>
    <n v="80000000"/>
    <m/>
    <m/>
    <m/>
    <m/>
    <m/>
    <m/>
  </r>
  <r>
    <s v="기업교육2팀"/>
    <x v="2"/>
    <s v="경찰청"/>
    <n v="10694"/>
    <s v="05 공공"/>
    <s v="03 신규"/>
    <s v="01 자체 LMS"/>
    <m/>
    <x v="2"/>
    <m/>
    <m/>
    <x v="4"/>
    <n v="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m/>
    <m/>
    <m/>
    <m/>
    <m/>
    <m/>
  </r>
  <r>
    <s v="기업교육2팀"/>
    <x v="2"/>
    <s v="경찰청"/>
    <n v="10694"/>
    <s v="05 공공"/>
    <m/>
    <m/>
    <m/>
    <x v="3"/>
    <m/>
    <n v="0"/>
    <x v="0"/>
    <n v="350000000"/>
    <n v="350000000"/>
    <n v="3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0"/>
    <n v="350000000"/>
    <m/>
    <m/>
    <m/>
    <m/>
    <m/>
    <m/>
  </r>
  <r>
    <s v="기업교육2팀"/>
    <x v="2"/>
    <s v="근로복지공단"/>
    <n v="4259"/>
    <s v="05 공공"/>
    <s v="01 수성"/>
    <s v="03 휴넷 LMS"/>
    <s v="통합위탁"/>
    <x v="1"/>
    <n v="188000000"/>
    <n v="187272720"/>
    <x v="1"/>
    <n v="187272730"/>
    <n v="187272730"/>
    <n v="18727273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7272730"/>
    <n v="187272730"/>
    <m/>
    <m/>
    <m/>
    <m/>
    <m/>
    <s v="PASS"/>
  </r>
  <r>
    <s v="기업교육2팀"/>
    <x v="2"/>
    <s v="근로복지공단_요양부"/>
    <n v="44570"/>
    <s v="05 공공"/>
    <s v="01 수성"/>
    <s v="03 휴넷 LMS"/>
    <s v="1. 온라인 - 단과"/>
    <x v="0"/>
    <n v="2085000"/>
    <n v="41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네패스"/>
    <n v="4264"/>
    <s v=""/>
    <s v="01 수성"/>
    <s v="03 휴넷 LMS"/>
    <s v="통합위탁"/>
    <x v="1"/>
    <n v="163794486"/>
    <n v="132283890"/>
    <x v="1"/>
    <n v="105000000"/>
    <n v="64145600"/>
    <n v="64145600"/>
    <n v="0"/>
    <n v="8000000"/>
    <n v="8000000"/>
    <m/>
    <m/>
    <n v="10000000"/>
    <n v="5000000"/>
    <m/>
    <m/>
    <n v="10000000"/>
    <n v="5161100"/>
    <m/>
    <m/>
    <n v="10000000"/>
    <m/>
    <m/>
    <m/>
    <n v="10000000"/>
    <n v="4542800"/>
    <n v="4542800"/>
    <m/>
    <n v="9000000"/>
    <n v="45522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15050600"/>
    <m/>
    <m/>
    <m/>
    <m/>
    <m/>
    <s v="PASS"/>
  </r>
  <r>
    <s v="기업교육2팀"/>
    <x v="2"/>
    <s v="네패스"/>
    <n v="4264"/>
    <m/>
    <m/>
    <m/>
    <m/>
    <x v="6"/>
    <m/>
    <n v="0"/>
    <x v="1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s v="PASS"/>
  </r>
  <r>
    <s v="기업교육2팀"/>
    <x v="2"/>
    <s v="넥센타이어"/>
    <n v="640"/>
    <s v="01 1~1000대"/>
    <s v="01 수성"/>
    <s v="03 휴넷 LMS"/>
    <s v="1. 온라인 - 단과"/>
    <x v="0"/>
    <n v="248224084"/>
    <n v="256133440"/>
    <x v="1"/>
    <n v="230000000"/>
    <n v="249241270"/>
    <n v="249305030"/>
    <n v="-63760"/>
    <n v="10000000"/>
    <n v="18513370"/>
    <n v="18513370"/>
    <m/>
    <n v="20000000"/>
    <n v="21548160"/>
    <n v="21548160"/>
    <m/>
    <n v="20000000"/>
    <n v="21000000"/>
    <n v="22297180"/>
    <n v="1297180"/>
    <n v="20000000"/>
    <n v="12098780"/>
    <n v="12098780"/>
    <m/>
    <n v="20000000"/>
    <n v="17847540"/>
    <n v="17847540"/>
    <m/>
    <n v="20000000"/>
    <n v="20336240"/>
    <m/>
    <m/>
    <n v="20000000"/>
    <n v="21000000"/>
    <m/>
    <m/>
    <n v="20000000"/>
    <n v="21000000"/>
    <m/>
    <m/>
    <n v="20000000"/>
    <n v="21000000"/>
    <m/>
    <m/>
    <n v="20000000"/>
    <n v="21000000"/>
    <m/>
    <m/>
    <n v="20000000"/>
    <n v="21600000"/>
    <m/>
    <m/>
    <n v="20000000"/>
    <n v="31000000"/>
    <m/>
    <m/>
    <m/>
    <m/>
    <m/>
    <s v="PASS"/>
  </r>
  <r>
    <s v="기업교육2팀"/>
    <x v="2"/>
    <s v="넥센타이어"/>
    <n v="640"/>
    <s v="01 1~1000대"/>
    <s v="01 수성"/>
    <s v="03 휴넷 LMS"/>
    <s v="6. 하이브리드러닝 - 집합형"/>
    <x v="2"/>
    <m/>
    <n v="16950000"/>
    <x v="2"/>
    <n v="18000000"/>
    <n v="15000000"/>
    <n v="15000000"/>
    <n v="0"/>
    <m/>
    <m/>
    <m/>
    <m/>
    <m/>
    <m/>
    <m/>
    <m/>
    <n v="3000000"/>
    <m/>
    <m/>
    <m/>
    <m/>
    <m/>
    <m/>
    <m/>
    <n v="5000000"/>
    <m/>
    <m/>
    <m/>
    <m/>
    <m/>
    <m/>
    <m/>
    <m/>
    <n v="5000000"/>
    <m/>
    <m/>
    <m/>
    <m/>
    <m/>
    <m/>
    <n v="5000000"/>
    <n v="5000000"/>
    <m/>
    <m/>
    <n v="5000000"/>
    <n v="5000000"/>
    <m/>
    <m/>
    <m/>
    <m/>
    <m/>
    <m/>
    <m/>
    <m/>
    <m/>
    <m/>
    <m/>
    <m/>
    <m/>
    <m/>
  </r>
  <r>
    <s v="기업교육2팀"/>
    <x v="2"/>
    <s v="녹십자EM"/>
    <n v="11188"/>
    <s v="01 1~1000대"/>
    <s v="03 신규"/>
    <s v="02 경쟁사 LMS"/>
    <m/>
    <x v="2"/>
    <m/>
    <n v="2255000"/>
    <x v="1"/>
    <n v="10000000"/>
    <n v="4450000"/>
    <n v="4450000"/>
    <n v="0"/>
    <m/>
    <m/>
    <m/>
    <m/>
    <m/>
    <n v="2550000"/>
    <n v="2550000"/>
    <m/>
    <m/>
    <n v="900000"/>
    <n v="900000"/>
    <m/>
    <m/>
    <m/>
    <m/>
    <m/>
    <n v="5000000"/>
    <m/>
    <m/>
    <m/>
    <m/>
    <m/>
    <m/>
    <m/>
    <m/>
    <n v="1000000"/>
    <m/>
    <m/>
    <m/>
    <m/>
    <m/>
    <m/>
    <m/>
    <m/>
    <m/>
    <m/>
    <n v="5000000"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통합위탁"/>
    <x v="1"/>
    <n v="38524786"/>
    <n v="25417180"/>
    <x v="4"/>
    <n v="24000000"/>
    <n v="17000000"/>
    <n v="17000000"/>
    <n v="0"/>
    <m/>
    <m/>
    <m/>
    <m/>
    <m/>
    <m/>
    <m/>
    <m/>
    <n v="7000000"/>
    <n v="7000000"/>
    <m/>
    <m/>
    <m/>
    <m/>
    <m/>
    <m/>
    <m/>
    <m/>
    <m/>
    <m/>
    <n v="7000000"/>
    <n v="7000000"/>
    <m/>
    <m/>
    <m/>
    <m/>
    <m/>
    <m/>
    <m/>
    <m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2"/>
    <s v="동국제약"/>
    <n v="6106"/>
    <s v="02 1001~2000대"/>
    <s v="01 수성"/>
    <s v="03 휴넷 LMS"/>
    <s v="2. 온라인 - 법정"/>
    <x v="6"/>
    <n v="43187000"/>
    <n v="48901000"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2"/>
    <s v="동국제약"/>
    <n v="6106"/>
    <m/>
    <s v="01 수성"/>
    <m/>
    <s v="11. 컨텐츠 - 컨텐츠 임대/판매"/>
    <x v="5"/>
    <m/>
    <n v="120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6. 하이브리드러닝 - 집합형"/>
    <x v="2"/>
    <m/>
    <n v="28760000"/>
    <x v="1"/>
    <n v="28000000"/>
    <n v="4000000"/>
    <n v="4000000"/>
    <n v="0"/>
    <m/>
    <m/>
    <m/>
    <m/>
    <m/>
    <m/>
    <m/>
    <m/>
    <n v="5000000"/>
    <n v="2000000"/>
    <n v="2000000"/>
    <m/>
    <m/>
    <m/>
    <m/>
    <m/>
    <n v="3000000"/>
    <m/>
    <m/>
    <m/>
    <n v="5000000"/>
    <m/>
    <m/>
    <m/>
    <m/>
    <m/>
    <m/>
    <m/>
    <m/>
    <m/>
    <m/>
    <m/>
    <n v="5000000"/>
    <n v="2000000"/>
    <m/>
    <m/>
    <n v="5000000"/>
    <m/>
    <m/>
    <m/>
    <n v="5000000"/>
    <m/>
    <m/>
    <m/>
    <m/>
    <m/>
    <m/>
    <m/>
    <m/>
    <m/>
    <m/>
    <m/>
  </r>
  <r>
    <s v="기업교육2팀"/>
    <x v="2"/>
    <s v="동국제약"/>
    <n v="6106"/>
    <m/>
    <s v="03 신규"/>
    <s v="03 휴넷 LMS"/>
    <s v="7. 휴넷CEO - 휴넷CEO"/>
    <x v="10"/>
    <m/>
    <n v="100000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동국제약"/>
    <n v="6106"/>
    <m/>
    <s v="01 수성"/>
    <m/>
    <s v="10. 컨텐츠 - 컨텐츠 개발"/>
    <x v="3"/>
    <m/>
    <n v="7000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n v="8000000"/>
    <m/>
    <m/>
    <m/>
    <m/>
    <n v="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"/>
    <n v="3188"/>
    <m/>
    <s v="03 신규"/>
    <m/>
    <m/>
    <x v="4"/>
    <m/>
    <m/>
    <x v="1"/>
    <n v="0"/>
    <n v="4360000"/>
    <n v="4360000"/>
    <n v="0"/>
    <m/>
    <m/>
    <m/>
    <m/>
    <m/>
    <m/>
    <m/>
    <m/>
    <m/>
    <m/>
    <m/>
    <m/>
    <m/>
    <m/>
    <m/>
    <m/>
    <m/>
    <m/>
    <m/>
    <m/>
    <m/>
    <n v="43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m/>
    <s v="03 신규"/>
    <s v="02 경쟁사 LMS"/>
    <m/>
    <x v="0"/>
    <m/>
    <m/>
    <x v="1"/>
    <n v="0"/>
    <n v="1200000"/>
    <n v="1200000"/>
    <n v="0"/>
    <m/>
    <m/>
    <m/>
    <m/>
    <m/>
    <n v="1200000"/>
    <n v="1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s v="01 1~1000대"/>
    <s v="03 신규"/>
    <s v="02 경쟁사 LMS"/>
    <s v="6. 하이브리드러닝 - 집합형"/>
    <x v="2"/>
    <m/>
    <n v="77725000"/>
    <x v="0"/>
    <n v="50000000"/>
    <n v="10000000"/>
    <n v="10000000"/>
    <n v="0"/>
    <n v="40000000"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듀폰코리아"/>
    <n v="3906"/>
    <s v=""/>
    <s v="03 신규"/>
    <s v="03 휴넷 LMS"/>
    <s v="6. 하이브리드러닝 - 집합형"/>
    <x v="2"/>
    <n v="19540000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듀폰코리아"/>
    <n v="3906"/>
    <m/>
    <m/>
    <m/>
    <s v="36. 기타 - 기타"/>
    <x v="18"/>
    <s v=""/>
    <n v="1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11557"/>
    <s v="03 2001~3000대"/>
    <s v="01 수성"/>
    <s v="03 휴넷 LMS"/>
    <s v="1. 온라인 - 단과"/>
    <x v="0"/>
    <n v="6854000"/>
    <n v="4406000"/>
    <x v="1"/>
    <n v="4000000"/>
    <n v="3152000"/>
    <n v="3152000"/>
    <n v="0"/>
    <m/>
    <m/>
    <m/>
    <m/>
    <m/>
    <m/>
    <m/>
    <m/>
    <n v="1000000"/>
    <n v="1152000"/>
    <n v="1152000"/>
    <m/>
    <m/>
    <m/>
    <m/>
    <m/>
    <m/>
    <m/>
    <m/>
    <m/>
    <n v="1000000"/>
    <m/>
    <m/>
    <m/>
    <m/>
    <m/>
    <m/>
    <m/>
    <n v="1000000"/>
    <m/>
    <m/>
    <m/>
    <m/>
    <m/>
    <m/>
    <m/>
    <n v="1000000"/>
    <n v="1000000"/>
    <m/>
    <m/>
    <m/>
    <m/>
    <m/>
    <m/>
    <m/>
    <n v="1000000"/>
    <m/>
    <m/>
    <m/>
    <m/>
    <m/>
    <m/>
  </r>
  <r>
    <s v="기업교육2팀"/>
    <x v="2"/>
    <s v="삼성생명서비스"/>
    <n v="59864"/>
    <s v="03 2001~3000대"/>
    <s v="01 수성"/>
    <s v="03 휴넷 LMS"/>
    <s v="2. 온라인 - 법정"/>
    <x v="6"/>
    <n v="50184000"/>
    <n v="19692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s v="PASS"/>
  </r>
  <r>
    <s v="기업교육2팀"/>
    <x v="2"/>
    <s v="삼성생명서비스"/>
    <n v="59864"/>
    <s v="03 2001~3000대"/>
    <s v="01 수성"/>
    <s v="03 휴넷 LMS"/>
    <s v="3. 온라인 - 마이크로러닝"/>
    <x v="9"/>
    <n v="57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2"/>
    <m/>
    <n v="0"/>
    <x v="0"/>
    <n v="4000000"/>
    <n v="3000000"/>
    <n v="3000000"/>
    <n v="0"/>
    <n v="1000000"/>
    <n v="1000000"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15"/>
    <m/>
    <n v="0"/>
    <x v="1"/>
    <n v="50000000"/>
    <n v="28000000"/>
    <n v="28000000"/>
    <n v="0"/>
    <n v="30000000"/>
    <n v="28000000"/>
    <n v="2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</r>
  <r>
    <s v="기업교육2팀"/>
    <x v="2"/>
    <s v="삼성선물"/>
    <n v="60609"/>
    <m/>
    <m/>
    <m/>
    <m/>
    <x v="1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m/>
    <s v="11. 컨텐츠 - 컨텐츠 임대/판매"/>
    <x v="5"/>
    <m/>
    <n v="24200000"/>
    <x v="2"/>
    <n v="30000000"/>
    <n v="30000000"/>
    <n v="30000000"/>
    <n v="0"/>
    <m/>
    <m/>
    <m/>
    <m/>
    <m/>
    <m/>
    <m/>
    <m/>
    <m/>
    <m/>
    <m/>
    <m/>
    <n v="10000000"/>
    <m/>
    <m/>
    <m/>
    <m/>
    <m/>
    <m/>
    <m/>
    <m/>
    <m/>
    <m/>
    <m/>
    <n v="10000000"/>
    <n v="10000000"/>
    <m/>
    <m/>
    <m/>
    <n v="10000000"/>
    <m/>
    <m/>
    <m/>
    <m/>
    <m/>
    <m/>
    <m/>
    <m/>
    <m/>
    <m/>
    <n v="10000000"/>
    <n v="10000000"/>
    <m/>
    <m/>
    <m/>
    <m/>
    <m/>
    <m/>
    <m/>
    <m/>
    <m/>
    <m/>
  </r>
  <r>
    <s v="기업교육2팀"/>
    <x v="2"/>
    <s v="삼성전자"/>
    <n v="613"/>
    <s v="01 1~1000대"/>
    <s v="04 연장"/>
    <s v="01 자체 LMS"/>
    <s v="6. 하이브리드러닝 - 집합형"/>
    <x v="2"/>
    <n v="118425000"/>
    <n v="360435000"/>
    <x v="1"/>
    <n v="180000000"/>
    <n v="212515000"/>
    <n v="212515000"/>
    <n v="0"/>
    <m/>
    <m/>
    <m/>
    <m/>
    <m/>
    <n v="1950000"/>
    <m/>
    <s v="메모리사업부 과정 추가 진행"/>
    <n v="20000000"/>
    <n v="11085000"/>
    <n v="11085000"/>
    <m/>
    <n v="20000000"/>
    <n v="45980000"/>
    <n v="45980000"/>
    <m/>
    <n v="20000000"/>
    <n v="23450000"/>
    <n v="23450000"/>
    <m/>
    <n v="20000000"/>
    <n v="700000"/>
    <m/>
    <m/>
    <n v="20000000"/>
    <n v="10300000"/>
    <m/>
    <m/>
    <n v="20000000"/>
    <n v="22000000"/>
    <m/>
    <m/>
    <n v="20000000"/>
    <n v="22000000"/>
    <m/>
    <m/>
    <n v="20000000"/>
    <n v="30000000"/>
    <m/>
    <m/>
    <n v="20000000"/>
    <n v="25000000"/>
    <m/>
    <m/>
    <m/>
    <n v="22000000"/>
    <m/>
    <m/>
    <m/>
    <m/>
    <m/>
    <s v="yet"/>
  </r>
  <r>
    <s v="기업교육2팀"/>
    <x v="2"/>
    <s v="삼성전자"/>
    <n v="613"/>
    <s v="01 1~1000대"/>
    <s v="01 수성"/>
    <s v="01 자체 LMS"/>
    <s v="10. 컨텐츠 - 컨텐츠 개발"/>
    <x v="3"/>
    <n v="117000000"/>
    <n v="82500000"/>
    <x v="2"/>
    <n v="85000000"/>
    <n v="85000000"/>
    <n v="8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000000"/>
    <n v="85000000"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s v="01 자체 LMS"/>
    <s v="19. 솔루션 - 퀴즈앤"/>
    <x v="19"/>
    <m/>
    <n v="5000000"/>
    <x v="1"/>
    <n v="6000000"/>
    <n v="0"/>
    <n v="0"/>
    <n v="0"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EHS학부)"/>
    <n v="613"/>
    <s v="01 1~1000대"/>
    <s v="03 신규"/>
    <s v="01 자체 LMS"/>
    <m/>
    <x v="13"/>
    <m/>
    <n v="0"/>
    <x v="0"/>
    <n v="100000000"/>
    <n v="50000000"/>
    <n v="50000000"/>
    <n v="0"/>
    <m/>
    <m/>
    <m/>
    <m/>
    <m/>
    <m/>
    <m/>
    <m/>
    <n v="50000000"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게이트키퍼양성)"/>
    <n v="613"/>
    <s v="01 1~1000대"/>
    <s v="03 신규"/>
    <s v="01 자체 LMS"/>
    <m/>
    <x v="2"/>
    <m/>
    <n v="0"/>
    <x v="0"/>
    <n v="100000000"/>
    <n v="100000000"/>
    <n v="100000000"/>
    <n v="0"/>
    <m/>
    <m/>
    <m/>
    <m/>
    <m/>
    <m/>
    <m/>
    <m/>
    <m/>
    <m/>
    <m/>
    <m/>
    <n v="50000000"/>
    <m/>
    <m/>
    <m/>
    <m/>
    <m/>
    <m/>
    <m/>
    <m/>
    <m/>
    <m/>
    <m/>
    <m/>
    <n v="50000000"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삼성전자(상생협력)"/>
    <n v="613"/>
    <s v="01 1~1000대"/>
    <s v="03 신규"/>
    <s v="01 자체 LMS"/>
    <m/>
    <x v="15"/>
    <m/>
    <n v="0"/>
    <x v="2"/>
    <n v="60000000"/>
    <n v="60000000"/>
    <n v="60000000"/>
    <n v="0"/>
    <m/>
    <m/>
    <m/>
    <m/>
    <m/>
    <m/>
    <m/>
    <m/>
    <m/>
    <m/>
    <m/>
    <m/>
    <m/>
    <m/>
    <m/>
    <m/>
    <n v="30000000"/>
    <m/>
    <m/>
    <m/>
    <m/>
    <m/>
    <m/>
    <m/>
    <m/>
    <n v="30000000"/>
    <m/>
    <m/>
    <m/>
    <m/>
    <m/>
    <m/>
    <m/>
    <m/>
    <m/>
    <m/>
    <m/>
    <m/>
    <m/>
    <m/>
    <n v="30000000"/>
    <n v="30000000"/>
    <m/>
    <m/>
    <m/>
    <m/>
    <m/>
    <m/>
    <m/>
    <m/>
    <m/>
    <m/>
  </r>
  <r>
    <s v="기업교육2팀"/>
    <x v="2"/>
    <s v="삼성전자_DS MBA"/>
    <n v="47052"/>
    <s v="01 1~1000대"/>
    <s v="04 연장"/>
    <s v="01 자체 LMS"/>
    <s v="통합위탁"/>
    <x v="0"/>
    <n v="78860000"/>
    <n v="66760000"/>
    <x v="1"/>
    <n v="54000000"/>
    <n v="65700000"/>
    <n v="65700000"/>
    <n v="0"/>
    <m/>
    <m/>
    <m/>
    <m/>
    <n v="5000000"/>
    <n v="5000000"/>
    <m/>
    <s v="R/S 매출 상승"/>
    <n v="5000000"/>
    <n v="6640000"/>
    <n v="6640000"/>
    <m/>
    <n v="5000000"/>
    <n v="7400000"/>
    <n v="7400000"/>
    <m/>
    <n v="5000000"/>
    <n v="7660000"/>
    <n v="7660000"/>
    <m/>
    <n v="5000000"/>
    <n v="15000000"/>
    <m/>
    <m/>
    <n v="4000000"/>
    <n v="4000000"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s v="PASS"/>
  </r>
  <r>
    <s v="기업교육2팀"/>
    <x v="2"/>
    <s v="삼성전자_DS(신입사원_마리플)"/>
    <n v="46868"/>
    <s v="01 1~1000대"/>
    <s v="03 신규"/>
    <s v="01 자체 LMS"/>
    <m/>
    <x v="8"/>
    <m/>
    <n v="0"/>
    <x v="1"/>
    <n v="0"/>
    <n v="0"/>
    <n v="0"/>
    <n v="0"/>
    <m/>
    <m/>
    <m/>
    <m/>
    <m/>
    <n v="20000000"/>
    <m/>
    <s v="실 수강생 감소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_DS리더십교육"/>
    <n v="46054"/>
    <s v="01 1~1000대"/>
    <s v="01 수성"/>
    <s v="01 자체 LMS"/>
    <s v="6. 하이브리드러닝 - 집합형"/>
    <x v="2"/>
    <n v="1461134800"/>
    <n v="604158800"/>
    <x v="2"/>
    <n v="1100000000"/>
    <n v="1100000000"/>
    <n v="1100000000"/>
    <n v="0"/>
    <m/>
    <m/>
    <m/>
    <m/>
    <m/>
    <m/>
    <m/>
    <m/>
    <m/>
    <m/>
    <m/>
    <m/>
    <n v="100000000"/>
    <m/>
    <m/>
    <m/>
    <n v="200000000"/>
    <m/>
    <m/>
    <m/>
    <n v="200000000"/>
    <m/>
    <m/>
    <m/>
    <n v="200000000"/>
    <n v="200000000"/>
    <m/>
    <m/>
    <n v="100000000"/>
    <n v="200000000"/>
    <m/>
    <m/>
    <n v="100000000"/>
    <n v="200000000"/>
    <m/>
    <m/>
    <n v="100000000"/>
    <n v="200000000"/>
    <m/>
    <m/>
    <n v="100000000"/>
    <n v="100000000"/>
    <m/>
    <m/>
    <m/>
    <n v="200000000"/>
    <m/>
    <m/>
    <m/>
    <m/>
    <m/>
    <m/>
  </r>
  <r>
    <s v="기업교육2팀"/>
    <x v="2"/>
    <s v="삼성전자서비스"/>
    <n v="3870"/>
    <s v="01 1~1000대"/>
    <s v="03 신규"/>
    <s v="01 자체 LMS"/>
    <m/>
    <x v="2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2"/>
    <s v="삼성전자판매"/>
    <n v="4968"/>
    <s v="01 1~1000대"/>
    <s v="02 윈백"/>
    <m/>
    <s v="1. 온라인 - 단과"/>
    <x v="0"/>
    <n v="900000"/>
    <n v="0"/>
    <x v="0"/>
    <n v="10000000"/>
    <n v="10000000"/>
    <n v="10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n v="3000000"/>
    <n v="3000000"/>
    <m/>
    <m/>
    <m/>
    <m/>
    <m/>
    <m/>
    <n v="4000000"/>
    <n v="4000000"/>
    <m/>
    <m/>
    <m/>
    <m/>
    <m/>
    <m/>
    <m/>
    <m/>
    <m/>
    <m/>
  </r>
  <r>
    <s v="기업교육2팀"/>
    <x v="2"/>
    <s v="삼성증권 협력사"/>
    <n v="59035"/>
    <m/>
    <m/>
    <m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1"/>
    <n v="127403210"/>
    <n v="109030600"/>
    <x v="6"/>
    <n v="45000000"/>
    <n v="45000000"/>
    <n v="4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n v="20000000"/>
    <n v="20000000"/>
    <m/>
    <m/>
    <m/>
    <m/>
    <m/>
    <m/>
  </r>
  <r>
    <s v="기업교육2팀"/>
    <x v="2"/>
    <s v="삼성증권주식회사"/>
    <n v="233"/>
    <s v="01 1~1000대"/>
    <s v="01 수성"/>
    <m/>
    <s v="2. 온라인 - 법정"/>
    <x v="6"/>
    <n v="11130000"/>
    <n v="377235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10000000"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s v=""/>
    <n v="12400000"/>
    <x v="2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n v="237000000"/>
    <s v="???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8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m/>
    <m/>
    <m/>
    <s v="11. 컨텐츠 - 컨텐츠 임대/판매"/>
    <x v="5"/>
    <s v=""/>
    <n v="35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s v="01 1~1000대"/>
    <s v="01 수성"/>
    <s v="02 경쟁사 LMS"/>
    <s v="10. 컨텐츠 - 컨텐츠 개발"/>
    <x v="3"/>
    <n v="1000000"/>
    <n v="280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1 수성"/>
    <s v="03 휴넷 LMS"/>
    <m/>
    <x v="1"/>
    <m/>
    <m/>
    <x v="1"/>
    <n v="0"/>
    <n v="240500000"/>
    <n v="240500000"/>
    <n v="0"/>
    <m/>
    <m/>
    <m/>
    <m/>
    <m/>
    <m/>
    <m/>
    <m/>
    <m/>
    <m/>
    <m/>
    <m/>
    <m/>
    <m/>
    <m/>
    <m/>
    <m/>
    <m/>
    <m/>
    <m/>
    <m/>
    <n v="168350000"/>
    <m/>
    <m/>
    <m/>
    <m/>
    <m/>
    <m/>
    <m/>
    <m/>
    <m/>
    <m/>
    <m/>
    <m/>
    <m/>
    <m/>
    <m/>
    <m/>
    <m/>
    <m/>
    <m/>
    <m/>
    <m/>
    <m/>
    <m/>
    <n v="72150000"/>
    <m/>
    <m/>
    <m/>
    <m/>
    <m/>
    <m/>
  </r>
  <r>
    <s v="기업교육2팀"/>
    <x v="2"/>
    <s v="소상공인시장진흥공단"/>
    <n v="41551"/>
    <m/>
    <m/>
    <m/>
    <s v="1. 온라인 - 단과"/>
    <x v="0"/>
    <s v=""/>
    <n v="2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3 신규"/>
    <s v="02 경쟁사 LMS"/>
    <s v="6. 하이브리드러닝 - 집합형"/>
    <x v="2"/>
    <m/>
    <n v="418899998"/>
    <x v="2"/>
    <n v="420000000"/>
    <n v="280000000"/>
    <n v="280000000"/>
    <n v="0"/>
    <m/>
    <m/>
    <m/>
    <m/>
    <m/>
    <m/>
    <m/>
    <m/>
    <m/>
    <m/>
    <m/>
    <m/>
    <n v="25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8000000"/>
    <n v="280000000"/>
    <m/>
    <m/>
    <m/>
    <m/>
    <m/>
    <m/>
  </r>
  <r>
    <s v="기업교육2팀"/>
    <x v="2"/>
    <s v="소상공인시장진흥공단"/>
    <n v="41551"/>
    <s v="05 공공"/>
    <m/>
    <m/>
    <m/>
    <x v="3"/>
    <m/>
    <n v="0"/>
    <x v="0"/>
    <n v="200000000"/>
    <n v="200000000"/>
    <n v="200000000"/>
    <n v="0"/>
    <m/>
    <m/>
    <m/>
    <m/>
    <m/>
    <m/>
    <m/>
    <m/>
    <m/>
    <m/>
    <m/>
    <m/>
    <n v="150000000"/>
    <m/>
    <m/>
    <m/>
    <m/>
    <m/>
    <m/>
    <m/>
    <m/>
    <m/>
    <m/>
    <m/>
    <m/>
    <n v="1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에스지씨이테크건설"/>
    <s v="791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렌터카"/>
    <n v="42777"/>
    <s v="01 1~1000대"/>
    <s v="01 수성"/>
    <s v="03 휴넷 LMS"/>
    <s v="1. 온라인 - 단과"/>
    <x v="0"/>
    <s v="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에스케이렌터카"/>
    <n v="42777"/>
    <s v="01 1~1000대"/>
    <s v="01 수성"/>
    <s v="03 휴넷 LMS"/>
    <s v="2. 온라인 - 법정"/>
    <x v="6"/>
    <n v="11547000"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에스케이렌터카"/>
    <n v="42777"/>
    <s v="01 1~1000대"/>
    <s v="01 수성"/>
    <s v="03 휴넷 LMS"/>
    <s v="3. 온라인 - 마이크로러닝"/>
    <x v="9"/>
    <n v="11250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케미칼"/>
    <n v="3778"/>
    <s v="01 1~1000대"/>
    <m/>
    <m/>
    <s v="1. 온라인 - 단과"/>
    <x v="0"/>
    <n v="1855000"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에스케이케미칼"/>
    <n v="3778"/>
    <s v="01 1~1000대"/>
    <s v="01 수성"/>
    <s v="03 휴넷 LMS"/>
    <s v="14. 솔루션 - 맞춤형 LABS"/>
    <x v="15"/>
    <n v="17693000"/>
    <n v="17259000"/>
    <x v="1"/>
    <n v="18000000"/>
    <n v="25000000"/>
    <n v="25000000"/>
    <n v="0"/>
    <m/>
    <m/>
    <m/>
    <m/>
    <m/>
    <m/>
    <m/>
    <m/>
    <m/>
    <m/>
    <m/>
    <m/>
    <n v="9000000"/>
    <m/>
    <m/>
    <m/>
    <m/>
    <m/>
    <m/>
    <m/>
    <m/>
    <m/>
    <m/>
    <m/>
    <n v="3000000"/>
    <m/>
    <m/>
    <m/>
    <m/>
    <m/>
    <m/>
    <m/>
    <m/>
    <m/>
    <m/>
    <m/>
    <n v="3000000"/>
    <m/>
    <m/>
    <m/>
    <m/>
    <m/>
    <m/>
    <m/>
    <n v="3000000"/>
    <n v="25000000"/>
    <m/>
    <m/>
    <m/>
    <m/>
    <m/>
    <m/>
  </r>
  <r>
    <s v="기업교육2팀"/>
    <x v="2"/>
    <s v="에스케이해운"/>
    <n v="52358"/>
    <m/>
    <m/>
    <m/>
    <s v="2. 온라인 - 법정"/>
    <x v="6"/>
    <n v="5562000"/>
    <n v="8087000"/>
    <x v="4"/>
    <n v="6000000"/>
    <n v="3000000"/>
    <n v="3000000"/>
    <n v="0"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2"/>
    <s v="엘지화학"/>
    <n v="1138"/>
    <m/>
    <m/>
    <m/>
    <s v="2. 온라인 - 법정"/>
    <x v="6"/>
    <n v="165000"/>
    <n v="387000"/>
    <x v="1"/>
    <n v="1000000"/>
    <n v="444000"/>
    <n v="444000"/>
    <n v="0"/>
    <m/>
    <m/>
    <n v="44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</r>
  <r>
    <s v="기업교육2팀"/>
    <x v="2"/>
    <s v="엘지화학"/>
    <n v="1138"/>
    <s v="01 1~1000대"/>
    <m/>
    <m/>
    <s v="6. 하이브리드러닝 - 집합형"/>
    <x v="2"/>
    <m/>
    <n v="0"/>
    <x v="0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2"/>
    <s v="엘지화학"/>
    <n v="1138"/>
    <s v="01 1~1000대"/>
    <m/>
    <m/>
    <s v="10. 컨텐츠 - 컨텐츠 개발"/>
    <x v="3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엘지화학대산공장"/>
    <n v="22649"/>
    <s v="01 1~1000대"/>
    <m/>
    <m/>
    <s v="24. 운영 - 운영매출"/>
    <x v="13"/>
    <n v="3500000"/>
    <n v="3500000"/>
    <x v="1"/>
    <n v="3500000"/>
    <n v="3500000"/>
    <n v="3500000"/>
    <n v="0"/>
    <n v="3500000"/>
    <n v="3500000"/>
    <n v="3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글로벌"/>
    <n v="54832"/>
    <s v="04 3000대 이후"/>
    <s v="01 수성"/>
    <s v="03 휴넷 LMS"/>
    <s v="1. 온라인 - 단과"/>
    <x v="0"/>
    <n v="183318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임플란트"/>
    <n v="6780"/>
    <s v="01 1~1000대"/>
    <s v="01 수성"/>
    <s v="03 휴넷 LMS"/>
    <s v="통합위탁"/>
    <x v="1"/>
    <n v="168238192"/>
    <n v="64807496"/>
    <x v="2"/>
    <n v="95000000"/>
    <n v="75000000"/>
    <n v="75000000"/>
    <n v="0"/>
    <n v="20000000"/>
    <n v="20000000"/>
    <m/>
    <m/>
    <m/>
    <m/>
    <m/>
    <m/>
    <n v="15000000"/>
    <m/>
    <m/>
    <m/>
    <m/>
    <m/>
    <m/>
    <m/>
    <m/>
    <m/>
    <m/>
    <m/>
    <n v="15000000"/>
    <m/>
    <m/>
    <m/>
    <m/>
    <n v="15000000"/>
    <m/>
    <m/>
    <m/>
    <n v="15000000"/>
    <m/>
    <m/>
    <n v="15000000"/>
    <n v="15000000"/>
    <m/>
    <m/>
    <m/>
    <m/>
    <m/>
    <m/>
    <m/>
    <m/>
    <m/>
    <m/>
    <n v="30000000"/>
    <n v="30000000"/>
    <m/>
    <m/>
    <m/>
    <m/>
    <m/>
    <m/>
  </r>
  <r>
    <s v="기업교육2팀"/>
    <x v="2"/>
    <s v="조인주식회사"/>
    <n v="4565"/>
    <s v="02 1001~2000대"/>
    <s v="01 수성"/>
    <s v="03 휴넷 LMS"/>
    <s v="통합위탁"/>
    <x v="1"/>
    <n v="41104900"/>
    <n v="50575520"/>
    <x v="1"/>
    <n v="40000000"/>
    <n v="52346500"/>
    <n v="48558500"/>
    <n v="3788000"/>
    <n v="3000000"/>
    <n v="3000000"/>
    <m/>
    <s v="2월부터 교육 시작"/>
    <n v="3000000"/>
    <m/>
    <m/>
    <m/>
    <n v="3000000"/>
    <n v="7929000"/>
    <n v="7929000"/>
    <m/>
    <n v="3000000"/>
    <n v="3164000"/>
    <n v="3164000"/>
    <m/>
    <n v="5000000"/>
    <n v="14465500"/>
    <n v="14465500"/>
    <m/>
    <n v="3000000"/>
    <n v="6788000"/>
    <m/>
    <m/>
    <n v="5000000"/>
    <n v="5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2"/>
    <s v="조인주식회사"/>
    <n v="4565"/>
    <s v="02 1001~2000대"/>
    <s v="01 수성"/>
    <s v="03 휴넷 LMS"/>
    <s v="6. 하이브리드러닝 - 집합형"/>
    <x v="2"/>
    <m/>
    <n v="8000000"/>
    <x v="1"/>
    <n v="5000000"/>
    <n v="2800000"/>
    <n v="2800000"/>
    <n v="0"/>
    <m/>
    <m/>
    <m/>
    <m/>
    <m/>
    <m/>
    <m/>
    <m/>
    <m/>
    <m/>
    <m/>
    <m/>
    <m/>
    <n v="2800000"/>
    <n v="2800000"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주식회사 휴메딕스"/>
    <n v="19075"/>
    <m/>
    <s v="01 수성"/>
    <s v="03 휴넷 LMS"/>
    <s v="2. 온라인 - 법정"/>
    <x v="6"/>
    <n v="3810000"/>
    <n v="6305000"/>
    <x v="1"/>
    <n v="6000000"/>
    <n v="6000000"/>
    <n v="6000000"/>
    <n v="0"/>
    <m/>
    <n v="2214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주식회사 휴메딕스"/>
    <n v="19075"/>
    <m/>
    <s v="01 수성"/>
    <s v="03 휴넷 LMS"/>
    <s v="3. 온라인 - 마이크로러닝"/>
    <x v="9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지씨셀"/>
    <n v="45918"/>
    <m/>
    <s v="01 수성"/>
    <s v="02 경쟁사 LMS"/>
    <s v="6. 하이브리드러닝 - 집합형"/>
    <x v="2"/>
    <n v="4465000"/>
    <n v="0"/>
    <x v="0"/>
    <n v="10000000"/>
    <n v="10000000"/>
    <n v="10000000"/>
    <n v="0"/>
    <m/>
    <m/>
    <m/>
    <m/>
    <m/>
    <m/>
    <m/>
    <m/>
    <m/>
    <m/>
    <m/>
    <m/>
    <n v="3000000"/>
    <m/>
    <m/>
    <m/>
    <m/>
    <m/>
    <m/>
    <m/>
    <n v="5000000"/>
    <m/>
    <m/>
    <m/>
    <m/>
    <n v="3000000"/>
    <m/>
    <m/>
    <m/>
    <n v="5000000"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캐롯손해보험(한화)"/>
    <n v="40248"/>
    <s v="02 1001~2000대"/>
    <s v="01 수성"/>
    <s v="03 휴넷 LMS"/>
    <s v="2. 온라인 - 법정"/>
    <x v="6"/>
    <n v="4630000"/>
    <n v="6241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2"/>
    <s v="코오롱제약"/>
    <n v="23817"/>
    <s v="04 3000대 이후"/>
    <s v="01 수성"/>
    <s v="03 휴넷 LMS"/>
    <s v="3. 온라인 - 마이크로러닝"/>
    <x v="9"/>
    <n v="12000000"/>
    <n v="8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넨탈오토모티브코리아"/>
    <n v="26277"/>
    <s v="04 3000대 이후"/>
    <s v="01 수성"/>
    <m/>
    <s v="1. 온라인 - 단과"/>
    <x v="0"/>
    <n v="14945000"/>
    <n v="10578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m/>
  </r>
  <r>
    <s v="기업교육2팀"/>
    <x v="2"/>
    <s v="콘티넨탈오토모티브코리아"/>
    <n v="26277"/>
    <s v="04 3000대 이후"/>
    <s v="01 수성"/>
    <m/>
    <s v="6. 하이브리드러닝 - 집합형"/>
    <x v="2"/>
    <n v="7500000"/>
    <n v="26655000"/>
    <x v="1"/>
    <n v="3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40000000"/>
    <m/>
    <m/>
    <m/>
    <m/>
    <m/>
    <m/>
    <m/>
    <m/>
    <m/>
    <m/>
    <m/>
    <m/>
    <m/>
    <m/>
    <m/>
    <m/>
    <m/>
    <m/>
  </r>
  <r>
    <s v="기업교육2팀"/>
    <x v="2"/>
    <s v="콘티넨탈오토모티브코리아_FLEX24"/>
    <n v="57601"/>
    <s v="04 3000대 이후"/>
    <s v="01 수성"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"/>
    <n v="58118"/>
    <m/>
    <s v="03 신규"/>
    <m/>
    <m/>
    <x v="4"/>
    <m/>
    <m/>
    <x v="1"/>
    <n v="0"/>
    <n v="2800000"/>
    <n v="2800000"/>
    <n v="0"/>
    <m/>
    <m/>
    <m/>
    <m/>
    <m/>
    <m/>
    <m/>
    <m/>
    <m/>
    <m/>
    <m/>
    <m/>
    <m/>
    <m/>
    <m/>
    <m/>
    <m/>
    <m/>
    <m/>
    <m/>
    <m/>
    <n v="28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_FLEX23"/>
    <n v="58443"/>
    <s v="02 1001~2000대"/>
    <s v="01 수성"/>
    <m/>
    <s v="26. 정부지원사업 - HRDFLEX"/>
    <x v="16"/>
    <n v="1540000"/>
    <n v="112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3 신규"/>
    <s v="03 휴넷 LMS"/>
    <s v="1. 온라인 - 단과"/>
    <x v="1"/>
    <m/>
    <n v="37521000"/>
    <x v="1"/>
    <n v="100000000"/>
    <n v="99580000"/>
    <n v="99580000"/>
    <n v="0"/>
    <m/>
    <m/>
    <m/>
    <m/>
    <m/>
    <m/>
    <m/>
    <m/>
    <m/>
    <m/>
    <m/>
    <m/>
    <m/>
    <m/>
    <m/>
    <m/>
    <m/>
    <n v="36680000"/>
    <n v="36680000"/>
    <m/>
    <n v="30000000"/>
    <n v="15000000"/>
    <m/>
    <m/>
    <m/>
    <m/>
    <m/>
    <m/>
    <m/>
    <m/>
    <m/>
    <m/>
    <n v="40000000"/>
    <m/>
    <m/>
    <m/>
    <m/>
    <m/>
    <m/>
    <m/>
    <m/>
    <m/>
    <m/>
    <m/>
    <n v="30000000"/>
    <n v="47900000"/>
    <m/>
    <m/>
    <n v="95640000"/>
    <m/>
    <m/>
    <m/>
  </r>
  <r>
    <s v="기업교육2팀"/>
    <x v="2"/>
    <s v="한국석유공사"/>
    <n v="4139"/>
    <s v="05 공공"/>
    <s v="01 수성"/>
    <s v="03 휴넷 LMS"/>
    <s v="3. 온라인 - 마이크로러닝"/>
    <x v="9"/>
    <n v="91750000"/>
    <n v="6062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35. 기타 - 북러닝"/>
    <x v="7"/>
    <n v="2240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1 수성"/>
    <s v="03 휴넷 LMS"/>
    <s v="6. 하이브리드러닝 - 집합형"/>
    <x v="2"/>
    <n v="17450000"/>
    <n v="25015000"/>
    <x v="2"/>
    <n v="15000000"/>
    <n v="15000000"/>
    <n v="15000000"/>
    <n v="0"/>
    <m/>
    <m/>
    <m/>
    <m/>
    <m/>
    <m/>
    <m/>
    <m/>
    <m/>
    <m/>
    <m/>
    <m/>
    <n v="5000000"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10. 컨텐츠 - 컨텐츠 개발"/>
    <x v="3"/>
    <n v="2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자산관리공사"/>
    <n v="1874"/>
    <s v="05 공공"/>
    <m/>
    <m/>
    <s v="11. 컨텐츠 - 컨텐츠 임대/판매"/>
    <x v="0"/>
    <s v=""/>
    <s v=""/>
    <x v="4"/>
    <n v="80000000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n v="800000000"/>
    <m/>
    <m/>
    <m/>
    <m/>
    <m/>
    <m/>
  </r>
  <r>
    <s v="기업교육2팀"/>
    <x v="2"/>
    <s v="한국자산관리공사"/>
    <n v="1874"/>
    <m/>
    <m/>
    <m/>
    <s v="6. 하이브리드러닝 - 집합형"/>
    <x v="4"/>
    <s v=""/>
    <n v="5895455"/>
    <x v="0"/>
    <n v="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정보통신"/>
    <n v="6578"/>
    <m/>
    <s v="01 수성"/>
    <s v="03 휴넷 LMS"/>
    <s v="통합위탁"/>
    <x v="1"/>
    <m/>
    <n v="64163628"/>
    <x v="1"/>
    <n v="66000000"/>
    <n v="72049840"/>
    <n v="72049840"/>
    <n v="0"/>
    <n v="6000000"/>
    <n v="6000000"/>
    <m/>
    <s v="2월부터 교육 시작"/>
    <n v="6000000"/>
    <m/>
    <m/>
    <m/>
    <n v="6000000"/>
    <n v="8286080"/>
    <n v="8286080"/>
    <m/>
    <n v="6000000"/>
    <n v="14064840"/>
    <n v="14064840"/>
    <m/>
    <n v="6000000"/>
    <n v="13698920"/>
    <n v="13698920"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m/>
    <m/>
    <m/>
    <m/>
    <m/>
    <m/>
    <m/>
    <s v="PASS"/>
  </r>
  <r>
    <s v="기업교육2팀"/>
    <x v="2"/>
    <s v="한국정보통신"/>
    <n v="6578"/>
    <s v=""/>
    <s v="03 신규"/>
    <s v="03 휴넷 LMS"/>
    <s v="2. 온라인 - 법정"/>
    <x v="6"/>
    <n v="3105000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한국정보통신"/>
    <n v="6578"/>
    <s v=""/>
    <s v="03 신규"/>
    <s v="03 휴넷 LMS"/>
    <s v="6. 하이브리드러닝 - 집합형"/>
    <x v="2"/>
    <m/>
    <n v="0"/>
    <x v="4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영회계법인"/>
    <n v="8341"/>
    <s v="01 1~1000대"/>
    <s v="01 수성"/>
    <s v="03 휴넷 LMS"/>
    <s v="2. 온라인 - 법정"/>
    <x v="6"/>
    <n v="7000000"/>
    <n v="7000000"/>
    <x v="1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s v="PASS"/>
  </r>
  <r>
    <s v="기업교육2팀"/>
    <x v="2"/>
    <s v="한영회계법인"/>
    <n v="8341"/>
    <s v="02 1001~2000대"/>
    <s v="01 수성"/>
    <s v="03 휴넷 LMS"/>
    <s v="14. 솔루션 - 맞춤형 LABS"/>
    <x v="15"/>
    <n v="42000000"/>
    <n v="48175000"/>
    <x v="1"/>
    <n v="47000000"/>
    <n v="50663760"/>
    <n v="58750000"/>
    <n v="-8086240"/>
    <m/>
    <m/>
    <m/>
    <m/>
    <m/>
    <m/>
    <m/>
    <m/>
    <n v="11750000"/>
    <n v="11750000"/>
    <n v="11750000"/>
    <m/>
    <m/>
    <m/>
    <m/>
    <m/>
    <m/>
    <m/>
    <n v="11750000"/>
    <m/>
    <n v="11750000"/>
    <n v="3663760"/>
    <m/>
    <s v="5월매출 반영 삭제"/>
    <m/>
    <m/>
    <m/>
    <m/>
    <m/>
    <m/>
    <m/>
    <m/>
    <n v="11750000"/>
    <n v="11750000"/>
    <m/>
    <m/>
    <m/>
    <m/>
    <m/>
    <m/>
    <m/>
    <m/>
    <m/>
    <m/>
    <n v="11750000"/>
    <n v="11750000"/>
    <m/>
    <m/>
    <m/>
    <m/>
    <m/>
    <m/>
  </r>
  <r>
    <s v="기업교육2팀"/>
    <x v="2"/>
    <s v="한화63시티"/>
    <n v="16913"/>
    <s v="04 3000대 이후"/>
    <s v="01 수성"/>
    <s v="03 휴넷 LMS"/>
    <s v="2. 온라인 - 법정"/>
    <x v="6"/>
    <n v="3492545"/>
    <n v="2928000"/>
    <x v="1"/>
    <n v="2000000"/>
    <n v="2016000"/>
    <n v="2016000"/>
    <n v="0"/>
    <m/>
    <m/>
    <m/>
    <m/>
    <m/>
    <m/>
    <m/>
    <m/>
    <m/>
    <m/>
    <m/>
    <m/>
    <m/>
    <m/>
    <m/>
    <m/>
    <n v="1000000"/>
    <n v="2016000"/>
    <n v="2016000"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2"/>
    <s v="한화NxMD"/>
    <n v="53418"/>
    <s v="04 3000대 이후"/>
    <s v="01 수성"/>
    <s v="03 휴넷 LMS"/>
    <s v="2. 온라인 - 법정"/>
    <x v="6"/>
    <n v="1248500"/>
    <n v="1505000"/>
    <x v="1"/>
    <n v="1000000"/>
    <n v="1824000"/>
    <n v="1824000"/>
    <n v="0"/>
    <m/>
    <m/>
    <m/>
    <m/>
    <m/>
    <m/>
    <m/>
    <m/>
    <m/>
    <m/>
    <m/>
    <m/>
    <m/>
    <n v="824000"/>
    <n v="8240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m/>
    <m/>
    <m/>
    <m/>
    <x v="1"/>
    <m/>
    <m/>
    <x v="1"/>
    <m/>
    <n v="247500"/>
    <n v="247500"/>
    <n v="0"/>
    <m/>
    <m/>
    <m/>
    <m/>
    <m/>
    <m/>
    <m/>
    <m/>
    <m/>
    <m/>
    <m/>
    <m/>
    <m/>
    <m/>
    <n v="24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s v="02 1001~2000대"/>
    <s v="01 수성"/>
    <s v="03 휴넷 LMS"/>
    <s v="2. 온라인 - 법정"/>
    <x v="6"/>
    <m/>
    <m/>
    <x v="2"/>
    <n v="15000000"/>
    <n v="15000000"/>
    <n v="15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3000000"/>
    <n v="3000000"/>
    <m/>
    <m/>
    <m/>
    <m/>
    <m/>
    <m/>
    <m/>
    <m/>
    <m/>
    <m/>
    <n v="2000000"/>
    <n v="2000000"/>
    <m/>
    <m/>
    <m/>
    <m/>
    <m/>
    <m/>
  </r>
  <r>
    <s v="기업교육2팀"/>
    <x v="2"/>
    <s v="한화넥스트"/>
    <n v="55447"/>
    <s v="01 1~1000대"/>
    <s v="02 윈백"/>
    <m/>
    <s v="1. 온라인 - 단과"/>
    <x v="0"/>
    <n v="19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에스테이트"/>
    <n v="24470"/>
    <s v="04 3000대 이후"/>
    <s v="01 수성"/>
    <s v="03 휴넷 LMS"/>
    <s v="2. 온라인 - 법정"/>
    <x v="6"/>
    <n v="11960000"/>
    <n v="1485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한화이글스"/>
    <n v="28671"/>
    <s v="03 2001~3000대"/>
    <s v="01 수성"/>
    <s v="03 휴넷 LMS"/>
    <s v="2. 온라인 - 법정"/>
    <x v="6"/>
    <n v="1269500"/>
    <n v="917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한화자산운용"/>
    <n v="24982"/>
    <s v="01 1~1000대"/>
    <s v="01 수성"/>
    <s v="03 휴넷 LMS"/>
    <s v="2. 온라인 - 법정"/>
    <x v="6"/>
    <s v=""/>
    <n v="74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n v="3000000"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커넥트"/>
    <n v="24981"/>
    <s v="01 1~1000대"/>
    <s v="01 수성"/>
    <s v="03 휴넷 LMS"/>
    <s v="2. 온라인 - 법정"/>
    <x v="6"/>
    <n v="740000"/>
    <n v="677500"/>
    <x v="1"/>
    <n v="1000000"/>
    <n v="1087500"/>
    <n v="1087500"/>
    <n v="0"/>
    <m/>
    <m/>
    <m/>
    <m/>
    <m/>
    <m/>
    <m/>
    <m/>
    <m/>
    <m/>
    <n v="875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컨버전스"/>
    <n v="12021"/>
    <s v="04 3000대 이후"/>
    <s v="01 수성"/>
    <s v="03 휴넷 LMS"/>
    <s v="2. 온라인 - 법정"/>
    <x v="6"/>
    <n v="5036500"/>
    <n v="4937000"/>
    <x v="1"/>
    <n v="6000000"/>
    <n v="3210000"/>
    <n v="3210000"/>
    <n v="0"/>
    <m/>
    <m/>
    <m/>
    <m/>
    <m/>
    <m/>
    <m/>
    <m/>
    <n v="2000000"/>
    <m/>
    <m/>
    <m/>
    <m/>
    <m/>
    <m/>
    <m/>
    <m/>
    <n v="1665000"/>
    <n v="1665000"/>
    <m/>
    <n v="2000000"/>
    <m/>
    <m/>
    <m/>
    <m/>
    <m/>
    <m/>
    <m/>
    <m/>
    <m/>
    <m/>
    <m/>
    <n v="2000000"/>
    <m/>
    <m/>
    <m/>
    <m/>
    <m/>
    <m/>
    <m/>
    <m/>
    <m/>
    <m/>
    <m/>
    <m/>
    <n v="1545000"/>
    <m/>
    <m/>
    <m/>
    <m/>
    <m/>
    <s v="PASS"/>
  </r>
  <r>
    <s v="기업교육2팀"/>
    <x v="2"/>
    <s v="한화컴파운드"/>
    <n v="43314"/>
    <m/>
    <m/>
    <m/>
    <s v="1. 온라인 - 단과"/>
    <x v="0"/>
    <n v="890000"/>
    <n v="0"/>
    <x v="2"/>
    <n v="1000000"/>
    <n v="1000000"/>
    <n v="1000000"/>
    <n v="0"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컴파운드"/>
    <n v="43314"/>
    <s v="03 2001~3000대"/>
    <s v="01 수성"/>
    <s v="03 휴넷 LMS"/>
    <s v="2. 온라인 - 법정"/>
    <x v="6"/>
    <s v=""/>
    <n v="942000"/>
    <x v="1"/>
    <n v="1000000"/>
    <n v="2648000"/>
    <n v="2648000"/>
    <n v="0"/>
    <m/>
    <m/>
    <m/>
    <m/>
    <m/>
    <m/>
    <m/>
    <m/>
    <m/>
    <m/>
    <n v="1648000"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2"/>
    <s v="한화토탈"/>
    <n v="7049"/>
    <s v="01 1~1000대"/>
    <s v="01 수성"/>
    <s v="03 휴넷 LMS"/>
    <s v="6. 하이브리드러닝 - 집합형"/>
    <x v="2"/>
    <n v="9100000"/>
    <n v="0"/>
    <x v="0"/>
    <n v="9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"/>
    <n v="9000000"/>
    <m/>
    <m/>
    <m/>
    <m/>
    <m/>
    <m/>
  </r>
  <r>
    <s v="기업교육2팀"/>
    <x v="2"/>
    <s v="한화푸드테크"/>
    <n v="52070"/>
    <m/>
    <m/>
    <m/>
    <m/>
    <x v="6"/>
    <m/>
    <m/>
    <x v="1"/>
    <n v="0"/>
    <n v="1740900"/>
    <n v="1740900"/>
    <n v="0"/>
    <m/>
    <m/>
    <m/>
    <m/>
    <m/>
    <m/>
    <m/>
    <m/>
    <m/>
    <m/>
    <n v="1628000"/>
    <m/>
    <m/>
    <n v="112900"/>
    <n v="112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푸드테크"/>
    <n v="52070"/>
    <s v="04 3000대 이후"/>
    <s v="01 수성"/>
    <s v="03 휴넷 LMS"/>
    <s v="25. 운영 - 대관"/>
    <x v="13"/>
    <n v="8399909"/>
    <n v="10854000"/>
    <x v="1"/>
    <n v="12000000"/>
    <n v="10048000"/>
    <n v="9436000"/>
    <n v="612000"/>
    <n v="1000000"/>
    <n v="1000000"/>
    <m/>
    <s v="휴캠 대여를 2,3월로 진행"/>
    <n v="1000000"/>
    <n v="1339800"/>
    <n v="1218000"/>
    <m/>
    <n v="1000000"/>
    <n v="1628000"/>
    <n v="406000"/>
    <m/>
    <n v="1000000"/>
    <n v="406000"/>
    <n v="406000"/>
    <m/>
    <n v="1000000"/>
    <n v="406000"/>
    <n v="406000"/>
    <m/>
    <n v="1000000"/>
    <n v="1612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2"/>
    <s v="휴엠앤씨"/>
    <n v="46772"/>
    <m/>
    <s v="01 수성"/>
    <s v="03 휴넷 LMS"/>
    <s v="2. 온라인 - 법정"/>
    <x v="6"/>
    <n v="2807000"/>
    <n v="1492000"/>
    <x v="1"/>
    <n v="1000000"/>
    <n v="1186000"/>
    <n v="1186000"/>
    <n v="0"/>
    <m/>
    <m/>
    <m/>
    <m/>
    <m/>
    <m/>
    <m/>
    <m/>
    <m/>
    <n v="256674"/>
    <n v="186000"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2"/>
    <s v="휴엠앤씨"/>
    <n v="46772"/>
    <m/>
    <m/>
    <m/>
    <m/>
    <x v="6"/>
    <m/>
    <m/>
    <x v="1"/>
    <n v="0"/>
    <n v="385000"/>
    <n v="385000"/>
    <n v="0"/>
    <m/>
    <m/>
    <m/>
    <m/>
    <m/>
    <m/>
    <m/>
    <m/>
    <m/>
    <m/>
    <m/>
    <m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1 수성"/>
    <s v="03 휴넷 LMS"/>
    <s v="2. 온라인 - 법정"/>
    <x v="6"/>
    <n v="21112000"/>
    <n v="27561073"/>
    <x v="1"/>
    <n v="0"/>
    <n v="3824000"/>
    <n v="3824000"/>
    <n v="0"/>
    <m/>
    <n v="105000"/>
    <n v="105000"/>
    <m/>
    <m/>
    <n v="190000"/>
    <n v="190000"/>
    <m/>
    <m/>
    <m/>
    <n v="3369000"/>
    <m/>
    <m/>
    <n v="16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3 신규"/>
    <s v="03 휴넷 LMS"/>
    <m/>
    <x v="4"/>
    <m/>
    <s v=""/>
    <x v="1"/>
    <n v="15000000"/>
    <n v="20800000"/>
    <n v="20800000"/>
    <n v="0"/>
    <m/>
    <m/>
    <m/>
    <m/>
    <m/>
    <m/>
    <m/>
    <m/>
    <n v="3750000"/>
    <n v="12000000"/>
    <n v="11200000"/>
    <m/>
    <m/>
    <m/>
    <m/>
    <m/>
    <m/>
    <m/>
    <m/>
    <m/>
    <n v="3750000"/>
    <n v="9600000"/>
    <m/>
    <m/>
    <m/>
    <m/>
    <m/>
    <m/>
    <m/>
    <m/>
    <m/>
    <m/>
    <n v="3750000"/>
    <m/>
    <m/>
    <m/>
    <m/>
    <m/>
    <m/>
    <m/>
    <m/>
    <m/>
    <m/>
    <m/>
    <n v="3750000"/>
    <m/>
    <m/>
    <m/>
    <m/>
    <m/>
    <m/>
    <m/>
  </r>
  <r>
    <s v="기업교육2팀"/>
    <x v="2"/>
    <s v="휴온스"/>
    <n v="14896"/>
    <s v="02 1001~2000대"/>
    <s v="01 수성"/>
    <s v="03 휴넷 LMS"/>
    <s v="24. 운영 - 운영매출"/>
    <x v="15"/>
    <n v="9590000"/>
    <n v="16299000"/>
    <x v="1"/>
    <n v="0"/>
    <n v="5884146"/>
    <n v="2942073"/>
    <n v="2942073"/>
    <m/>
    <m/>
    <m/>
    <m/>
    <m/>
    <m/>
    <m/>
    <m/>
    <m/>
    <n v="2942073"/>
    <n v="2942073"/>
    <m/>
    <m/>
    <m/>
    <m/>
    <m/>
    <m/>
    <m/>
    <m/>
    <m/>
    <m/>
    <n v="294207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_FLEX24 (23:57527)"/>
    <n v="60405"/>
    <m/>
    <s v="01 수성"/>
    <s v="03 휴넷 LMS"/>
    <s v="26. 정부지원사업 - HRDFLEX"/>
    <x v="16"/>
    <n v="5600000"/>
    <n v="2520000"/>
    <x v="3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2"/>
    <s v="휴온스글로벌"/>
    <n v="23770"/>
    <s v="02 1001~2000대"/>
    <s v="01 수성"/>
    <s v="03 휴넷 LMS"/>
    <s v="2. 온라인 - 법정"/>
    <x v="6"/>
    <n v="5621000"/>
    <n v="5467927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m/>
    <s v="01 수성"/>
    <s v="03 휴넷 LMS"/>
    <m/>
    <x v="15"/>
    <m/>
    <m/>
    <x v="1"/>
    <n v="0"/>
    <n v="823170"/>
    <n v="411585"/>
    <n v="411585"/>
    <m/>
    <m/>
    <m/>
    <m/>
    <m/>
    <m/>
    <m/>
    <m/>
    <m/>
    <n v="411585"/>
    <n v="411585"/>
    <m/>
    <m/>
    <m/>
    <m/>
    <m/>
    <m/>
    <n v="756000"/>
    <m/>
    <m/>
    <m/>
    <n v="41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s v="02 1001~2000대"/>
    <s v="01 수성"/>
    <s v="03 휴넷 LMS"/>
    <s v="24. 운영 - 운영매출"/>
    <x v="13"/>
    <n v="24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_FLEX24 (23:57528)"/>
    <n v="60404"/>
    <m/>
    <s v="01 수성"/>
    <s v="03 휴넷 LMS"/>
    <s v="26. 정부지원사업 - HRDFLEX"/>
    <x v="16"/>
    <n v="2660000"/>
    <n v="140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2"/>
    <s v="휴온스랩"/>
    <n v="43116"/>
    <m/>
    <s v="01 수성"/>
    <s v="03 휴넷 LMS"/>
    <m/>
    <x v="15"/>
    <m/>
    <m/>
    <x v="1"/>
    <n v="0"/>
    <n v="91464"/>
    <n v="45732"/>
    <n v="45732"/>
    <m/>
    <m/>
    <m/>
    <m/>
    <m/>
    <m/>
    <m/>
    <m/>
    <m/>
    <n v="45732"/>
    <n v="45732"/>
    <m/>
    <m/>
    <m/>
    <m/>
    <m/>
    <m/>
    <m/>
    <m/>
    <m/>
    <m/>
    <n v="457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2. 온라인 - 법정"/>
    <x v="6"/>
    <n v="4799000"/>
    <n v="5075000"/>
    <x v="1"/>
    <n v="0"/>
    <n v="579000"/>
    <n v="579000"/>
    <n v="0"/>
    <m/>
    <m/>
    <m/>
    <m/>
    <m/>
    <m/>
    <m/>
    <m/>
    <m/>
    <n v="459000"/>
    <n v="57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6. 하이브리드러닝 - 집합형"/>
    <x v="2"/>
    <n v="1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_FLEX24 (23:54405)"/>
    <n v="60217"/>
    <m/>
    <s v="01 수성"/>
    <s v="03 휴넷 LMS"/>
    <s v="26. 정부지원사업 - HRDFLEX"/>
    <x v="16"/>
    <n v="4383960"/>
    <n v="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"/>
    <n v="46437"/>
    <m/>
    <s v="01 수성"/>
    <s v="03 휴넷 LMS"/>
    <m/>
    <x v="15"/>
    <m/>
    <m/>
    <x v="1"/>
    <n v="0"/>
    <n v="1457220"/>
    <n v="1106610"/>
    <n v="350610"/>
    <m/>
    <m/>
    <m/>
    <m/>
    <m/>
    <m/>
    <m/>
    <m/>
    <m/>
    <n v="350610"/>
    <n v="350610"/>
    <m/>
    <m/>
    <m/>
    <m/>
    <m/>
    <m/>
    <m/>
    <n v="756000"/>
    <m/>
    <m/>
    <n v="3506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_FLEX24 (23:57529)"/>
    <n v="60406"/>
    <m/>
    <m/>
    <m/>
    <s v="26. 정부지원사업 - HRDFLEX"/>
    <x v="16"/>
    <n v="2100000"/>
    <n v="420000"/>
    <x v="5"/>
    <n v="3000000"/>
    <n v="3000000"/>
    <n v="3000000"/>
    <n v="0"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</r>
  <r>
    <s v="기업교육2팀"/>
    <x v="2"/>
    <s v="휴온스생명과학"/>
    <n v="61038"/>
    <m/>
    <m/>
    <m/>
    <s v="2. 온라인 - 법정"/>
    <x v="6"/>
    <s v=""/>
    <n v="672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엔"/>
    <n v="50356"/>
    <m/>
    <s v="01 수성"/>
    <s v="03 휴넷 LMS"/>
    <s v="2. 온라인 - 법정"/>
    <x v="6"/>
    <n v="4640000"/>
    <n v="4449000"/>
    <x v="1"/>
    <n v="0"/>
    <n v="1826000"/>
    <n v="1826000"/>
    <n v="0"/>
    <m/>
    <m/>
    <m/>
    <m/>
    <m/>
    <m/>
    <m/>
    <m/>
    <m/>
    <n v="986000"/>
    <n v="986000"/>
    <m/>
    <m/>
    <n v="70000"/>
    <n v="70000"/>
    <m/>
    <m/>
    <n v="770000"/>
    <n v="7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푸디언스_FLEX24 (23:57866)"/>
    <n v="60408"/>
    <m/>
    <s v="01 수성"/>
    <s v="03 휴넷 LMS"/>
    <s v="26. 정부지원사업 - HRDFLEX"/>
    <x v="16"/>
    <n v="9240000"/>
    <n v="168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히어로손해사정(한화)"/>
    <n v="52876"/>
    <s v="03 2001~3000대"/>
    <s v="01 수성"/>
    <s v="03 휴넷 LMS"/>
    <s v="2. 온라인 - 법정"/>
    <x v="6"/>
    <n v="2532000"/>
    <n v="2620000"/>
    <x v="2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HD한국조선해양"/>
    <s v="53349"/>
    <s v="01 1~1000대"/>
    <m/>
    <m/>
    <m/>
    <x v="4"/>
    <m/>
    <n v="0"/>
    <x v="1"/>
    <n v="0"/>
    <n v="14000000"/>
    <n v="14000000"/>
    <n v="-2600000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m/>
    <s v="01 수성"/>
    <s v="01 자체 LMS"/>
    <s v="1. 온라인 - 단과"/>
    <x v="0"/>
    <s v="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s v="01 1~1000대"/>
    <s v="01 수성"/>
    <m/>
    <s v="6. 하이브리드러닝 - 집합형"/>
    <x v="2"/>
    <n v="6100000"/>
    <n v="1600000"/>
    <x v="1"/>
    <n v="8000000"/>
    <n v="12081300"/>
    <n v="11000000"/>
    <n v="1081300"/>
    <m/>
    <m/>
    <m/>
    <m/>
    <n v="2000000"/>
    <m/>
    <m/>
    <m/>
    <m/>
    <m/>
    <m/>
    <m/>
    <n v="2000000"/>
    <m/>
    <m/>
    <m/>
    <m/>
    <m/>
    <m/>
    <m/>
    <m/>
    <n v="12081300"/>
    <m/>
    <m/>
    <n v="2000000"/>
    <m/>
    <m/>
    <m/>
    <m/>
    <m/>
    <m/>
    <m/>
    <n v="2000000"/>
    <m/>
    <m/>
    <m/>
    <m/>
    <m/>
    <m/>
    <m/>
    <m/>
    <m/>
    <m/>
    <m/>
    <m/>
    <m/>
    <m/>
    <m/>
    <m/>
    <m/>
    <m/>
    <m/>
  </r>
  <r>
    <s v="기업교육2팀"/>
    <x v="3"/>
    <s v="HD현대일렉트릭"/>
    <n v="61090"/>
    <m/>
    <s v="03 신규"/>
    <m/>
    <s v="7. 휴넷CEO - 휴넷CEO"/>
    <x v="10"/>
    <m/>
    <n v="1500000"/>
    <x v="2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기초과학연구원"/>
    <n v="16315"/>
    <s v="05 공공"/>
    <s v="03 신규"/>
    <s v="03 휴넷 LMS"/>
    <s v="통합위탁"/>
    <x v="1"/>
    <n v="47954620"/>
    <n v="97423870"/>
    <x v="1"/>
    <n v="36000000"/>
    <n v="44233590"/>
    <n v="43314810"/>
    <n v="918780"/>
    <n v="6000000"/>
    <n v="6000000"/>
    <m/>
    <s v="연초 연간교육비 지원으로 신청多"/>
    <n v="6000000"/>
    <n v="16045900"/>
    <n v="8645900"/>
    <s v="2월 매출 3월로 발행"/>
    <n v="6000000"/>
    <n v="8555450"/>
    <n v="8555450"/>
    <m/>
    <n v="6000000"/>
    <n v="7751660"/>
    <n v="7751660"/>
    <m/>
    <n v="6000000"/>
    <n v="8361800"/>
    <n v="8361800"/>
    <m/>
    <n v="6000000"/>
    <n v="1091878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기초과학연구원"/>
    <n v="16315"/>
    <s v="05 공공"/>
    <s v="03 신규"/>
    <s v="03 휴넷 LMS"/>
    <s v="통합위탁"/>
    <x v="1"/>
    <m/>
    <n v="0"/>
    <x v="2"/>
    <n v="36000000"/>
    <n v="0"/>
    <n v="36000000"/>
    <n v="-36000000"/>
    <m/>
    <m/>
    <m/>
    <m/>
    <m/>
    <m/>
    <m/>
    <m/>
    <m/>
    <m/>
    <m/>
    <m/>
    <m/>
    <m/>
    <m/>
    <m/>
    <m/>
    <m/>
    <m/>
    <m/>
    <m/>
    <m/>
    <m/>
    <m/>
    <n v="6000000"/>
    <m/>
    <m/>
    <m/>
    <n v="6000000"/>
    <m/>
    <n v="6000000"/>
    <n v="6000000"/>
    <n v="6000000"/>
    <m/>
    <n v="6000000"/>
    <n v="6000000"/>
    <n v="6000000"/>
    <m/>
    <n v="6000000"/>
    <n v="6000000"/>
    <n v="6000000"/>
    <m/>
    <n v="6000000"/>
    <n v="6000000"/>
    <n v="6000000"/>
    <m/>
    <m/>
    <m/>
    <m/>
    <m/>
    <m/>
    <m/>
  </r>
  <r>
    <s v="기업교육2팀"/>
    <x v="3"/>
    <s v="농협물류"/>
    <n v="13146"/>
    <s v="02 1001~2000대"/>
    <s v="01 수성"/>
    <s v="03 휴넷 LMS"/>
    <s v="1. 온라인 - 단과"/>
    <x v="0"/>
    <n v="11805500"/>
    <n v="34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3"/>
    <s v="대상 주식회사"/>
    <n v="3759"/>
    <s v="01 1~1000대"/>
    <s v="01 수성"/>
    <s v="03 휴넷 LMS"/>
    <s v="통합위탁"/>
    <x v="1"/>
    <n v="288335656"/>
    <n v="327502906"/>
    <x v="1"/>
    <n v="290000000"/>
    <n v="348290639"/>
    <n v="314605893"/>
    <n v="33684746"/>
    <n v="70000000"/>
    <n v="70000000"/>
    <n v="23776940"/>
    <s v="1월 예상매출 차액 월별 스프레드, 법정으로 0.1억 이관"/>
    <n v="20000000"/>
    <n v="24633590"/>
    <n v="25218590"/>
    <m/>
    <n v="20000000"/>
    <n v="30811316"/>
    <n v="30811316"/>
    <m/>
    <n v="20000000"/>
    <n v="23000000"/>
    <n v="57101906"/>
    <m/>
    <n v="20000000"/>
    <n v="36287101"/>
    <n v="39697141"/>
    <m/>
    <n v="20000000"/>
    <n v="53684746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18000000"/>
    <m/>
    <m/>
    <m/>
    <m/>
    <m/>
    <s v="PASS"/>
  </r>
  <r>
    <s v="기업교육2팀"/>
    <x v="3"/>
    <s v="대상 주식회사"/>
    <n v="3759"/>
    <s v="01 1~1000대"/>
    <s v="01 수성"/>
    <s v="03 휴넷 LMS"/>
    <s v="2. 온라인 - 법정"/>
    <x v="6"/>
    <m/>
    <n v="41905000"/>
    <x v="1"/>
    <n v="30000000"/>
    <n v="790000"/>
    <n v="40527500"/>
    <n v="-39737500"/>
    <m/>
    <m/>
    <n v="287500"/>
    <m/>
    <m/>
    <n v="177500"/>
    <n v="177500"/>
    <m/>
    <m/>
    <n v="62500"/>
    <n v="62500"/>
    <m/>
    <m/>
    <m/>
    <m/>
    <m/>
    <m/>
    <n v="137500"/>
    <m/>
    <m/>
    <n v="20000000"/>
    <n v="262500"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s v="PASS"/>
  </r>
  <r>
    <s v="기업교육2팀"/>
    <x v="3"/>
    <s v="대상 홀딩스"/>
    <n v="7509"/>
    <s v="01 1~1000대"/>
    <s v="01 수성"/>
    <s v="03 휴넷 LMS"/>
    <s v="2. 온라인 - 법정"/>
    <x v="6"/>
    <n v="184000"/>
    <n v="31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 홀딩스(그로우)"/>
    <n v="62322"/>
    <s v="01 1~1000대"/>
    <s v="01 수성"/>
    <s v="03 휴넷 LMS"/>
    <s v="22. 솔루션 - 그로우포웍스"/>
    <x v="19"/>
    <m/>
    <m/>
    <x v="1"/>
    <n v="0"/>
    <n v="13125000"/>
    <n v="13125000"/>
    <n v="0"/>
    <m/>
    <m/>
    <m/>
    <m/>
    <m/>
    <m/>
    <n v="1875000"/>
    <s v="그로우사업부에서 영업대표 관리롤 변경"/>
    <m/>
    <n v="1875000"/>
    <m/>
    <m/>
    <m/>
    <n v="3750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m/>
    <m/>
    <m/>
    <m/>
    <m/>
    <m/>
    <m/>
  </r>
  <r>
    <s v="기업교육2팀"/>
    <x v="3"/>
    <s v="대상네트웍스"/>
    <n v="45421"/>
    <m/>
    <s v="01 수성"/>
    <s v="03 휴넷 LMS"/>
    <s v="2. 온라인 - 법정"/>
    <x v="6"/>
    <m/>
    <n v="1820000"/>
    <x v="1"/>
    <n v="1000000"/>
    <n v="1290000"/>
    <n v="1290000"/>
    <n v="0"/>
    <m/>
    <m/>
    <n v="1290000"/>
    <s v="24년 법정교육 계산서 발행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다이브스㈜(前 대상에프앤비)"/>
    <n v="43797"/>
    <m/>
    <m/>
    <m/>
    <s v="2. 온라인 - 법정"/>
    <x v="6"/>
    <n v="5816000"/>
    <n v="9440400"/>
    <x v="1"/>
    <n v="6000000"/>
    <n v="3950000"/>
    <n v="6000000"/>
    <n v="-2050000"/>
    <m/>
    <m/>
    <m/>
    <m/>
    <m/>
    <m/>
    <m/>
    <m/>
    <m/>
    <m/>
    <m/>
    <m/>
    <m/>
    <m/>
    <m/>
    <m/>
    <m/>
    <m/>
    <m/>
    <m/>
    <n v="3000000"/>
    <n v="950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3"/>
    <s v="대상델리하임"/>
    <n v="49737"/>
    <s v="04 3000대 이후"/>
    <s v="01 수성"/>
    <s v="03 휴넷 LMS"/>
    <s v="1. 온라인 - 단과"/>
    <x v="0"/>
    <n v="440500"/>
    <n v="2697570"/>
    <x v="1"/>
    <n v="1000000"/>
    <n v="2322900"/>
    <n v="1602900"/>
    <n v="720000"/>
    <m/>
    <m/>
    <n v="127500"/>
    <s v="1월 수강신청 "/>
    <m/>
    <n v="104000"/>
    <n v="104000"/>
    <m/>
    <m/>
    <n v="120000"/>
    <n v="120000"/>
    <m/>
    <m/>
    <m/>
    <n v="1192000"/>
    <m/>
    <m/>
    <n v="59400"/>
    <n v="59400"/>
    <m/>
    <n v="1000000"/>
    <n v="7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웰라이프㈜(前 대상라이프사이언스)"/>
    <n v="23747"/>
    <s v="03 2001~3000대"/>
    <s v="01 수성"/>
    <s v="03 휴넷 LMS"/>
    <s v="1. 온라인 - 단과"/>
    <x v="0"/>
    <n v="20354350"/>
    <n v="26610030"/>
    <x v="1"/>
    <n v="18000000"/>
    <n v="16844880"/>
    <n v="13412260"/>
    <n v="3432620"/>
    <n v="1000000"/>
    <n v="1000000"/>
    <n v="3294360"/>
    <s v="연간 교육게획수립"/>
    <n v="1000000"/>
    <n v="2828100"/>
    <n v="2828100"/>
    <m/>
    <n v="1000000"/>
    <n v="3789800"/>
    <n v="3789800"/>
    <m/>
    <n v="1000000"/>
    <n v="1000000"/>
    <m/>
    <m/>
    <n v="1000000"/>
    <n v="3272540"/>
    <m/>
    <m/>
    <n v="4000000"/>
    <n v="3932620"/>
    <m/>
    <m/>
    <n v="1000000"/>
    <n v="500000"/>
    <m/>
    <m/>
    <n v="1000000"/>
    <n v="500000"/>
    <m/>
    <m/>
    <n v="1000000"/>
    <n v="500000"/>
    <m/>
    <m/>
    <n v="1000000"/>
    <n v="500000"/>
    <m/>
    <m/>
    <n v="4000000"/>
    <n v="500000"/>
    <m/>
    <m/>
    <n v="1000000"/>
    <n v="500000"/>
    <m/>
    <m/>
    <m/>
    <m/>
    <m/>
    <m/>
  </r>
  <r>
    <s v="기업교육2팀"/>
    <x v="3"/>
    <s v="대상정보기술"/>
    <n v="6418"/>
    <m/>
    <m/>
    <m/>
    <s v="2. 온라인 - 법정"/>
    <x v="6"/>
    <n v="2368000"/>
    <n v="2512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3"/>
    <s v="대상펫라이프"/>
    <n v="61462"/>
    <s v="03 2001~3000대"/>
    <s v="01 수성"/>
    <s v="03 휴넷 LMS"/>
    <s v="2. 온라인 - 법정"/>
    <x v="6"/>
    <m/>
    <n v="44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s v="04 3000대 이후"/>
    <s v="01 수성"/>
    <s v="03 휴넷 LMS"/>
    <s v="1. 온라인 - 단과"/>
    <x v="0"/>
    <n v="9763000"/>
    <n v="13437600"/>
    <x v="1"/>
    <n v="9000000"/>
    <n v="11920300"/>
    <n v="10549100"/>
    <n v="1371200"/>
    <m/>
    <m/>
    <n v="2420500"/>
    <s v="24년 법정교육 계산서 발행 + 1월 수강신청"/>
    <m/>
    <m/>
    <n v="1917300"/>
    <m/>
    <n v="3000000"/>
    <n v="2488800"/>
    <n v="2488800"/>
    <m/>
    <m/>
    <n v="1783000"/>
    <n v="1783000"/>
    <m/>
    <m/>
    <n v="1439500"/>
    <n v="1439500"/>
    <m/>
    <n v="3000000"/>
    <n v="1371200"/>
    <m/>
    <m/>
    <m/>
    <m/>
    <m/>
    <m/>
    <m/>
    <m/>
    <m/>
    <m/>
    <n v="3000000"/>
    <n v="5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m/>
    <m/>
    <m/>
    <s v="26. 정부지원사업 - HRDFLEX"/>
    <x v="16"/>
    <n v="16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바디프랜드"/>
    <n v="17601"/>
    <s v="02 1001~2000대"/>
    <s v="01 수성"/>
    <s v="03 휴넷 LMS"/>
    <s v="2. 온라인 - 법정"/>
    <x v="6"/>
    <n v="11599200"/>
    <n v="7046000"/>
    <x v="1"/>
    <n v="10000000"/>
    <n v="2996000"/>
    <n v="8500000"/>
    <n v="-5504000"/>
    <m/>
    <m/>
    <m/>
    <m/>
    <m/>
    <m/>
    <m/>
    <m/>
    <m/>
    <m/>
    <m/>
    <m/>
    <m/>
    <m/>
    <m/>
    <m/>
    <m/>
    <m/>
    <m/>
    <m/>
    <n v="5000000"/>
    <n v="2996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s v="PASS"/>
  </r>
  <r>
    <s v="기업교육2팀"/>
    <x v="3"/>
    <s v="삼성자산운용"/>
    <n v="14956"/>
    <s v="02 1001~2000대"/>
    <s v="01 수성"/>
    <s v="03 휴넷 LMS"/>
    <s v="2. 온라인 - 법정"/>
    <x v="6"/>
    <n v="5928000"/>
    <n v="9884000"/>
    <x v="1"/>
    <n v="5000000"/>
    <n v="5000000"/>
    <n v="5000000"/>
    <n v="0"/>
    <m/>
    <m/>
    <m/>
    <m/>
    <m/>
    <m/>
    <m/>
    <m/>
    <m/>
    <n v="20000"/>
    <n v="20000"/>
    <m/>
    <m/>
    <m/>
    <m/>
    <m/>
    <m/>
    <m/>
    <m/>
    <m/>
    <m/>
    <m/>
    <m/>
    <m/>
    <m/>
    <m/>
    <m/>
    <m/>
    <m/>
    <m/>
    <m/>
    <m/>
    <m/>
    <m/>
    <m/>
    <m/>
    <n v="5000000"/>
    <n v="4980000"/>
    <m/>
    <m/>
    <m/>
    <m/>
    <m/>
    <m/>
    <m/>
    <m/>
    <m/>
    <m/>
    <m/>
    <m/>
    <m/>
    <s v="PASS"/>
  </r>
  <r>
    <s v="기업교육2팀"/>
    <x v="3"/>
    <s v="삼양패키징"/>
    <n v="18225"/>
    <s v="02 1001~2000대"/>
    <s v="01 수성"/>
    <s v="03 휴넷 LMS"/>
    <s v="1. 온라인 - 단과"/>
    <x v="0"/>
    <n v="49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2. 온라인 - 법정"/>
    <x v="6"/>
    <n v="52011000"/>
    <n v="32901000"/>
    <x v="2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11. 컨텐츠 - 컨텐츠 임대/판매"/>
    <x v="5"/>
    <n v="200052000"/>
    <n v="177503909"/>
    <x v="1"/>
    <n v="200000000"/>
    <n v="200000000"/>
    <n v="200000000"/>
    <n v="0"/>
    <n v="100000000"/>
    <n v="100000000"/>
    <m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0"/>
    <m/>
    <m/>
    <m/>
    <m/>
    <m/>
    <s v="PASS"/>
  </r>
  <r>
    <s v="기업교육2팀"/>
    <x v="3"/>
    <s v="삼양홀딩스"/>
    <n v="378"/>
    <s v="01 1~1000대"/>
    <s v="01 수성"/>
    <s v="01 자체 LMS"/>
    <s v="24. 운영 - 운영매출"/>
    <x v="13"/>
    <n v="18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브원"/>
    <n v="3711"/>
    <m/>
    <m/>
    <m/>
    <s v="1. 온라인 - 단과"/>
    <x v="0"/>
    <n v="1489900"/>
    <n v="0"/>
    <x v="1"/>
    <n v="30000000"/>
    <n v="30082500"/>
    <n v="30000000"/>
    <n v="82500"/>
    <m/>
    <m/>
    <m/>
    <m/>
    <m/>
    <m/>
    <m/>
    <m/>
    <m/>
    <n v="9600000"/>
    <n v="9600000"/>
    <m/>
    <m/>
    <m/>
    <m/>
    <m/>
    <m/>
    <m/>
    <m/>
    <m/>
    <n v="30000000"/>
    <n v="8482500"/>
    <m/>
    <m/>
    <m/>
    <n v="12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브원"/>
    <n v="3711"/>
    <m/>
    <m/>
    <m/>
    <s v="10. 컨텐츠 - 컨텐츠 개발"/>
    <x v="3"/>
    <n v="4500000"/>
    <n v="0"/>
    <x v="0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통합위탁"/>
    <x v="1"/>
    <n v="157494000"/>
    <n v="1551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통합위탁"/>
    <x v="1"/>
    <m/>
    <n v="0"/>
    <x v="2"/>
    <n v="90000000"/>
    <n v="90000000"/>
    <n v="9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30000000"/>
    <n v="30000000"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6. 하이브리드러닝 - 집합형"/>
    <x v="2"/>
    <n v="37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10. 컨텐츠 - 컨텐츠 개발"/>
    <x v="3"/>
    <n v="5800000"/>
    <n v="11000000"/>
    <x v="1"/>
    <n v="15000000"/>
    <n v="6700000"/>
    <n v="15000000"/>
    <n v="-8300000"/>
    <m/>
    <m/>
    <m/>
    <m/>
    <m/>
    <m/>
    <m/>
    <m/>
    <m/>
    <n v="6700000"/>
    <n v="6700000"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10. 컨텐츠 - 컨텐츠 개발"/>
    <x v="3"/>
    <m/>
    <n v="0"/>
    <x v="2"/>
    <n v="15000000"/>
    <n v="75000000"/>
    <n v="75000000"/>
    <n v="0"/>
    <m/>
    <m/>
    <m/>
    <m/>
    <m/>
    <m/>
    <m/>
    <m/>
    <m/>
    <m/>
    <m/>
    <m/>
    <m/>
    <m/>
    <m/>
    <m/>
    <n v="15000000"/>
    <m/>
    <m/>
    <m/>
    <m/>
    <m/>
    <m/>
    <m/>
    <m/>
    <n v="15000000"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n v="166000000"/>
    <n v="1660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m/>
    <n v="0"/>
    <x v="2"/>
    <n v="100000000"/>
    <n v="100000000"/>
    <n v="10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40000000"/>
    <n v="40000000"/>
    <m/>
    <m/>
    <m/>
    <m/>
    <m/>
    <m/>
    <m/>
    <m/>
    <m/>
    <m/>
    <m/>
    <m/>
    <m/>
    <m/>
  </r>
  <r>
    <s v="기업교육2팀"/>
    <x v="3"/>
    <s v="솔브레인홀딩스"/>
    <n v="1555"/>
    <m/>
    <m/>
    <m/>
    <m/>
    <x v="6"/>
    <m/>
    <m/>
    <x v="1"/>
    <n v="0"/>
    <n v="2500"/>
    <n v="2500"/>
    <n v="0"/>
    <m/>
    <m/>
    <m/>
    <m/>
    <m/>
    <m/>
    <m/>
    <m/>
    <m/>
    <m/>
    <m/>
    <m/>
    <m/>
    <m/>
    <m/>
    <m/>
    <m/>
    <m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솔브레인홀딩스"/>
    <n v="1555"/>
    <s v=""/>
    <s v="03 신규"/>
    <s v="03 휴넷 LMS"/>
    <s v="6. 하이브리드러닝 - 집합형"/>
    <x v="2"/>
    <m/>
    <n v="9635400"/>
    <x v="2"/>
    <n v="9000000"/>
    <n v="9000000"/>
    <n v="9000000"/>
    <n v="0"/>
    <m/>
    <m/>
    <m/>
    <m/>
    <m/>
    <m/>
    <m/>
    <m/>
    <m/>
    <m/>
    <m/>
    <m/>
    <m/>
    <m/>
    <m/>
    <m/>
    <m/>
    <m/>
    <m/>
    <m/>
    <n v="9000000"/>
    <m/>
    <m/>
    <m/>
    <m/>
    <n v="9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2. 온라인 - 법정"/>
    <x v="6"/>
    <m/>
    <n v="7960000"/>
    <x v="1"/>
    <n v="15000000"/>
    <n v="22500000"/>
    <n v="15000000"/>
    <n v="7500000"/>
    <m/>
    <m/>
    <n v="7500000"/>
    <s v="25년 법정교육 선금"/>
    <m/>
    <m/>
    <m/>
    <m/>
    <m/>
    <m/>
    <m/>
    <m/>
    <m/>
    <m/>
    <m/>
    <m/>
    <m/>
    <m/>
    <m/>
    <m/>
    <m/>
    <n v="7500000"/>
    <m/>
    <m/>
    <m/>
    <m/>
    <m/>
    <m/>
    <m/>
    <m/>
    <m/>
    <m/>
    <m/>
    <m/>
    <m/>
    <m/>
    <m/>
    <m/>
    <m/>
    <m/>
    <m/>
    <m/>
    <m/>
    <m/>
    <n v="15000000"/>
    <n v="7500000"/>
    <m/>
    <m/>
    <m/>
    <m/>
    <m/>
    <m/>
  </r>
  <r>
    <s v="기업교육2팀"/>
    <x v="3"/>
    <s v="에스에스지닷컴"/>
    <n v="47573"/>
    <m/>
    <m/>
    <m/>
    <s v="10. 컨텐츠 - 컨텐츠 개발"/>
    <x v="3"/>
    <m/>
    <n v="15000000"/>
    <x v="2"/>
    <n v="15000000"/>
    <n v="0"/>
    <n v="15000000"/>
    <n v="-15000000"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14. 솔루션 - 맞춤형 LABS"/>
    <x v="15"/>
    <s v=""/>
    <n v="0"/>
    <x v="0"/>
    <n v="38000000"/>
    <n v="0"/>
    <n v="38000000"/>
    <n v="-38000000"/>
    <m/>
    <m/>
    <m/>
    <m/>
    <m/>
    <m/>
    <m/>
    <m/>
    <m/>
    <m/>
    <m/>
    <m/>
    <m/>
    <m/>
    <m/>
    <m/>
    <m/>
    <m/>
    <m/>
    <m/>
    <n v="3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이비엘생명보험"/>
    <n v="491"/>
    <s v="01 1~1000대"/>
    <s v="01 수성"/>
    <s v="03 휴넷 LMS"/>
    <s v="통합위탁"/>
    <x v="1"/>
    <n v="35699940"/>
    <n v="36687550"/>
    <x v="1"/>
    <n v="34000000"/>
    <n v="48770000"/>
    <n v="40442400"/>
    <n v="8327600"/>
    <n v="3000000"/>
    <n v="3000000"/>
    <n v="3604080"/>
    <m/>
    <n v="3000000"/>
    <n v="3970350"/>
    <n v="3970350"/>
    <m/>
    <n v="3000000"/>
    <n v="5179300"/>
    <n v="5179300"/>
    <m/>
    <n v="3000000"/>
    <n v="4598610"/>
    <n v="5798610"/>
    <m/>
    <n v="3000000"/>
    <n v="5490060"/>
    <n v="5490060"/>
    <m/>
    <n v="3000000"/>
    <n v="7727600"/>
    <m/>
    <m/>
    <n v="2000000"/>
    <n v="3000000"/>
    <m/>
    <m/>
    <n v="2000000"/>
    <n v="3000000"/>
    <m/>
    <m/>
    <n v="3000000"/>
    <n v="3000000"/>
    <m/>
    <m/>
    <n v="3000000"/>
    <n v="3000000"/>
    <m/>
    <m/>
    <n v="3000000"/>
    <n v="3000000"/>
    <m/>
    <m/>
    <n v="3000000"/>
    <n v="2000000"/>
    <m/>
    <m/>
    <m/>
    <m/>
    <m/>
    <s v="PASS"/>
  </r>
  <r>
    <s v="기업교육2팀"/>
    <x v="3"/>
    <s v="에이비엘생명보험"/>
    <n v="491"/>
    <s v="01 1~1000대"/>
    <s v="01 수성"/>
    <s v="03 휴넷 LMS"/>
    <s v="2. 온라인 - 법정"/>
    <x v="6"/>
    <n v="3785000"/>
    <n v="8540000"/>
    <x v="1"/>
    <n v="6000000"/>
    <n v="3000000"/>
    <n v="6000000"/>
    <n v="-3000000"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s v="PASS"/>
  </r>
  <r>
    <s v="기업교육2팀"/>
    <x v="3"/>
    <s v="에이비엘생명보험"/>
    <n v="491"/>
    <s v="01 1~1000대"/>
    <s v="01 수성"/>
    <s v="03 휴넷 LMS"/>
    <s v="6. 하이브리드러닝 - 집합형"/>
    <x v="2"/>
    <n v="25550000"/>
    <n v="20150000"/>
    <x v="1"/>
    <n v="16000000"/>
    <n v="11600000"/>
    <n v="10600000"/>
    <n v="1000000"/>
    <m/>
    <m/>
    <m/>
    <m/>
    <n v="2000000"/>
    <n v="2550000"/>
    <n v="2550000"/>
    <m/>
    <n v="2000000"/>
    <m/>
    <m/>
    <m/>
    <n v="2000000"/>
    <m/>
    <m/>
    <m/>
    <n v="2000000"/>
    <n v="2050000"/>
    <n v="2050000"/>
    <m/>
    <n v="2000000"/>
    <n v="2500000"/>
    <m/>
    <m/>
    <m/>
    <m/>
    <m/>
    <m/>
    <m/>
    <m/>
    <m/>
    <m/>
    <n v="2000000"/>
    <n v="1500000"/>
    <m/>
    <m/>
    <n v="2000000"/>
    <n v="1500000"/>
    <m/>
    <m/>
    <n v="2000000"/>
    <n v="1500000"/>
    <m/>
    <m/>
    <m/>
    <m/>
    <m/>
    <m/>
    <m/>
    <m/>
    <m/>
    <s v="yet"/>
  </r>
  <r>
    <s v="기업교육2팀"/>
    <x v="3"/>
    <s v="엘에스오토모티브"/>
    <n v="25013"/>
    <s v="01 1~1000대"/>
    <s v="01 수성"/>
    <s v="03 휴넷 LMS"/>
    <s v="6. 하이브리드러닝 - 집합형"/>
    <x v="2"/>
    <m/>
    <n v="114900000"/>
    <x v="2"/>
    <n v="110000000"/>
    <n v="110000000"/>
    <n v="1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n v="110000000"/>
    <m/>
    <m/>
    <m/>
    <m/>
    <m/>
    <m/>
    <m/>
    <m/>
    <m/>
    <m/>
    <m/>
    <m/>
    <m/>
    <m/>
    <m/>
    <m/>
    <m/>
    <m/>
  </r>
  <r>
    <s v="기업교육2팀"/>
    <x v="3"/>
    <s v="우리금융지주"/>
    <n v="3734"/>
    <m/>
    <m/>
    <m/>
    <s v="24. 운영 - 운영매출"/>
    <x v="13"/>
    <n v="18181818"/>
    <n v="0"/>
    <x v="0"/>
    <n v="20000000"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</r>
  <r>
    <s v="기업교육2팀"/>
    <x v="3"/>
    <s v="우리금융지주 (수행60%)"/>
    <n v="3734"/>
    <m/>
    <m/>
    <m/>
    <s v="5. 하이브리드러닝 - 러닝저니"/>
    <x v="2"/>
    <m/>
    <s v=""/>
    <x v="1"/>
    <n v="0"/>
    <n v="158028730"/>
    <n v="168028730"/>
    <n v="-10000000"/>
    <m/>
    <m/>
    <m/>
    <m/>
    <m/>
    <m/>
    <m/>
    <m/>
    <m/>
    <n v="2500000"/>
    <n v="2500003"/>
    <m/>
    <m/>
    <n v="31899818"/>
    <n v="47104545"/>
    <m/>
    <m/>
    <n v="49132364"/>
    <n v="79456364"/>
    <m/>
    <m/>
    <m/>
    <m/>
    <m/>
    <m/>
    <m/>
    <m/>
    <m/>
    <m/>
    <m/>
    <m/>
    <m/>
    <m/>
    <m/>
    <m/>
    <m/>
    <m/>
    <m/>
    <m/>
    <m/>
    <m/>
    <n v="28967818"/>
    <m/>
    <m/>
    <m/>
    <m/>
    <m/>
    <m/>
    <m/>
    <m/>
    <m/>
    <m/>
  </r>
  <r>
    <s v="기업교육2팀"/>
    <x v="3"/>
    <s v="우리금융지주(챗GPT특강)"/>
    <s v="3734"/>
    <m/>
    <m/>
    <m/>
    <s v="6. 하이브리드러닝 - 집합형"/>
    <x v="2"/>
    <s v=""/>
    <n v="4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우리금융캐피탈"/>
    <n v="46263"/>
    <s v="01 1~1000대"/>
    <s v="01 수성"/>
    <s v="03 휴넷 LMS"/>
    <s v="1. 온라인 - 단과"/>
    <x v="1"/>
    <n v="57083360"/>
    <n v="57040104"/>
    <x v="1"/>
    <n v="60000000"/>
    <n v="77014980"/>
    <n v="74293930"/>
    <n v="2721050"/>
    <m/>
    <m/>
    <m/>
    <m/>
    <m/>
    <m/>
    <m/>
    <m/>
    <n v="6000000"/>
    <n v="10579490"/>
    <n v="10579490"/>
    <m/>
    <n v="6000000"/>
    <n v="15044900"/>
    <n v="15044900"/>
    <m/>
    <n v="6000000"/>
    <n v="19169540"/>
    <n v="19169540"/>
    <m/>
    <n v="6000000"/>
    <n v="7721050"/>
    <m/>
    <m/>
    <n v="6000000"/>
    <n v="5000000"/>
    <m/>
    <m/>
    <n v="6000000"/>
    <n v="5000000"/>
    <m/>
    <m/>
    <n v="8000000"/>
    <n v="5000000"/>
    <m/>
    <m/>
    <n v="8000000"/>
    <n v="5000000"/>
    <m/>
    <m/>
    <n v="8000000"/>
    <n v="4500000"/>
    <m/>
    <m/>
    <m/>
    <m/>
    <m/>
    <m/>
    <m/>
    <m/>
    <m/>
    <s v="PASS"/>
  </r>
  <r>
    <s v="기업교육2팀"/>
    <x v="3"/>
    <s v="우리금융캐피탈"/>
    <n v="46263"/>
    <s v="01 1~1000대"/>
    <s v="01 수성"/>
    <s v="01 자체 LMS"/>
    <s v="2. 온라인 - 법정"/>
    <x v="6"/>
    <n v="14080000"/>
    <n v="13905000"/>
    <x v="1"/>
    <n v="15000000"/>
    <n v="15240000"/>
    <n v="15000000"/>
    <n v="240000"/>
    <m/>
    <m/>
    <m/>
    <m/>
    <m/>
    <m/>
    <m/>
    <m/>
    <m/>
    <m/>
    <m/>
    <m/>
    <m/>
    <m/>
    <m/>
    <m/>
    <m/>
    <m/>
    <m/>
    <m/>
    <m/>
    <n v="5240000"/>
    <m/>
    <m/>
    <m/>
    <m/>
    <m/>
    <m/>
    <m/>
    <m/>
    <m/>
    <m/>
    <m/>
    <m/>
    <m/>
    <m/>
    <m/>
    <m/>
    <m/>
    <m/>
    <m/>
    <m/>
    <m/>
    <m/>
    <n v="15000000"/>
    <n v="10000000"/>
    <m/>
    <m/>
    <m/>
    <m/>
    <m/>
    <m/>
  </r>
  <r>
    <s v="기업교육2팀"/>
    <x v="3"/>
    <s v="우리금융캐피탈"/>
    <n v="46263"/>
    <s v="01 1~1000대"/>
    <s v="01 수성"/>
    <s v="01 자체 LMS"/>
    <m/>
    <x v="4"/>
    <m/>
    <m/>
    <x v="1"/>
    <n v="0"/>
    <n v="4280000"/>
    <n v="4280000"/>
    <n v="0"/>
    <m/>
    <m/>
    <m/>
    <m/>
    <m/>
    <m/>
    <m/>
    <m/>
    <m/>
    <n v="4280000"/>
    <n v="42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유니드"/>
    <n v="4023"/>
    <m/>
    <m/>
    <m/>
    <s v="1. 온라인 - 단과"/>
    <x v="0"/>
    <n v="15643060"/>
    <n v="11466900"/>
    <x v="1"/>
    <n v="10000000"/>
    <n v="8793800"/>
    <n v="9116800"/>
    <n v="-323000"/>
    <n v="1000000"/>
    <n v="1000000"/>
    <n v="140000"/>
    <s v="1월 신청 저조"/>
    <n v="1000000"/>
    <n v="1400000"/>
    <n v="1400000"/>
    <m/>
    <n v="1000000"/>
    <n v="1097000"/>
    <n v="1097000"/>
    <m/>
    <n v="1000000"/>
    <n v="645000"/>
    <n v="645000"/>
    <m/>
    <n v="1000000"/>
    <n v="1034800"/>
    <n v="1034800"/>
    <m/>
    <n v="1000000"/>
    <n v="877000"/>
    <m/>
    <m/>
    <m/>
    <n v="600000"/>
    <m/>
    <m/>
    <m/>
    <n v="600000"/>
    <m/>
    <m/>
    <n v="1000000"/>
    <n v="600000"/>
    <m/>
    <m/>
    <n v="1000000"/>
    <n v="600000"/>
    <m/>
    <m/>
    <n v="1000000"/>
    <n v="600000"/>
    <m/>
    <m/>
    <n v="1000000"/>
    <n v="600000"/>
    <m/>
    <m/>
    <m/>
    <m/>
    <m/>
    <s v="PASS"/>
  </r>
  <r>
    <s v="기업교육2팀"/>
    <x v="3"/>
    <s v="유니드비티플러스"/>
    <n v="54881"/>
    <s v="01 1~1000대"/>
    <s v="03 신규"/>
    <s v="03 휴넷 LMS"/>
    <s v="2. 온라인 - 법정"/>
    <x v="6"/>
    <n v="11216800"/>
    <n v="13900400"/>
    <x v="1"/>
    <n v="10000000"/>
    <n v="11480900"/>
    <n v="10062000"/>
    <n v="1418900"/>
    <m/>
    <m/>
    <m/>
    <m/>
    <m/>
    <m/>
    <m/>
    <m/>
    <m/>
    <m/>
    <m/>
    <m/>
    <m/>
    <m/>
    <n v="2885000"/>
    <m/>
    <m/>
    <n v="2177000"/>
    <n v="2177000"/>
    <m/>
    <n v="5000000"/>
    <n v="1418900"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3"/>
    <s v="이스타항공㈜"/>
    <s v="15119"/>
    <m/>
    <m/>
    <m/>
    <m/>
    <x v="3"/>
    <m/>
    <n v="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s v="PASS"/>
  </r>
  <r>
    <s v="기업교육2팀"/>
    <x v="3"/>
    <s v="정보통신산업진흥원"/>
    <n v="10496"/>
    <s v="05 공공"/>
    <m/>
    <m/>
    <s v="2. 온라인 - 법정"/>
    <x v="6"/>
    <n v="18192000"/>
    <n v="12049700"/>
    <x v="1"/>
    <n v="8000000"/>
    <n v="6076100"/>
    <n v="7659100"/>
    <n v="-1583000"/>
    <m/>
    <m/>
    <m/>
    <m/>
    <m/>
    <m/>
    <m/>
    <m/>
    <m/>
    <m/>
    <m/>
    <m/>
    <m/>
    <m/>
    <n v="1646400"/>
    <m/>
    <m/>
    <n v="812700"/>
    <n v="812700"/>
    <m/>
    <n v="4000000"/>
    <n v="1617000"/>
    <m/>
    <m/>
    <m/>
    <m/>
    <m/>
    <m/>
    <m/>
    <m/>
    <m/>
    <m/>
    <m/>
    <m/>
    <m/>
    <m/>
    <m/>
    <m/>
    <m/>
    <m/>
    <m/>
    <m/>
    <m/>
    <m/>
    <n v="4000000"/>
    <n v="2000000"/>
    <m/>
    <m/>
    <m/>
    <m/>
    <m/>
    <s v="PASS"/>
  </r>
  <r>
    <s v="기업교육2팀"/>
    <x v="3"/>
    <s v="정보통신산업진흥원"/>
    <n v="10496"/>
    <s v="05 공공"/>
    <m/>
    <m/>
    <s v="6. 하이브리드러닝 - 집합형"/>
    <x v="2"/>
    <n v="77122455"/>
    <n v="98000000"/>
    <x v="1"/>
    <n v="98000000"/>
    <n v="110000000"/>
    <n v="110000000"/>
    <n v="0"/>
    <m/>
    <m/>
    <m/>
    <m/>
    <m/>
    <m/>
    <m/>
    <m/>
    <m/>
    <m/>
    <m/>
    <m/>
    <n v="9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m/>
    <m/>
    <m/>
    <m/>
    <m/>
    <m/>
  </r>
  <r>
    <s v="기업교육2팀"/>
    <x v="3"/>
    <s v="지에이코리아"/>
    <n v="17980"/>
    <m/>
    <m/>
    <m/>
    <s v="6. 하이브리드러닝 - 집합형"/>
    <x v="4"/>
    <s v=""/>
    <n v="1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앤지"/>
    <n v="59148"/>
    <m/>
    <m/>
    <m/>
    <m/>
    <x v="3"/>
    <m/>
    <m/>
    <x v="1"/>
    <n v="0"/>
    <n v="7700000"/>
    <n v="7700000"/>
    <n v="0"/>
    <m/>
    <m/>
    <m/>
    <m/>
    <m/>
    <m/>
    <m/>
    <m/>
    <m/>
    <m/>
    <n v="7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n v="16920000"/>
    <n v="11230000"/>
    <x v="1"/>
    <n v="0"/>
    <n v="3300000"/>
    <n v="3300000"/>
    <n v="0"/>
    <m/>
    <m/>
    <m/>
    <m/>
    <m/>
    <m/>
    <m/>
    <m/>
    <m/>
    <m/>
    <m/>
    <m/>
    <m/>
    <n v="3500000"/>
    <n v="3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m/>
    <m/>
    <x v="2"/>
    <n v="10000000"/>
    <n v="6500000"/>
    <n v="6500000"/>
    <n v="0"/>
    <m/>
    <m/>
    <m/>
    <m/>
    <m/>
    <m/>
    <m/>
    <m/>
    <m/>
    <m/>
    <m/>
    <m/>
    <m/>
    <m/>
    <m/>
    <m/>
    <m/>
    <m/>
    <m/>
    <m/>
    <n v="10000000"/>
    <m/>
    <m/>
    <m/>
    <m/>
    <n v="6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26. 정부지원사업 - HRDFLEX"/>
    <x v="14"/>
    <n v="40740000"/>
    <n v="16520000"/>
    <x v="1"/>
    <n v="0"/>
    <n v="18000000"/>
    <n v="18000000"/>
    <n v="0"/>
    <m/>
    <m/>
    <m/>
    <m/>
    <m/>
    <m/>
    <m/>
    <m/>
    <m/>
    <m/>
    <m/>
    <m/>
    <m/>
    <m/>
    <m/>
    <m/>
    <m/>
    <n v="3668000"/>
    <n v="3668000"/>
    <m/>
    <m/>
    <m/>
    <m/>
    <m/>
    <m/>
    <m/>
    <m/>
    <m/>
    <m/>
    <m/>
    <m/>
    <m/>
    <m/>
    <m/>
    <m/>
    <m/>
    <m/>
    <m/>
    <m/>
    <m/>
    <m/>
    <m/>
    <m/>
    <m/>
    <m/>
    <n v="14332000"/>
    <m/>
    <m/>
    <m/>
    <m/>
    <m/>
    <m/>
  </r>
  <r>
    <s v="기업교육2팀"/>
    <x v="3"/>
    <s v="코스트코 코리아"/>
    <n v="7600"/>
    <s v="01 1~1000대"/>
    <s v="01 수성"/>
    <m/>
    <s v="2. 온라인 - 법정"/>
    <x v="6"/>
    <n v="98179000"/>
    <n v="88362000"/>
    <x v="1"/>
    <n v="85000000"/>
    <n v="85000000"/>
    <n v="85000000"/>
    <n v="0"/>
    <n v="80000000"/>
    <n v="80000000"/>
    <m/>
    <m/>
    <m/>
    <n v="41500000"/>
    <n v="41500000"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n v="43500000"/>
    <m/>
    <m/>
    <m/>
    <m/>
    <m/>
    <m/>
  </r>
  <r>
    <s v="기업교육2팀"/>
    <x v="3"/>
    <s v="코스트코 코리아"/>
    <n v="7600"/>
    <m/>
    <m/>
    <m/>
    <s v="10. 컨텐츠 - 컨텐츠 개발"/>
    <x v="3"/>
    <s v=""/>
    <n v="740000"/>
    <x v="1"/>
    <n v="1000000"/>
    <n v="350000"/>
    <n v="350000"/>
    <n v="0"/>
    <m/>
    <m/>
    <m/>
    <m/>
    <m/>
    <m/>
    <m/>
    <m/>
    <m/>
    <m/>
    <n v="350000"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코스트코 코리아"/>
    <n v="7600"/>
    <m/>
    <m/>
    <m/>
    <s v="24. 운영 - 운영매출"/>
    <x v="13"/>
    <n v="350000"/>
    <n v="1308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파라다이스세가사미"/>
    <n v="24426"/>
    <s v=""/>
    <s v="04 연장"/>
    <s v="03 휴넷 LMS"/>
    <s v="1. 온라인 - 단과"/>
    <x v="1"/>
    <n v="103340268"/>
    <n v="104519477"/>
    <x v="1"/>
    <n v="90000000"/>
    <n v="105873400"/>
    <n v="96456440"/>
    <n v="9416960"/>
    <n v="7500000"/>
    <n v="7500000"/>
    <m/>
    <m/>
    <n v="7500000"/>
    <n v="10420355"/>
    <n v="14630315"/>
    <m/>
    <n v="7500000"/>
    <n v="18023775"/>
    <n v="18023775"/>
    <m/>
    <n v="7500000"/>
    <n v="10107790"/>
    <n v="9504790"/>
    <m/>
    <n v="7500000"/>
    <n v="9297560"/>
    <n v="9297560"/>
    <m/>
    <n v="7500000"/>
    <n v="1691696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m/>
    <m/>
    <m/>
    <m/>
    <m/>
    <m/>
    <s v="PASS"/>
  </r>
  <r>
    <s v="기업교육2팀"/>
    <x v="3"/>
    <s v="파라다이스세가사미"/>
    <n v="24426"/>
    <s v=""/>
    <s v="04 연장"/>
    <s v="03 휴넷 LMS"/>
    <s v="3. 온라인 - 마이크로러닝"/>
    <x v="9"/>
    <n v="85816667"/>
    <n v="139604398"/>
    <x v="1"/>
    <n v="120000000"/>
    <n v="54061902"/>
    <n v="53766901"/>
    <n v="295001"/>
    <n v="10000000"/>
    <n v="10000000"/>
    <n v="13766900"/>
    <s v="1월 운영비"/>
    <n v="10000000"/>
    <n v="10000000"/>
    <n v="10000000"/>
    <m/>
    <n v="10000000"/>
    <n v="10000000"/>
    <n v="10000000"/>
    <m/>
    <n v="10000000"/>
    <n v="10000000"/>
    <m/>
    <m/>
    <n v="10000000"/>
    <n v="2500000"/>
    <n v="2500001"/>
    <m/>
    <n v="10000000"/>
    <n v="2795001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m/>
    <m/>
    <m/>
    <s v="PASS"/>
  </r>
  <r>
    <s v="기업교육2팀"/>
    <x v="3"/>
    <s v="파라다이스세가사미"/>
    <n v="24426"/>
    <s v=""/>
    <s v="04 연장"/>
    <s v="03 휴넷 LMS"/>
    <s v="5. 하이브리드러닝 - 러닝저니"/>
    <x v="2"/>
    <m/>
    <m/>
    <x v="1"/>
    <n v="0"/>
    <n v="6810000"/>
    <n v="6810000"/>
    <n v="0"/>
    <m/>
    <m/>
    <m/>
    <m/>
    <m/>
    <m/>
    <m/>
    <m/>
    <m/>
    <m/>
    <m/>
    <m/>
    <m/>
    <m/>
    <m/>
    <m/>
    <m/>
    <m/>
    <n v="2810000"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필립스코리아"/>
    <n v="4373"/>
    <s v=""/>
    <s v="01 수성"/>
    <s v="03 휴넷 LMS"/>
    <s v="통합위탁"/>
    <x v="1"/>
    <n v="20202860"/>
    <n v="45837400"/>
    <x v="1"/>
    <n v="35000000"/>
    <n v="23644600"/>
    <n v="33437800"/>
    <n v="-9793200"/>
    <n v="3000000"/>
    <n v="3000000"/>
    <n v="1807000"/>
    <m/>
    <n v="3000000"/>
    <n v="1641000"/>
    <n v="1641000"/>
    <m/>
    <n v="3000000"/>
    <n v="5163000"/>
    <n v="5163000"/>
    <m/>
    <n v="3000000"/>
    <n v="1929000"/>
    <n v="1929000"/>
    <m/>
    <n v="3000000"/>
    <n v="1897800"/>
    <n v="1897800"/>
    <m/>
    <n v="3000000"/>
    <n v="1706800"/>
    <m/>
    <m/>
    <n v="3000000"/>
    <n v="2000000"/>
    <m/>
    <m/>
    <n v="3000000"/>
    <n v="1500000"/>
    <m/>
    <m/>
    <n v="2000000"/>
    <n v="1500000"/>
    <m/>
    <m/>
    <n v="3000000"/>
    <n v="1500000"/>
    <m/>
    <m/>
    <n v="3000000"/>
    <n v="1500000"/>
    <m/>
    <m/>
    <n v="3000000"/>
    <n v="1500000"/>
    <m/>
    <m/>
    <m/>
    <m/>
    <m/>
    <s v="PASS"/>
  </r>
  <r>
    <s v="기업교육2팀"/>
    <x v="3"/>
    <s v="한국가스안전공사"/>
    <n v="1908"/>
    <s v="05 공공"/>
    <m/>
    <m/>
    <s v="1. 온라인 - 단과"/>
    <x v="0"/>
    <n v="30925840"/>
    <n v="15060000"/>
    <x v="1"/>
    <n v="20000000"/>
    <n v="6955260"/>
    <n v="6198260"/>
    <n v="757000"/>
    <m/>
    <m/>
    <n v="4126000"/>
    <s v="24년 법정 잔금 발행"/>
    <m/>
    <m/>
    <n v="141000"/>
    <s v="이벤트 비용"/>
    <m/>
    <n v="1931260"/>
    <n v="1931260"/>
    <m/>
    <m/>
    <m/>
    <m/>
    <m/>
    <m/>
    <m/>
    <m/>
    <m/>
    <n v="20000000"/>
    <n v="75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. 온라인 - 단과"/>
    <x v="0"/>
    <m/>
    <n v="0"/>
    <x v="2"/>
    <n v="0"/>
    <n v="15874000"/>
    <n v="15874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874000"/>
    <m/>
    <m/>
    <m/>
    <m/>
    <m/>
    <m/>
  </r>
  <r>
    <s v="기업교육2팀"/>
    <x v="3"/>
    <s v="한국가스안전공사"/>
    <n v="1908"/>
    <s v="05 공공"/>
    <m/>
    <m/>
    <m/>
    <x v="2"/>
    <m/>
    <m/>
    <x v="1"/>
    <n v="0"/>
    <n v="7620000"/>
    <n v="7620000"/>
    <n v="0"/>
    <m/>
    <m/>
    <m/>
    <m/>
    <m/>
    <m/>
    <m/>
    <m/>
    <m/>
    <m/>
    <m/>
    <m/>
    <m/>
    <m/>
    <n v="76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6. 하이브리드러닝 - 집합형"/>
    <x v="2"/>
    <n v="38290910"/>
    <n v="27250000"/>
    <x v="2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m/>
    <x v="3"/>
    <m/>
    <m/>
    <x v="1"/>
    <n v="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0. 컨텐츠 - 컨텐츠 개발"/>
    <x v="3"/>
    <n v="19500000"/>
    <n v="25500000"/>
    <x v="0"/>
    <n v="0"/>
    <n v="10000000"/>
    <n v="20000000"/>
    <n v="-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. 온라인 - 법정"/>
    <x v="6"/>
    <n v="36363636"/>
    <n v="39236363.636363633"/>
    <x v="1"/>
    <n v="40000000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m/>
    <m/>
    <s v="10. 컨텐츠 - 컨텐츠 개발"/>
    <x v="3"/>
    <m/>
    <n v="8000000"/>
    <x v="0"/>
    <n v="10000000"/>
    <n v="0"/>
    <n v="80000000"/>
    <n v="-8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4. 운영 - 운영매출"/>
    <x v="13"/>
    <n v="81818182"/>
    <n v="79090908.909090906"/>
    <x v="1"/>
    <n v="80000000"/>
    <n v="80000000"/>
    <n v="8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보건의료연구원"/>
    <n v="12817"/>
    <s v="05 공공"/>
    <s v="03 신규"/>
    <s v="03 휴넷 LMS"/>
    <s v="1. 온라인 - 단과"/>
    <x v="0"/>
    <m/>
    <n v="22668772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보건의료연구원"/>
    <n v="12817"/>
    <s v="05 공공"/>
    <s v="03 신규"/>
    <s v="03 휴넷 LMS"/>
    <s v="6. 하이브리드러닝 - 집합형"/>
    <x v="2"/>
    <n v="42720000"/>
    <n v="20000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아이비엠"/>
    <n v="3197"/>
    <s v=""/>
    <s v="01 수성"/>
    <s v="03 휴넷 LMS"/>
    <s v="6. 하이브리드러닝 - 집합형"/>
    <x v="4"/>
    <n v="2500000"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중부발전"/>
    <n v="14952"/>
    <s v="05 공공"/>
    <s v="03 신규"/>
    <s v="02 경쟁사 LMS"/>
    <s v="통합위탁"/>
    <x v="4"/>
    <m/>
    <n v="0"/>
    <x v="0"/>
    <n v="600000000"/>
    <n v="0"/>
    <n v="600000000"/>
    <n v="-600000000"/>
    <m/>
    <m/>
    <m/>
    <m/>
    <m/>
    <m/>
    <m/>
    <m/>
    <m/>
    <m/>
    <m/>
    <m/>
    <m/>
    <m/>
    <m/>
    <m/>
    <n v="400000000"/>
    <m/>
    <m/>
    <m/>
    <m/>
    <m/>
    <m/>
    <m/>
    <m/>
    <m/>
    <m/>
    <m/>
    <m/>
    <m/>
    <m/>
    <m/>
    <n v="200000000"/>
    <m/>
    <m/>
    <m/>
    <m/>
    <m/>
    <m/>
    <m/>
    <m/>
    <m/>
    <m/>
    <m/>
    <m/>
    <m/>
    <m/>
    <m/>
    <m/>
    <m/>
    <m/>
    <m/>
  </r>
  <r>
    <s v="기업교육2팀"/>
    <x v="3"/>
    <s v="한국투자신탁운영"/>
    <n v="2135"/>
    <m/>
    <m/>
    <m/>
    <s v="2. 온라인 - 법정"/>
    <x v="6"/>
    <m/>
    <n v="0"/>
    <x v="0"/>
    <n v="8000000"/>
    <n v="0"/>
    <n v="8000000"/>
    <n v="-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. 온라인 - 법정"/>
    <x v="6"/>
    <s v=""/>
    <n v="2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6. 정부지원사업 - HRDFLEX"/>
    <x v="16"/>
    <n v="21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증권"/>
    <n v="1793"/>
    <m/>
    <m/>
    <m/>
    <s v="2. 온라인 - 법정"/>
    <x v="6"/>
    <n v="7074000"/>
    <n v="0"/>
    <x v="1"/>
    <n v="10000000"/>
    <n v="10851000"/>
    <n v="10851000"/>
    <n v="0"/>
    <m/>
    <m/>
    <m/>
    <m/>
    <m/>
    <m/>
    <m/>
    <m/>
    <m/>
    <n v="10851000"/>
    <n v="1085100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3"/>
    <s v="한익스프레스"/>
    <n v="660"/>
    <s v="01 1~1000대"/>
    <m/>
    <m/>
    <s v="1. 온라인 - 단과"/>
    <x v="0"/>
    <n v="73035960"/>
    <n v="20168240"/>
    <x v="1"/>
    <n v="8000000"/>
    <n v="10082000"/>
    <n v="10082000"/>
    <n v="0"/>
    <m/>
    <m/>
    <m/>
    <m/>
    <m/>
    <m/>
    <m/>
    <m/>
    <m/>
    <m/>
    <m/>
    <m/>
    <m/>
    <m/>
    <n v="1680000"/>
    <m/>
    <n v="4000000"/>
    <n v="4402000"/>
    <n v="4402000"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  <m/>
    <m/>
    <m/>
    <s v="PASS"/>
  </r>
  <r>
    <s v="기업교육2팀"/>
    <x v="3"/>
    <s v="한화갤러리아"/>
    <n v="8144"/>
    <s v="02 1001~2000대"/>
    <s v="01 수성"/>
    <s v="03 휴넷 LMS"/>
    <s v="2. 온라인 - 법정"/>
    <x v="6"/>
    <n v="6992000"/>
    <n v="10894000"/>
    <x v="1"/>
    <n v="0"/>
    <n v="1367500"/>
    <n v="1367500"/>
    <n v="0"/>
    <m/>
    <m/>
    <m/>
    <m/>
    <m/>
    <m/>
    <m/>
    <m/>
    <m/>
    <m/>
    <n v="136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0. 컨텐츠 - 컨텐츠 개발"/>
    <x v="3"/>
    <n v="1000000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터보기계"/>
    <n v="40226"/>
    <s v="04 3000대 이후"/>
    <m/>
    <m/>
    <s v="통합위탁"/>
    <x v="1"/>
    <n v="2654420"/>
    <n v="6598370"/>
    <x v="1"/>
    <n v="5000000"/>
    <n v="3261000"/>
    <n v="3880000"/>
    <n v="-619000"/>
    <n v="400000"/>
    <n v="400000"/>
    <n v="280000"/>
    <s v="1월 수강신청 "/>
    <n v="400000"/>
    <n v="520000"/>
    <m/>
    <m/>
    <n v="400000"/>
    <n v="360000"/>
    <n v="360000"/>
    <m/>
    <n v="400000"/>
    <n v="400000"/>
    <m/>
    <m/>
    <n v="400000"/>
    <n v="440000"/>
    <n v="440000"/>
    <m/>
    <n v="400000"/>
    <n v="381000"/>
    <m/>
    <m/>
    <n v="400000"/>
    <n v="300000"/>
    <m/>
    <m/>
    <n v="400000"/>
    <n v="300000"/>
    <m/>
    <m/>
    <n v="400000"/>
    <n v="300000"/>
    <m/>
    <m/>
    <n v="400000"/>
    <n v="300000"/>
    <m/>
    <m/>
    <n v="400000"/>
    <n v="300000"/>
    <m/>
    <m/>
    <n v="600000"/>
    <n v="300000"/>
    <m/>
    <m/>
    <m/>
    <m/>
    <m/>
    <s v="PASS"/>
  </r>
  <r>
    <s v="기업교육2팀"/>
    <x v="4"/>
    <s v="KGC"/>
    <n v="59149"/>
    <m/>
    <m/>
    <m/>
    <s v="통합위탁"/>
    <x v="1"/>
    <m/>
    <n v="176602241"/>
    <x v="1"/>
    <n v="180000000"/>
    <n v="207953835"/>
    <n v="207533835"/>
    <n v="420000"/>
    <n v="0"/>
    <n v="1392000"/>
    <n v="1392000"/>
    <m/>
    <n v="15000000"/>
    <n v="16896726"/>
    <n v="16896727"/>
    <m/>
    <n v="15000000"/>
    <n v="18110230"/>
    <n v="18358412"/>
    <m/>
    <n v="15000000"/>
    <n v="21544560"/>
    <n v="21544560"/>
    <m/>
    <n v="15000000"/>
    <n v="20722715"/>
    <n v="20722715"/>
    <m/>
    <n v="15000000"/>
    <n v="17619421"/>
    <n v="17619421"/>
    <m/>
    <n v="15000000"/>
    <n v="15000000"/>
    <m/>
    <m/>
    <n v="15000000"/>
    <n v="15000000"/>
    <m/>
    <m/>
    <n v="15000000"/>
    <n v="15000000"/>
    <m/>
    <m/>
    <n v="15000000"/>
    <n v="15000000"/>
    <m/>
    <m/>
    <n v="15000000"/>
    <n v="15000000"/>
    <m/>
    <m/>
    <n v="30000000"/>
    <n v="36420000"/>
    <m/>
    <m/>
    <m/>
    <m/>
    <m/>
    <s v="PASS"/>
  </r>
  <r>
    <s v="기업교육2팀"/>
    <x v="4"/>
    <s v="KGC"/>
    <n v="59149"/>
    <m/>
    <m/>
    <m/>
    <m/>
    <x v="10"/>
    <m/>
    <m/>
    <x v="1"/>
    <m/>
    <n v="280000"/>
    <n v="1000000"/>
    <n v="-720000"/>
    <m/>
    <m/>
    <m/>
    <m/>
    <m/>
    <m/>
    <m/>
    <m/>
    <m/>
    <m/>
    <m/>
    <m/>
    <m/>
    <m/>
    <m/>
    <m/>
    <m/>
    <m/>
    <m/>
    <m/>
    <m/>
    <n v="28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</r>
  <r>
    <s v="기업교육2팀"/>
    <x v="4"/>
    <s v="KGC"/>
    <n v="59149"/>
    <m/>
    <m/>
    <m/>
    <m/>
    <x v="3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(E-test)"/>
    <n v="59149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라이프앤진"/>
    <n v="21827"/>
    <m/>
    <m/>
    <m/>
    <s v="1. 온라인 - 단과"/>
    <x v="0"/>
    <n v="3064000"/>
    <n v="2975310"/>
    <x v="1"/>
    <n v="4000000"/>
    <n v="835530"/>
    <n v="835530"/>
    <n v="0"/>
    <n v="300000"/>
    <n v="45530"/>
    <n v="45530"/>
    <m/>
    <n v="300000"/>
    <m/>
    <m/>
    <m/>
    <n v="300000"/>
    <n v="120000"/>
    <n v="120000"/>
    <m/>
    <n v="300000"/>
    <n v="120000"/>
    <n v="120000"/>
    <m/>
    <n v="300000"/>
    <n v="0"/>
    <n v="0"/>
    <m/>
    <n v="300000"/>
    <n v="0"/>
    <n v="0"/>
    <m/>
    <n v="300000"/>
    <n v="200000"/>
    <m/>
    <m/>
    <n v="300000"/>
    <n v="50000"/>
    <m/>
    <m/>
    <n v="300000"/>
    <n v="50000"/>
    <m/>
    <m/>
    <n v="300000"/>
    <n v="50000"/>
    <m/>
    <m/>
    <n v="700000"/>
    <n v="100000"/>
    <m/>
    <m/>
    <n v="300000"/>
    <n v="100000"/>
    <m/>
    <m/>
    <m/>
    <m/>
    <m/>
    <s v="PASS"/>
  </r>
  <r>
    <s v="기업교육2팀"/>
    <x v="4"/>
    <s v="KGC인재개발원"/>
    <n v="297"/>
    <m/>
    <m/>
    <m/>
    <s v="1. 온라인 - 단과"/>
    <x v="0"/>
    <n v="110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고려아연"/>
    <n v="3765"/>
    <s v=""/>
    <s v="01 수성"/>
    <s v="03 휴넷 LMS"/>
    <s v="1. 온라인 - 단과"/>
    <x v="0"/>
    <m/>
    <n v="0"/>
    <x v="2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4"/>
    <s v="고려아연"/>
    <n v="3765"/>
    <m/>
    <s v="03 신규"/>
    <s v="01 자체 LMS"/>
    <s v="6. 하이브리드러닝 - 집합형"/>
    <x v="2"/>
    <m/>
    <n v="36980000"/>
    <x v="1"/>
    <n v="36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m/>
    <m/>
    <m/>
    <m/>
    <m/>
    <m/>
    <m/>
    <m/>
    <m/>
    <m/>
    <m/>
    <m/>
    <m/>
    <m/>
    <m/>
    <m/>
    <n v="120000000"/>
    <m/>
    <m/>
    <m/>
    <m/>
    <m/>
    <m/>
  </r>
  <r>
    <s v="기업교육2팀"/>
    <x v="4"/>
    <s v="고려아연"/>
    <n v="3765"/>
    <m/>
    <m/>
    <m/>
    <s v="10. 컨텐츠 - 컨텐츠 개발"/>
    <x v="3"/>
    <m/>
    <n v="0"/>
    <x v="1"/>
    <n v="10000000"/>
    <n v="11700000"/>
    <n v="11700000"/>
    <n v="0"/>
    <m/>
    <m/>
    <m/>
    <m/>
    <m/>
    <m/>
    <m/>
    <m/>
    <m/>
    <n v="11700000"/>
    <n v="117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0"/>
    <m/>
    <m/>
    <m/>
    <m/>
    <m/>
    <m/>
    <m/>
    <m/>
    <m/>
    <m/>
  </r>
  <r>
    <s v="기업교육2팀"/>
    <x v="4"/>
    <s v="공무원연금공단"/>
    <n v="9377"/>
    <s v="05 공공"/>
    <s v="01 수성"/>
    <s v="03 휴넷 LMS"/>
    <s v="1. 온라인 - 단과"/>
    <x v="0"/>
    <n v="8000000"/>
    <n v="40466200"/>
    <x v="1"/>
    <n v="20000000"/>
    <n v="20000000"/>
    <n v="20000000"/>
    <n v="0"/>
    <m/>
    <n v="16000000"/>
    <n v="0"/>
    <m/>
    <m/>
    <n v="16000000"/>
    <n v="1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4000000"/>
    <m/>
    <m/>
    <m/>
    <m/>
    <m/>
    <s v="PASS"/>
  </r>
  <r>
    <s v="기업교육2팀"/>
    <x v="4"/>
    <s v="교통안전공단"/>
    <n v="8554"/>
    <s v="05 공공"/>
    <m/>
    <m/>
    <s v="36. 기타 - 기타"/>
    <x v="18"/>
    <n v="33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국가보훈부"/>
    <n v="8136"/>
    <s v="05 공공"/>
    <s v="03 신규"/>
    <s v="02 경쟁사 LMS"/>
    <m/>
    <x v="1"/>
    <n v="0"/>
    <n v="0"/>
    <x v="1"/>
    <n v="500000000"/>
    <n v="487213050"/>
    <n v="486913050"/>
    <n v="300000"/>
    <m/>
    <m/>
    <m/>
    <m/>
    <m/>
    <m/>
    <m/>
    <m/>
    <m/>
    <m/>
    <n v="6182950"/>
    <m/>
    <m/>
    <n v="6414800"/>
    <n v="6414800"/>
    <m/>
    <m/>
    <m/>
    <n v="6913050"/>
    <m/>
    <m/>
    <n v="5800000"/>
    <n v="5500000"/>
    <m/>
    <m/>
    <m/>
    <m/>
    <m/>
    <m/>
    <m/>
    <m/>
    <m/>
    <m/>
    <m/>
    <m/>
    <m/>
    <m/>
    <m/>
    <m/>
    <m/>
    <m/>
    <m/>
    <m/>
    <m/>
    <n v="500000000"/>
    <n v="461902250"/>
    <m/>
    <m/>
    <m/>
    <m/>
    <m/>
    <m/>
  </r>
  <r>
    <s v="기업교육2팀"/>
    <x v="4"/>
    <s v="금호타이어주식회사"/>
    <n v="1365"/>
    <s v=""/>
    <s v="01 수성"/>
    <s v="03 휴넷 LMS"/>
    <s v="2. 온라인 - 법정"/>
    <x v="6"/>
    <n v="14711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금호타이어주식회사"/>
    <n v="1365"/>
    <m/>
    <m/>
    <m/>
    <s v="2. 온라인 - 법정"/>
    <x v="6"/>
    <n v="3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대한항공"/>
    <n v="598"/>
    <s v="01 1~1000대"/>
    <s v="03 신규"/>
    <s v="01 자체 LMS"/>
    <s v="11. 컨텐츠 - 컨텐츠 임대/판매"/>
    <x v="5"/>
    <s v="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한항공"/>
    <n v="598"/>
    <m/>
    <m/>
    <m/>
    <s v="6. 하이브리드러닝 - 집합형"/>
    <x v="2"/>
    <n v="5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구광역시교육연수원(마이크로러닝 임차)"/>
    <m/>
    <m/>
    <m/>
    <m/>
    <m/>
    <x v="18"/>
    <m/>
    <m/>
    <x v="1"/>
    <n v="0"/>
    <n v="92000000"/>
    <n v="0"/>
    <n v="9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000000"/>
    <m/>
    <m/>
    <m/>
    <m/>
    <m/>
    <m/>
    <m/>
    <m/>
    <m/>
    <m/>
    <m/>
    <m/>
    <m/>
    <m/>
    <m/>
    <m/>
    <m/>
    <m/>
  </r>
  <r>
    <s v="기업교육2팀"/>
    <x v="4"/>
    <s v="동부건설"/>
    <n v="45769"/>
    <s v="01 1~1000대"/>
    <s v="01 수성"/>
    <s v="03 휴넷 LMS"/>
    <s v="1. 온라인 - 단과"/>
    <x v="0"/>
    <n v="17383000"/>
    <n v="0"/>
    <x v="2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. 온라인 - 단과"/>
    <x v="0"/>
    <n v="75000000"/>
    <n v="71850000"/>
    <x v="1"/>
    <n v="75000000"/>
    <n v="70000000"/>
    <n v="70000000"/>
    <n v="0"/>
    <m/>
    <m/>
    <m/>
    <m/>
    <m/>
    <m/>
    <m/>
    <m/>
    <m/>
    <m/>
    <m/>
    <m/>
    <m/>
    <m/>
    <m/>
    <m/>
    <m/>
    <m/>
    <m/>
    <m/>
    <n v="37500000"/>
    <n v="35000000"/>
    <n v="35000000"/>
    <m/>
    <m/>
    <m/>
    <m/>
    <m/>
    <m/>
    <m/>
    <m/>
    <m/>
    <m/>
    <m/>
    <m/>
    <m/>
    <m/>
    <m/>
    <m/>
    <m/>
    <m/>
    <m/>
    <m/>
    <m/>
    <n v="37500000"/>
    <n v="35000000"/>
    <m/>
    <m/>
    <m/>
    <m/>
    <m/>
    <s v="PASS"/>
  </r>
  <r>
    <s v="기업교육2팀"/>
    <x v="4"/>
    <s v="동아쏘시오홀딩스"/>
    <n v="214"/>
    <s v=""/>
    <s v="01 수성"/>
    <s v="03 휴넷 LMS"/>
    <s v="6. 하이브리드러닝 - 집합형"/>
    <x v="2"/>
    <m/>
    <n v="4900000"/>
    <x v="1"/>
    <n v="50000000"/>
    <n v="18600000"/>
    <n v="18600000"/>
    <n v="0"/>
    <m/>
    <m/>
    <m/>
    <m/>
    <m/>
    <m/>
    <m/>
    <m/>
    <m/>
    <n v="12100000"/>
    <n v="12100000"/>
    <m/>
    <m/>
    <m/>
    <m/>
    <m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n v="6500000"/>
    <m/>
    <m/>
    <m/>
    <m/>
    <m/>
    <m/>
  </r>
  <r>
    <s v="기업교육2팀"/>
    <x v="4"/>
    <s v="동아쏘시오홀딩스"/>
    <n v="214"/>
    <m/>
    <m/>
    <m/>
    <s v="7. 휴넷CEO - 휴넷CEO"/>
    <x v="10"/>
    <m/>
    <n v="32500000"/>
    <x v="1"/>
    <n v="32000000"/>
    <n v="22500000"/>
    <n v="22500000"/>
    <n v="0"/>
    <m/>
    <m/>
    <m/>
    <m/>
    <m/>
    <m/>
    <m/>
    <m/>
    <m/>
    <m/>
    <m/>
    <m/>
    <n v="32000000"/>
    <n v="0"/>
    <m/>
    <m/>
    <m/>
    <n v="0"/>
    <n v="0"/>
    <m/>
    <m/>
    <n v="0"/>
    <n v="22500000"/>
    <m/>
    <m/>
    <n v="22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동아쏘시오홀딩스"/>
    <n v="214"/>
    <m/>
    <m/>
    <m/>
    <m/>
    <x v="12"/>
    <m/>
    <m/>
    <x v="1"/>
    <n v="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m/>
    <m/>
    <m/>
    <m/>
    <m/>
    <m/>
  </r>
  <r>
    <s v="기업교육2팀"/>
    <x v="4"/>
    <s v="동아쏘시오홀딩스"/>
    <n v="214"/>
    <s v=""/>
    <s v="01 수성"/>
    <s v="03 휴넷 LMS"/>
    <s v="10. 컨텐츠 - 컨텐츠 개발"/>
    <x v="3"/>
    <m/>
    <n v="11000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3. 솔루션 - 표준형 LABS"/>
    <x v="15"/>
    <n v="75000000"/>
    <n v="80000000"/>
    <x v="1"/>
    <n v="80000000"/>
    <n v="60000000"/>
    <n v="60000000"/>
    <n v="0"/>
    <m/>
    <m/>
    <m/>
    <m/>
    <m/>
    <m/>
    <m/>
    <m/>
    <m/>
    <m/>
    <m/>
    <m/>
    <m/>
    <m/>
    <m/>
    <m/>
    <m/>
    <m/>
    <m/>
    <m/>
    <n v="40000000"/>
    <n v="30000000"/>
    <n v="30000000"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4"/>
    <s v="동아쏘시오홀딩스"/>
    <n v="214"/>
    <s v=""/>
    <s v="01 수성"/>
    <s v="03 휴넷 LMS"/>
    <s v="24. 운영 - 운영매출"/>
    <x v="13"/>
    <n v="19220000"/>
    <n v="18745000"/>
    <x v="1"/>
    <n v="30000000"/>
    <n v="20370000"/>
    <n v="20370000"/>
    <n v="0"/>
    <n v="0"/>
    <n v="0"/>
    <m/>
    <m/>
    <m/>
    <m/>
    <m/>
    <m/>
    <m/>
    <m/>
    <m/>
    <m/>
    <m/>
    <n v="370000"/>
    <n v="370000"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20000000"/>
    <m/>
    <m/>
    <m/>
    <m/>
    <m/>
    <m/>
  </r>
  <r>
    <s v="기업교육2팀"/>
    <x v="4"/>
    <s v="보령제약그룹"/>
    <n v="1471"/>
    <s v="01 1~1000대"/>
    <s v="01 수성"/>
    <s v="03 휴넷 LMS"/>
    <s v="1. 온라인 - 단과"/>
    <x v="0"/>
    <n v="185449490"/>
    <n v="0"/>
    <x v="6"/>
    <n v="10000000"/>
    <n v="0"/>
    <n v="0"/>
    <n v="0"/>
    <m/>
    <m/>
    <m/>
    <m/>
    <m/>
    <m/>
    <m/>
    <m/>
    <m/>
    <m/>
    <m/>
    <m/>
    <m/>
    <m/>
    <m/>
    <m/>
    <m/>
    <m/>
    <m/>
    <m/>
    <n v="5000000"/>
    <n v="0"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s v="PASS"/>
  </r>
  <r>
    <s v="기업교육2팀"/>
    <x v="4"/>
    <s v="보령제약그룹"/>
    <n v="1471"/>
    <m/>
    <m/>
    <m/>
    <s v="4. 하이브리드러닝 - 플립형"/>
    <x v="2"/>
    <m/>
    <n v="33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제약그룹"/>
    <n v="1471"/>
    <m/>
    <m/>
    <m/>
    <s v="10. 컨텐츠 - 컨텐츠 개발"/>
    <x v="3"/>
    <n v="12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컨슈머"/>
    <n v="22605"/>
    <m/>
    <m/>
    <m/>
    <s v="2. 온라인 - 법정"/>
    <x v="0"/>
    <m/>
    <n v="2341800"/>
    <x v="1"/>
    <n v="2000000"/>
    <n v="584000"/>
    <n v="584000"/>
    <n v="0"/>
    <m/>
    <n v="6000"/>
    <n v="6000"/>
    <m/>
    <n v="200000"/>
    <n v="4000"/>
    <n v="4000"/>
    <m/>
    <n v="200000"/>
    <n v="0"/>
    <m/>
    <m/>
    <n v="200000"/>
    <n v="254000"/>
    <n v="254000"/>
    <m/>
    <n v="200000"/>
    <n v="280000"/>
    <n v="280000"/>
    <m/>
    <n v="200000"/>
    <n v="0"/>
    <m/>
    <m/>
    <n v="200000"/>
    <n v="0"/>
    <m/>
    <m/>
    <n v="200000"/>
    <n v="0"/>
    <m/>
    <m/>
    <n v="200000"/>
    <n v="0"/>
    <m/>
    <m/>
    <n v="200000"/>
    <n v="0"/>
    <m/>
    <m/>
    <n v="200000"/>
    <n v="40000"/>
    <m/>
    <m/>
    <m/>
    <m/>
    <m/>
    <m/>
    <m/>
    <m/>
    <m/>
    <s v="PASS"/>
  </r>
  <r>
    <s v="기업교육2팀"/>
    <x v="4"/>
    <s v="비케이알"/>
    <n v="22259"/>
    <s v=""/>
    <s v="03 신규"/>
    <s v="03 휴넷 LMS"/>
    <s v="1. 온라인 - 단과"/>
    <x v="0"/>
    <m/>
    <n v="750000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  <m/>
    <m/>
    <m/>
    <m/>
    <m/>
    <m/>
    <m/>
    <m/>
    <m/>
    <m/>
    <m/>
    <s v="PASS"/>
  </r>
  <r>
    <s v="기업교육2팀"/>
    <x v="4"/>
    <s v="빙그레"/>
    <n v="2321"/>
    <s v=""/>
    <s v="03 신규"/>
    <s v="03 휴넷 LMS"/>
    <s v="1. 온라인 - 단과"/>
    <x v="0"/>
    <m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삼성생명"/>
    <n v="314"/>
    <s v="01 1~1000대"/>
    <s v="03 신규"/>
    <s v="03 신규"/>
    <s v="11. 컨텐츠 - 컨텐츠 임대/판매"/>
    <x v="5"/>
    <n v="1000000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서비스손해사정"/>
    <n v="17362"/>
    <m/>
    <m/>
    <m/>
    <m/>
    <x v="2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해상보험"/>
    <n v="5123"/>
    <s v="01 1~1000대"/>
    <s v="03 신규"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"/>
    <n v="5007"/>
    <m/>
    <s v="03 신규"/>
    <s v="03 휴넷 LMS"/>
    <s v="통합위탁"/>
    <x v="1"/>
    <n v="0"/>
    <n v="0"/>
    <x v="1"/>
    <n v="84000000"/>
    <n v="61450900"/>
    <n v="61450900"/>
    <n v="0"/>
    <n v="7000000"/>
    <n v="7000000"/>
    <m/>
    <m/>
    <n v="7000000"/>
    <n v="4139600"/>
    <m/>
    <m/>
    <n v="7000000"/>
    <n v="13476000"/>
    <m/>
    <m/>
    <n v="7000000"/>
    <m/>
    <m/>
    <m/>
    <n v="7000000"/>
    <n v="9161700"/>
    <n v="9161700"/>
    <m/>
    <n v="7000000"/>
    <n v="8289200"/>
    <n v="8289200"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9000000"/>
    <m/>
    <m/>
    <m/>
    <m/>
    <m/>
    <s v="PASS"/>
  </r>
  <r>
    <s v="기업교육2팀"/>
    <x v="4"/>
    <s v="삼화페인트"/>
    <n v="5007"/>
    <m/>
    <m/>
    <m/>
    <m/>
    <x v="4"/>
    <m/>
    <m/>
    <x v="1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공업"/>
    <n v="5007"/>
    <m/>
    <m/>
    <m/>
    <s v="2. 온라인 - 법정"/>
    <x v="6"/>
    <s v=""/>
    <n v="269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상록골프앤리조트"/>
    <n v="21154"/>
    <s v="05 공공"/>
    <s v="01 수성"/>
    <s v="03 휴넷 LMS"/>
    <s v="1. 온라인 - 단과"/>
    <x v="0"/>
    <n v="13263400"/>
    <n v="13750220"/>
    <x v="1"/>
    <n v="24000000"/>
    <n v="12766000"/>
    <n v="12766000"/>
    <n v="0"/>
    <n v="2000000"/>
    <m/>
    <m/>
    <m/>
    <n v="2000000"/>
    <n v="259000"/>
    <n v="259000"/>
    <m/>
    <n v="2000000"/>
    <n v="203000"/>
    <n v="203000"/>
    <m/>
    <n v="2000000"/>
    <n v="0"/>
    <m/>
    <m/>
    <n v="2000000"/>
    <n v="439800"/>
    <n v="439800"/>
    <m/>
    <n v="2000000"/>
    <n v="4864200"/>
    <n v="4864200"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2000000"/>
    <m/>
    <m/>
    <m/>
    <m/>
    <m/>
    <s v="PASS"/>
  </r>
  <r>
    <s v="기업교육2팀"/>
    <x v="4"/>
    <s v="쌍용C&amp;E"/>
    <n v="2337"/>
    <s v=""/>
    <s v="01 수성"/>
    <s v="03 휴넷 LMS"/>
    <s v="통합위탁"/>
    <x v="1"/>
    <n v="39926960"/>
    <n v="78841900"/>
    <x v="6"/>
    <n v="73000000"/>
    <n v="54757160"/>
    <n v="54757160"/>
    <n v="0"/>
    <m/>
    <m/>
    <m/>
    <m/>
    <m/>
    <m/>
    <m/>
    <m/>
    <n v="10000000"/>
    <n v="0"/>
    <m/>
    <m/>
    <n v="8000000"/>
    <m/>
    <m/>
    <m/>
    <n v="8000000"/>
    <n v="8000000"/>
    <m/>
    <m/>
    <n v="8000000"/>
    <n v="8000000"/>
    <m/>
    <m/>
    <n v="7000000"/>
    <n v="7000000"/>
    <m/>
    <m/>
    <n v="7000000"/>
    <n v="7000000"/>
    <m/>
    <m/>
    <n v="10000000"/>
    <n v="10000000"/>
    <m/>
    <m/>
    <n v="10000000"/>
    <n v="10000000"/>
    <m/>
    <m/>
    <n v="5000000"/>
    <n v="12757160"/>
    <m/>
    <m/>
    <m/>
    <m/>
    <m/>
    <m/>
    <m/>
    <m/>
    <m/>
    <s v="PASS"/>
  </r>
  <r>
    <s v="기업교육2팀"/>
    <x v="4"/>
    <s v="쌍용C&amp;E"/>
    <n v="2337"/>
    <m/>
    <m/>
    <m/>
    <s v="1. 온라인 - 단과"/>
    <x v="0"/>
    <n v="904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씨지앤율촌전력 (구 엠피씨율촌전력 주식회사)"/>
    <n v="13161"/>
    <m/>
    <m/>
    <m/>
    <s v="2. 온라인 - 법정"/>
    <x v="6"/>
    <n v="1360000"/>
    <n v="1315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에스에프에이반도체㈜"/>
    <n v="3041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엘아이지넥스원 "/>
    <n v="2702"/>
    <s v=""/>
    <s v="02 윈백"/>
    <s v="03 휴넷 LMS"/>
    <s v="1. 온라인 - 단과"/>
    <x v="1"/>
    <m/>
    <n v="0"/>
    <x v="0"/>
    <n v="100000000"/>
    <n v="60000000"/>
    <n v="70000000"/>
    <n v="-10000000"/>
    <m/>
    <m/>
    <m/>
    <m/>
    <n v="10000000"/>
    <m/>
    <m/>
    <m/>
    <n v="10000000"/>
    <m/>
    <m/>
    <m/>
    <n v="10000000"/>
    <m/>
    <m/>
    <m/>
    <n v="10000000"/>
    <m/>
    <m/>
    <m/>
    <n v="10000000"/>
    <m/>
    <m/>
    <m/>
    <n v="10000000"/>
    <n v="10000000"/>
    <m/>
    <m/>
    <n v="10000000"/>
    <n v="10000000"/>
    <m/>
    <m/>
    <n v="10000000"/>
    <n v="10000000"/>
    <m/>
    <m/>
    <n v="10000000"/>
    <n v="10000000"/>
    <m/>
    <m/>
    <n v="10000000"/>
    <n v="10000000"/>
    <m/>
    <m/>
    <m/>
    <n v="10000000"/>
    <m/>
    <m/>
    <m/>
    <m/>
    <m/>
    <m/>
  </r>
  <r>
    <s v="기업교육2팀"/>
    <x v="4"/>
    <s v="엘앤에프"/>
    <n v="17262"/>
    <s v=""/>
    <s v="03 신규"/>
    <s v="03 휴넷 LMS"/>
    <s v="통합위탁"/>
    <x v="1"/>
    <m/>
    <n v="7559870"/>
    <x v="1"/>
    <n v="30000000"/>
    <n v="27869650"/>
    <n v="27869650"/>
    <n v="0"/>
    <m/>
    <n v="769300"/>
    <n v="769300"/>
    <m/>
    <m/>
    <n v="610000"/>
    <n v="610000"/>
    <m/>
    <n v="3000000"/>
    <n v="1410800"/>
    <n v="1410800"/>
    <m/>
    <n v="3000000"/>
    <n v="1727800"/>
    <n v="1727800"/>
    <m/>
    <n v="3000000"/>
    <n v="2698900"/>
    <n v="2761900"/>
    <m/>
    <n v="3000000"/>
    <n v="2589850"/>
    <n v="2589850"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4"/>
    <s v="엘지"/>
    <n v="16143"/>
    <s v="01 1~1000대"/>
    <m/>
    <m/>
    <s v="2. 온라인 - 법정"/>
    <x v="6"/>
    <n v="6750000"/>
    <n v="672000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울산항만공사"/>
    <n v="8742"/>
    <m/>
    <m/>
    <m/>
    <s v="2. 온라인 - 법정"/>
    <x v="6"/>
    <s v=""/>
    <n v="12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s v=""/>
    <s v="01 수성"/>
    <s v="03 휴넷 LMS"/>
    <s v="통합위탁"/>
    <x v="1"/>
    <n v="1018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m/>
    <m/>
    <m/>
    <s v="통합위탁"/>
    <x v="1"/>
    <n v="4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정보통신기획평가원"/>
    <n v="16701"/>
    <s v="05 공공"/>
    <s v="01 수성"/>
    <s v="03 휴넷 LMS"/>
    <s v="1. 온라인 - 단과"/>
    <x v="0"/>
    <n v="4359000"/>
    <n v="3535500"/>
    <x v="1"/>
    <n v="4000000"/>
    <n v="1287900"/>
    <n v="1287900"/>
    <n v="0"/>
    <n v="300000"/>
    <n v="28000"/>
    <n v="28000"/>
    <m/>
    <n v="300000"/>
    <n v="211000"/>
    <n v="211000"/>
    <m/>
    <n v="300000"/>
    <n v="208900"/>
    <n v="208900"/>
    <m/>
    <n v="300000"/>
    <n v="100000"/>
    <n v="100000"/>
    <m/>
    <n v="300000"/>
    <n v="370000"/>
    <n v="370000"/>
    <m/>
    <n v="300000"/>
    <n v="70000"/>
    <n v="70000"/>
    <m/>
    <n v="300000"/>
    <n v="50000"/>
    <m/>
    <m/>
    <n v="300000"/>
    <n v="50000"/>
    <m/>
    <m/>
    <n v="300000"/>
    <n v="50000"/>
    <m/>
    <m/>
    <n v="300000"/>
    <n v="50000"/>
    <m/>
    <m/>
    <n v="300000"/>
    <n v="50000"/>
    <m/>
    <m/>
    <n v="700000"/>
    <n v="50000"/>
    <m/>
    <m/>
    <m/>
    <m/>
    <m/>
    <s v="PASS"/>
  </r>
  <r>
    <s v="기업교육2팀"/>
    <x v="4"/>
    <s v="케이티씨에스(KT CS)"/>
    <n v="12091"/>
    <s v=""/>
    <s v="01 수성"/>
    <s v="01 자체 LMS"/>
    <s v="6. 하이브리드러닝 - 집합형"/>
    <x v="2"/>
    <n v="20685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4"/>
    <s v="케이티씨에스(KT CS)"/>
    <n v="12091"/>
    <m/>
    <m/>
    <m/>
    <m/>
    <x v="4"/>
    <m/>
    <m/>
    <x v="1"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통합위탁"/>
    <x v="1"/>
    <n v="6520000"/>
    <n v="1102475277"/>
    <x v="1"/>
    <n v="1155000000"/>
    <n v="1166035218"/>
    <n v="1166035218"/>
    <n v="0"/>
    <n v="90000000"/>
    <n v="89832904"/>
    <n v="89832904"/>
    <m/>
    <n v="90000000"/>
    <n v="86242540"/>
    <n v="86262540"/>
    <m/>
    <n v="95000000"/>
    <n v="105240030"/>
    <n v="105240030"/>
    <m/>
    <n v="90000000"/>
    <n v="95857940"/>
    <n v="95857940"/>
    <m/>
    <n v="90000000"/>
    <n v="100224574"/>
    <n v="100224574"/>
    <m/>
    <n v="100000000"/>
    <n v="98617230"/>
    <n v="98617230"/>
    <m/>
    <n v="100000000"/>
    <n v="100000000"/>
    <m/>
    <m/>
    <n v="100000000"/>
    <n v="90000000"/>
    <m/>
    <m/>
    <n v="100000000"/>
    <n v="100000000"/>
    <m/>
    <m/>
    <n v="100000000"/>
    <n v="100000000"/>
    <m/>
    <m/>
    <n v="100000000"/>
    <n v="100000000"/>
    <m/>
    <m/>
    <n v="100000000"/>
    <n v="100000000"/>
    <m/>
    <m/>
    <m/>
    <m/>
    <m/>
    <s v="PASS"/>
  </r>
  <r>
    <s v="기업교육2팀"/>
    <x v="4"/>
    <s v="케이티앤지"/>
    <n v="59148"/>
    <m/>
    <m/>
    <m/>
    <s v="1. 온라인 - 단과"/>
    <x v="0"/>
    <s v=""/>
    <n v="861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11. 컨텐츠 - 컨텐츠 임대/판매"/>
    <x v="5"/>
    <n v="1509091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6. 하이브리드러닝 - 집합형"/>
    <x v="2"/>
    <n v="300000"/>
    <n v="42840000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01 1~1000대"/>
    <m/>
    <s v="03 휴넷 LMS"/>
    <s v="6. 하이브리드러닝 - 집합형"/>
    <x v="4"/>
    <n v="0"/>
    <n v="0"/>
    <x v="1"/>
    <n v="2400000"/>
    <n v="5200000"/>
    <n v="5200000"/>
    <n v="0"/>
    <m/>
    <m/>
    <m/>
    <m/>
    <m/>
    <n v="2600000"/>
    <n v="2600000"/>
    <m/>
    <n v="2400000"/>
    <n v="0"/>
    <m/>
    <m/>
    <m/>
    <m/>
    <m/>
    <m/>
    <m/>
    <n v="2600000"/>
    <n v="26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m/>
    <x v="3"/>
    <m/>
    <m/>
    <x v="1"/>
    <n v="0"/>
    <n v="27000000"/>
    <n v="27000000"/>
    <n v="0"/>
    <m/>
    <m/>
    <m/>
    <m/>
    <m/>
    <m/>
    <m/>
    <m/>
    <m/>
    <m/>
    <m/>
    <m/>
    <m/>
    <m/>
    <m/>
    <m/>
    <m/>
    <m/>
    <n v="3000000"/>
    <m/>
    <m/>
    <n v="24000000"/>
    <n v="24000000"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10. 컨텐츠 - 컨텐츠 개발"/>
    <x v="3"/>
    <n v="25500000"/>
    <n v="154680000"/>
    <x v="6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케이티앤지(E-test)"/>
    <n v="59148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3 휴넷 LMS"/>
    <s v="통합위탁"/>
    <x v="1"/>
    <n v="12270000"/>
    <n v="56479000"/>
    <x v="1"/>
    <n v="48000000"/>
    <n v="84259725"/>
    <n v="84259725"/>
    <n v="0"/>
    <n v="0"/>
    <n v="3072690"/>
    <n v="3132690"/>
    <m/>
    <n v="4000000"/>
    <n v="5331425"/>
    <n v="5331425"/>
    <m/>
    <n v="4000000"/>
    <n v="5538450"/>
    <n v="5768850"/>
    <m/>
    <n v="4000000"/>
    <n v="4981423"/>
    <n v="4981423"/>
    <m/>
    <n v="4000000"/>
    <n v="12870346"/>
    <n v="12870346"/>
    <m/>
    <n v="4000000"/>
    <n v="9174991"/>
    <n v="9174991"/>
    <m/>
    <n v="4000000"/>
    <n v="6000000"/>
    <m/>
    <m/>
    <n v="4000000"/>
    <n v="6000000"/>
    <m/>
    <m/>
    <n v="4000000"/>
    <n v="6000000"/>
    <m/>
    <m/>
    <n v="4000000"/>
    <n v="6000000"/>
    <m/>
    <m/>
    <n v="4000000"/>
    <n v="6000000"/>
    <m/>
    <m/>
    <n v="8000000"/>
    <n v="13000000"/>
    <m/>
    <m/>
    <m/>
    <m/>
    <m/>
    <s v="PASS"/>
  </r>
  <r>
    <s v="기업교육2팀"/>
    <x v="4"/>
    <s v="코닝정밀소재"/>
    <n v="336"/>
    <m/>
    <m/>
    <m/>
    <s v="1. 온라인 - 단과"/>
    <x v="0"/>
    <n v="15417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2 경쟁사 LMS"/>
    <s v="3. 온라인 - 마이크로러닝"/>
    <x v="9"/>
    <n v="2205050"/>
    <n v="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코스맥스"/>
    <n v="9011"/>
    <s v=""/>
    <s v="01 수성"/>
    <s v="03 휴넷 LMS"/>
    <s v="2. 온라인 - 법정"/>
    <x v="6"/>
    <n v="1088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스모코스"/>
    <n v="24405"/>
    <m/>
    <m/>
    <m/>
    <s v="1. 온라인 - 단과"/>
    <x v="0"/>
    <n v="4297860"/>
    <n v="774000"/>
    <x v="1"/>
    <n v="10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s v="PASS"/>
  </r>
  <r>
    <s v="기업교육2팀"/>
    <x v="4"/>
    <s v="태아산업"/>
    <n v="42920"/>
    <m/>
    <m/>
    <m/>
    <s v="1. 온라인 - 단과"/>
    <x v="0"/>
    <m/>
    <n v="13375058"/>
    <x v="1"/>
    <n v="14000000"/>
    <n v="8428798"/>
    <n v="8428798"/>
    <n v="0"/>
    <m/>
    <m/>
    <m/>
    <m/>
    <m/>
    <m/>
    <m/>
    <m/>
    <m/>
    <m/>
    <m/>
    <m/>
    <n v="3500000"/>
    <n v="2428798"/>
    <n v="2428798"/>
    <m/>
    <m/>
    <m/>
    <m/>
    <m/>
    <m/>
    <m/>
    <m/>
    <m/>
    <n v="3500000"/>
    <n v="2000000"/>
    <m/>
    <m/>
    <m/>
    <m/>
    <m/>
    <m/>
    <m/>
    <m/>
    <m/>
    <m/>
    <n v="3500000"/>
    <n v="2000000"/>
    <m/>
    <m/>
    <m/>
    <m/>
    <m/>
    <m/>
    <n v="3500000"/>
    <n v="2000000"/>
    <m/>
    <m/>
    <m/>
    <m/>
    <m/>
    <s v="PASS"/>
  </r>
  <r>
    <s v="기업교육2팀"/>
    <x v="4"/>
    <s v="한국국토정보공사"/>
    <n v="21495"/>
    <s v="05 공공"/>
    <s v="01 수성"/>
    <s v="03 휴넷 LMS"/>
    <s v="통합위탁"/>
    <x v="1"/>
    <n v="531039632"/>
    <n v="30812591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국토정보공사"/>
    <n v="21495"/>
    <s v="05 공공"/>
    <m/>
    <s v="03 휴넷 LMS"/>
    <s v="6. 하이브리드러닝 - 집합형"/>
    <x v="4"/>
    <n v="0"/>
    <n v="0"/>
    <x v="0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기초소재"/>
    <n v="15743"/>
    <m/>
    <m/>
    <m/>
    <s v="1. 온라인 - 단과"/>
    <x v="0"/>
    <n v="75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문학번역원"/>
    <n v="16330"/>
    <s v="05 공공"/>
    <s v="03 신규"/>
    <s v="03 휴넷 LMS"/>
    <s v="10. 컨텐츠 - 컨텐츠 개발"/>
    <x v="3"/>
    <n v="313454545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1"/>
    <s v="한국산업기술기획평가원"/>
    <n v="14329"/>
    <s v="05 공공"/>
    <m/>
    <m/>
    <m/>
    <x v="1"/>
    <m/>
    <n v="0"/>
    <x v="0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한국서부발전주식회사"/>
    <n v="1586"/>
    <s v="05 공공"/>
    <m/>
    <m/>
    <s v="통합위탁"/>
    <x v="1"/>
    <n v="417165106"/>
    <n v="422715540"/>
    <x v="4"/>
    <n v="510000000"/>
    <n v="510000000"/>
    <n v="510000000"/>
    <n v="0"/>
    <m/>
    <m/>
    <m/>
    <m/>
    <m/>
    <m/>
    <m/>
    <m/>
    <n v="40000000"/>
    <m/>
    <m/>
    <m/>
    <n v="40000000"/>
    <m/>
    <m/>
    <m/>
    <n v="40000000"/>
    <m/>
    <m/>
    <m/>
    <n v="40000000"/>
    <n v="80000000"/>
    <m/>
    <m/>
    <n v="40000000"/>
    <n v="80000000"/>
    <m/>
    <m/>
    <n v="40000000"/>
    <n v="80000000"/>
    <m/>
    <m/>
    <n v="40000000"/>
    <n v="40000000"/>
    <m/>
    <m/>
    <n v="40000000"/>
    <n v="40000000"/>
    <m/>
    <m/>
    <n v="40000000"/>
    <n v="40000000"/>
    <m/>
    <m/>
    <n v="150000000"/>
    <n v="150000000"/>
    <m/>
    <m/>
    <m/>
    <m/>
    <m/>
    <m/>
  </r>
  <r>
    <s v="기업교육2팀"/>
    <x v="4"/>
    <s v="한국서부발전주식회사"/>
    <n v="1586"/>
    <m/>
    <m/>
    <m/>
    <m/>
    <x v="0"/>
    <m/>
    <m/>
    <x v="1"/>
    <n v="0"/>
    <n v="4563000"/>
    <n v="4563000"/>
    <n v="0"/>
    <m/>
    <m/>
    <m/>
    <m/>
    <m/>
    <n v="3563000"/>
    <n v="3563000"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6. 하이브리드러닝 - 집합형"/>
    <x v="2"/>
    <n v="16000000"/>
    <n v="17600000"/>
    <x v="6"/>
    <n v="120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4"/>
    <s v="한국서부발전주식회사"/>
    <n v="1586"/>
    <m/>
    <m/>
    <m/>
    <m/>
    <x v="4"/>
    <m/>
    <m/>
    <x v="1"/>
    <n v="0"/>
    <n v="5210000"/>
    <n v="5210000"/>
    <n v="0"/>
    <m/>
    <m/>
    <m/>
    <m/>
    <m/>
    <m/>
    <m/>
    <m/>
    <m/>
    <n v="860000"/>
    <n v="860000"/>
    <m/>
    <m/>
    <m/>
    <m/>
    <m/>
    <m/>
    <n v="4350000"/>
    <n v="435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10. 컨텐츠 - 컨텐츠 개발"/>
    <x v="3"/>
    <n v="192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4"/>
    <s v="한국수자원공사 인재개발원"/>
    <n v="3561"/>
    <s v="05 공공"/>
    <m/>
    <m/>
    <s v="3. 온라인 - 마이크로러닝"/>
    <x v="1"/>
    <n v="144901400"/>
    <n v="141638600"/>
    <x v="1"/>
    <n v="120000000"/>
    <n v="200000000"/>
    <n v="200000000"/>
    <n v="0"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n v="120000000"/>
    <n v="200000000"/>
    <m/>
    <m/>
    <m/>
    <m/>
    <m/>
    <m/>
    <m/>
    <m/>
    <m/>
    <m/>
  </r>
  <r>
    <s v="기업교육2팀"/>
    <x v="4"/>
    <s v="한국수자원공사 인재개발원"/>
    <n v="3561"/>
    <s v="05 공공"/>
    <m/>
    <m/>
    <s v="1. 온라인 - 단과"/>
    <x v="0"/>
    <n v="13667600"/>
    <n v="11252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한국수자원공사 인재개발원"/>
    <n v="3561"/>
    <m/>
    <m/>
    <m/>
    <s v="6. 하이브리드러닝 - 집합형"/>
    <x v="4"/>
    <s v=""/>
    <n v="1700000"/>
    <x v="1"/>
    <n v="0"/>
    <n v="4400000"/>
    <n v="4400000"/>
    <n v="0"/>
    <m/>
    <m/>
    <m/>
    <m/>
    <m/>
    <m/>
    <m/>
    <m/>
    <m/>
    <m/>
    <m/>
    <m/>
    <m/>
    <m/>
    <m/>
    <m/>
    <m/>
    <n v="2200000"/>
    <n v="2200000"/>
    <m/>
    <m/>
    <n v="2200000"/>
    <n v="220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수자원공사 인재개발원(25년이관)"/>
    <n v="3561"/>
    <s v="05 공공"/>
    <m/>
    <m/>
    <s v="3. 온라인 - 마이크로러닝"/>
    <x v="9"/>
    <m/>
    <n v="0"/>
    <x v="1"/>
    <n v="0"/>
    <n v="31000000"/>
    <n v="31000000"/>
    <n v="0"/>
    <m/>
    <m/>
    <m/>
    <m/>
    <m/>
    <m/>
    <m/>
    <m/>
    <m/>
    <m/>
    <m/>
    <m/>
    <m/>
    <m/>
    <m/>
    <m/>
    <m/>
    <m/>
    <m/>
    <m/>
    <m/>
    <n v="0"/>
    <n v="31000000"/>
    <m/>
    <m/>
    <n v="31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4"/>
    <s v="한국에너지공단"/>
    <n v="4301"/>
    <s v="05 공공"/>
    <s v="01 수성"/>
    <s v="03 휴넷 LMS"/>
    <s v="통합위탁"/>
    <x v="1"/>
    <n v="348020248"/>
    <n v="498900224"/>
    <x v="4"/>
    <n v="520000000"/>
    <n v="350000000"/>
    <n v="350000000"/>
    <n v="0"/>
    <m/>
    <m/>
    <m/>
    <m/>
    <n v="40000000"/>
    <n v="40000000"/>
    <m/>
    <m/>
    <n v="40000000"/>
    <n v="40000000"/>
    <m/>
    <m/>
    <n v="40000000"/>
    <n v="4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m/>
    <m/>
    <m/>
    <m/>
  </r>
  <r>
    <s v="기업교육2팀"/>
    <x v="4"/>
    <s v="한국에너지공단"/>
    <n v="4301"/>
    <s v="05 공공"/>
    <s v="01 수성"/>
    <s v="03 휴넷 LMS"/>
    <s v="2. 온라인 - 법정"/>
    <x v="6"/>
    <n v="396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에너지공단"/>
    <n v="4301"/>
    <s v="05 공공"/>
    <s v="01 수성"/>
    <s v="03 휴넷 LMS"/>
    <s v="10. 컨텐츠 - 컨텐츠 개발"/>
    <x v="3"/>
    <n v="6818182"/>
    <n v="7500000"/>
    <x v="6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한국장애인고용공단"/>
    <n v="12968"/>
    <s v="05 공공"/>
    <s v="01 수성"/>
    <s v="03 휴넷 LMS"/>
    <s v="10. 컨텐츠 - 컨텐츠 개발"/>
    <x v="3"/>
    <m/>
    <n v="0"/>
    <x v="1"/>
    <n v="0"/>
    <n v="230000000"/>
    <n v="2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0000000"/>
    <m/>
    <m/>
    <m/>
    <m/>
    <m/>
    <m/>
  </r>
  <r>
    <s v="기업교육2팀"/>
    <x v="4"/>
    <s v="한국전력국제원자력대학원대학교_HF"/>
    <n v="61432"/>
    <m/>
    <m/>
    <m/>
    <s v="1. 온라인 - 단과"/>
    <x v="0"/>
    <s v=""/>
    <n v="148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코닝"/>
    <n v="6749"/>
    <m/>
    <m/>
    <m/>
    <s v="1. 온라인 - 단과"/>
    <x v="0"/>
    <m/>
    <n v="2478000"/>
    <x v="1"/>
    <n v="2000000"/>
    <n v="1878000"/>
    <n v="1878000"/>
    <n v="0"/>
    <m/>
    <m/>
    <m/>
    <m/>
    <m/>
    <m/>
    <m/>
    <m/>
    <n v="500000"/>
    <n v="378000"/>
    <n v="378000"/>
    <m/>
    <m/>
    <n v="0"/>
    <m/>
    <m/>
    <m/>
    <n v="812000"/>
    <n v="812000"/>
    <m/>
    <n v="500000"/>
    <n v="0"/>
    <m/>
    <m/>
    <m/>
    <m/>
    <m/>
    <m/>
    <m/>
    <m/>
    <m/>
    <m/>
    <n v="500000"/>
    <n v="500000"/>
    <m/>
    <m/>
    <m/>
    <m/>
    <m/>
    <m/>
    <m/>
    <m/>
    <m/>
    <m/>
    <n v="500000"/>
    <n v="188000"/>
    <m/>
    <m/>
    <m/>
    <m/>
    <m/>
    <s v="PASS"/>
  </r>
  <r>
    <s v="기업교육2팀"/>
    <x v="4"/>
    <s v="한독"/>
    <n v="497"/>
    <s v="02 1001~2000대"/>
    <m/>
    <m/>
    <s v="1. 온라인 - 단과"/>
    <x v="0"/>
    <m/>
    <n v="25709000"/>
    <x v="1"/>
    <n v="7000000"/>
    <n v="4400000"/>
    <n v="44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4400000"/>
    <m/>
    <m/>
    <m/>
    <m/>
    <m/>
    <m/>
    <m/>
    <m/>
    <m/>
    <s v="PASS"/>
  </r>
  <r>
    <s v="기업교육2팀"/>
    <x v="4"/>
    <s v="한독"/>
    <n v="497"/>
    <s v="02 1001~2000대"/>
    <m/>
    <m/>
    <s v="3. 온라인 - 마이크로러닝"/>
    <x v="9"/>
    <m/>
    <n v="22000000"/>
    <x v="1"/>
    <n v="20000000"/>
    <n v="22600000"/>
    <n v="22600000"/>
    <n v="0"/>
    <m/>
    <m/>
    <m/>
    <m/>
    <m/>
    <m/>
    <m/>
    <m/>
    <m/>
    <n v="22600000"/>
    <n v="226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0"/>
    <m/>
    <m/>
    <m/>
    <m/>
    <m/>
    <m/>
    <m/>
    <m/>
    <m/>
    <s v="PASS"/>
  </r>
  <r>
    <s v="기업교육2팀"/>
    <x v="4"/>
    <s v="한독"/>
    <n v="497"/>
    <s v="02 1001~2000대"/>
    <m/>
    <m/>
    <s v="6. 하이브리드러닝 - 집합형"/>
    <x v="2"/>
    <n v="3600000"/>
    <n v="136000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</r>
  <r>
    <s v="기업교육2팀"/>
    <x v="5"/>
    <s v="국방과학기술연구소"/>
    <n v="52143"/>
    <s v="05 공공"/>
    <m/>
    <m/>
    <m/>
    <x v="2"/>
    <m/>
    <n v="0"/>
    <x v="0"/>
    <n v="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m/>
    <m/>
    <m/>
    <m/>
    <m/>
    <m/>
  </r>
  <r>
    <s v="기업교육2팀"/>
    <x v="5"/>
    <s v="금강공업_서울사무소"/>
    <n v="331"/>
    <s v="02 1001~2000대"/>
    <s v="01 수성"/>
    <s v="03 휴넷 LMS"/>
    <s v="통합위탁"/>
    <x v="1"/>
    <n v="22819140"/>
    <n v="98547800"/>
    <x v="2"/>
    <n v="100000000"/>
    <n v="52000000"/>
    <n v="60000000"/>
    <n v="-8000000"/>
    <n v="8000000"/>
    <n v="8000000"/>
    <m/>
    <m/>
    <n v="8000000"/>
    <m/>
    <m/>
    <m/>
    <n v="8000000"/>
    <m/>
    <m/>
    <m/>
    <n v="8000000"/>
    <m/>
    <m/>
    <m/>
    <n v="8000000"/>
    <m/>
    <m/>
    <m/>
    <n v="8000000"/>
    <m/>
    <m/>
    <m/>
    <n v="8000000"/>
    <n v="8000000"/>
    <m/>
    <m/>
    <n v="8000000"/>
    <n v="8000000"/>
    <m/>
    <m/>
    <n v="9000000"/>
    <n v="9000000"/>
    <m/>
    <m/>
    <n v="9000000"/>
    <n v="9000000"/>
    <m/>
    <m/>
    <n v="9000000"/>
    <n v="9000000"/>
    <m/>
    <m/>
    <n v="9000000"/>
    <n v="9000000"/>
    <m/>
    <m/>
    <m/>
    <m/>
    <m/>
    <m/>
  </r>
  <r>
    <s v="기업교육2팀"/>
    <x v="5"/>
    <s v="금호건설"/>
    <n v="41763"/>
    <s v="01 1~1000대"/>
    <m/>
    <m/>
    <s v="6. 하이브리드러닝 - 집합형"/>
    <x v="2"/>
    <n v="2000000"/>
    <n v="0"/>
    <x v="0"/>
    <n v="2000000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금호석유화학"/>
    <n v="3752"/>
    <s v="01 1~1000대"/>
    <m/>
    <m/>
    <s v="통합위탁"/>
    <x v="1"/>
    <n v="565697890"/>
    <n v="570735080"/>
    <x v="1"/>
    <n v="600000000"/>
    <n v="695469000"/>
    <n v="695469000"/>
    <n v="0"/>
    <n v="50000000"/>
    <n v="50000000"/>
    <n v="29357800"/>
    <s v="연초 수강신청 감소/IDP수립기간 1,2월)"/>
    <n v="50000000"/>
    <n v="34794000"/>
    <n v="40922000"/>
    <m/>
    <n v="50000000"/>
    <n v="107085100"/>
    <n v="107085100"/>
    <s v="월별 예상액 수정"/>
    <n v="50000000"/>
    <n v="108428500"/>
    <n v="109098500"/>
    <m/>
    <n v="50000000"/>
    <n v="104797000"/>
    <n v="106142000"/>
    <m/>
    <n v="50000000"/>
    <n v="77863600"/>
    <m/>
    <m/>
    <n v="50000000"/>
    <n v="40000000"/>
    <m/>
    <m/>
    <n v="50000000"/>
    <n v="40000000"/>
    <m/>
    <m/>
    <n v="50000000"/>
    <n v="40000000"/>
    <m/>
    <m/>
    <n v="50000000"/>
    <n v="40000000"/>
    <m/>
    <m/>
    <n v="50000000"/>
    <n v="35000000"/>
    <m/>
    <m/>
    <n v="50000000"/>
    <n v="30000000"/>
    <m/>
    <m/>
    <m/>
    <m/>
    <m/>
    <s v="PASS"/>
  </r>
  <r>
    <s v="기업교육2팀"/>
    <x v="5"/>
    <s v="금호석유화학"/>
    <n v="3752"/>
    <s v="01 1~1000대"/>
    <m/>
    <m/>
    <s v="6. 하이브리드러닝 - 집합형"/>
    <x v="2"/>
    <m/>
    <n v="11000000"/>
    <x v="1"/>
    <n v="10000000"/>
    <n v="16770700"/>
    <n v="16770700"/>
    <n v="0"/>
    <m/>
    <m/>
    <m/>
    <m/>
    <m/>
    <m/>
    <m/>
    <m/>
    <n v="2500000"/>
    <m/>
    <m/>
    <m/>
    <m/>
    <m/>
    <n v="2000000"/>
    <m/>
    <m/>
    <m/>
    <m/>
    <m/>
    <n v="2500000"/>
    <n v="147707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5"/>
    <s v="다이닝브랜즈그룹"/>
    <n v="15966"/>
    <s v="01 1~1000대"/>
    <s v="01 수성"/>
    <s v="03 휴넷 LMS"/>
    <s v="2. 온라인 - 법정"/>
    <x v="6"/>
    <n v="11350000"/>
    <n v="16355000"/>
    <x v="4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대구광역시교육연수원"/>
    <n v="46245"/>
    <s v="05 공공"/>
    <s v="01 수성"/>
    <s v="01 자체 LMS"/>
    <s v="11. 컨텐츠 - 컨텐츠 임대/판매"/>
    <x v="5"/>
    <n v="135000000"/>
    <n v="0"/>
    <x v="2"/>
    <n v="13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n v="130000000"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대구광역시교육연수원"/>
    <n v="46245"/>
    <s v="05 공공"/>
    <m/>
    <m/>
    <s v="6. 하이브리드러닝 - 집합형"/>
    <x v="2"/>
    <m/>
    <n v="200000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로버트보쉬코리아"/>
    <n v="8769"/>
    <s v="01 1~1000대"/>
    <m/>
    <m/>
    <s v="1. 온라인 - 단과"/>
    <x v="6"/>
    <n v="13332000"/>
    <n v="20692000"/>
    <x v="1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서울시설공단"/>
    <n v="6720"/>
    <s v="05 공공"/>
    <s v="01 수성"/>
    <s v="03 휴넷 LMS"/>
    <s v="통합위탁"/>
    <x v="1"/>
    <n v="199987610"/>
    <n v="0"/>
    <x v="1"/>
    <n v="200000000"/>
    <n v="189608240"/>
    <n v="189608240"/>
    <n v="0"/>
    <n v="50000000"/>
    <m/>
    <m/>
    <m/>
    <m/>
    <m/>
    <m/>
    <m/>
    <m/>
    <n v="0"/>
    <m/>
    <m/>
    <n v="50000000"/>
    <m/>
    <m/>
    <m/>
    <m/>
    <m/>
    <m/>
    <m/>
    <m/>
    <n v="0"/>
    <m/>
    <m/>
    <n v="50000000"/>
    <n v="60000000"/>
    <m/>
    <m/>
    <m/>
    <m/>
    <m/>
    <m/>
    <m/>
    <n v="0"/>
    <m/>
    <m/>
    <n v="50000000"/>
    <n v="50000000"/>
    <m/>
    <m/>
    <m/>
    <m/>
    <m/>
    <m/>
    <m/>
    <n v="79608240"/>
    <m/>
    <m/>
    <m/>
    <m/>
    <m/>
    <m/>
  </r>
  <r>
    <s v="기업교육2팀"/>
    <x v="5"/>
    <s v="서울시설공단"/>
    <n v="6720"/>
    <s v="05 공공"/>
    <s v="01 수성"/>
    <s v="03 휴넷 LMS"/>
    <s v="6. 하이브리드러닝 - 집합형"/>
    <x v="2"/>
    <n v="7118182"/>
    <n v="1618182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시흥시청(평생교육원)"/>
    <n v="46973"/>
    <s v="05 공공"/>
    <s v="01 수성"/>
    <s v="03 휴넷 LMS"/>
    <s v="10. 컨텐츠 - 컨텐츠 개발"/>
    <x v="3"/>
    <m/>
    <n v="114000000"/>
    <x v="2"/>
    <n v="120000000"/>
    <n v="120000000"/>
    <n v="12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5"/>
    <s v="시흥시청(평생교육원)"/>
    <n v="46973"/>
    <s v="05 공공"/>
    <m/>
    <m/>
    <m/>
    <x v="20"/>
    <m/>
    <n v="0"/>
    <x v="2"/>
    <n v="170000000"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0"/>
    <n v="170000000"/>
    <m/>
    <m/>
    <m/>
    <m/>
    <m/>
    <m/>
  </r>
  <r>
    <s v="기업교육2팀"/>
    <x v="5"/>
    <s v="신성델타테크"/>
    <n v="12161"/>
    <s v="01 1~1000대"/>
    <m/>
    <m/>
    <s v="1. 온라인 - 단과"/>
    <x v="0"/>
    <n v="16155960"/>
    <n v="50931780"/>
    <x v="1"/>
    <n v="36000000"/>
    <n v="23652600"/>
    <n v="23652600"/>
    <n v="0"/>
    <n v="3000000"/>
    <n v="3000000"/>
    <n v="0"/>
    <s v="자율수강 미진행 기업"/>
    <n v="3000000"/>
    <n v="4081000"/>
    <n v="4081000"/>
    <m/>
    <n v="3000000"/>
    <n v="2021000"/>
    <n v="2021000"/>
    <s v="자율수강 미진행 기업"/>
    <n v="3000000"/>
    <n v="1540000"/>
    <n v="1540000"/>
    <s v="월별 예상액 조정"/>
    <n v="3000000"/>
    <n v="910800"/>
    <n v="910800"/>
    <m/>
    <n v="3000000"/>
    <n v="998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아주대 경영대학원"/>
    <n v="14432"/>
    <m/>
    <m/>
    <m/>
    <s v="10. 컨텐츠 - 컨텐츠 개발"/>
    <x v="3"/>
    <m/>
    <n v="49636364"/>
    <x v="1"/>
    <n v="66181818.18181818"/>
    <n v="55522727"/>
    <n v="55522727"/>
    <n v="0"/>
    <n v="66181818.18181818"/>
    <n v="66181818.18181818"/>
    <n v="0"/>
    <s v="2월 계산서로 발행"/>
    <m/>
    <n v="55522527"/>
    <n v="55522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아주대 경영대학원"/>
    <n v="14432"/>
    <s v="04 3000대 이후"/>
    <m/>
    <s v="03 휴넷 LMS"/>
    <s v="23. 운영 - BPO"/>
    <x v="20"/>
    <m/>
    <n v="518104681"/>
    <x v="1"/>
    <n v="597272727.27272725"/>
    <n v="599447727.63636398"/>
    <n v="599447727.63636398"/>
    <n v="0"/>
    <m/>
    <m/>
    <n v="2168040"/>
    <m/>
    <n v="343636363.63636363"/>
    <n v="343636363.63636363"/>
    <n v="343643323.63636398"/>
    <s v="운영매출 추가"/>
    <m/>
    <n v="253636363.63636363"/>
    <n v="253636364"/>
    <m/>
    <n v="253636363.63636363"/>
    <m/>
    <m/>
    <s v="25년 위탄운영 계약 선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m/>
    <x v="6"/>
    <m/>
    <n v="5505000"/>
    <x v="1"/>
    <n v="0"/>
    <n v="192000"/>
    <n v="192000"/>
    <n v="0"/>
    <m/>
    <m/>
    <n v="19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s v="6. 하이브리드러닝 - 집합형"/>
    <x v="4"/>
    <m/>
    <n v="40650000"/>
    <x v="1"/>
    <n v="0"/>
    <n v="66700000"/>
    <n v="66700000"/>
    <n v="0"/>
    <m/>
    <m/>
    <m/>
    <m/>
    <m/>
    <m/>
    <m/>
    <m/>
    <m/>
    <n v="8000000"/>
    <n v="8100000"/>
    <m/>
    <m/>
    <n v="10950000"/>
    <n v="10950000"/>
    <m/>
    <m/>
    <n v="11150000"/>
    <n v="11150000"/>
    <m/>
    <m/>
    <n v="5000000"/>
    <m/>
    <m/>
    <m/>
    <n v="5000000"/>
    <m/>
    <m/>
    <m/>
    <n v="5000000"/>
    <m/>
    <m/>
    <m/>
    <n v="5000000"/>
    <m/>
    <m/>
    <m/>
    <n v="5000000"/>
    <m/>
    <m/>
    <m/>
    <n v="5500000"/>
    <m/>
    <m/>
    <m/>
    <n v="6000000"/>
    <m/>
    <m/>
    <m/>
    <m/>
    <m/>
    <m/>
  </r>
  <r>
    <s v="기업교육2팀"/>
    <x v="5"/>
    <s v="주식회사 동성케미컬(지주)"/>
    <n v="11618"/>
    <s v="01 1~1000대"/>
    <s v="01 수성"/>
    <s v="03 휴넷 LMS"/>
    <s v="1. 온라인 - 단과"/>
    <x v="0"/>
    <n v="21220520"/>
    <n v="12170345"/>
    <x v="1"/>
    <n v="10000000"/>
    <n v="4253000"/>
    <n v="4253000"/>
    <n v="0"/>
    <n v="800000"/>
    <n v="800000"/>
    <n v="575000"/>
    <m/>
    <n v="800000"/>
    <n v="841000"/>
    <n v="841000"/>
    <m/>
    <n v="800000"/>
    <n v="157000"/>
    <n v="157000"/>
    <m/>
    <n v="800000"/>
    <n v="120000"/>
    <n v="120000"/>
    <m/>
    <n v="800000"/>
    <m/>
    <m/>
    <m/>
    <n v="800000"/>
    <n v="160000"/>
    <m/>
    <m/>
    <n v="800000"/>
    <n v="800000"/>
    <m/>
    <m/>
    <n v="800000"/>
    <n v="800000"/>
    <m/>
    <m/>
    <n v="800000"/>
    <n v="800000"/>
    <m/>
    <m/>
    <n v="1000000"/>
    <m/>
    <m/>
    <m/>
    <n v="1000000"/>
    <m/>
    <m/>
    <m/>
    <n v="800000"/>
    <m/>
    <m/>
    <m/>
    <m/>
    <m/>
    <m/>
    <s v="PASS"/>
  </r>
  <r>
    <s v="기업교육2팀"/>
    <x v="5"/>
    <s v="태경산업"/>
    <n v="8728"/>
    <s v="02 1001~2000대"/>
    <s v="01 수성"/>
    <s v="03 휴넷 LMS"/>
    <s v="통합위탁"/>
    <x v="1"/>
    <n v="42894392"/>
    <n v="66444782"/>
    <x v="1"/>
    <n v="40000000"/>
    <n v="55356600"/>
    <n v="55356600"/>
    <n v="0"/>
    <n v="2000000"/>
    <n v="2000000"/>
    <n v="1069500"/>
    <s v="연초 수강신청 감소"/>
    <n v="2000000"/>
    <n v="712900"/>
    <n v="1612900"/>
    <s v="사내촬영과정 추가"/>
    <n v="3000000"/>
    <n v="19026400"/>
    <n v="19026400"/>
    <m/>
    <n v="10000000"/>
    <n v="12982200"/>
    <n v="13982200"/>
    <m/>
    <n v="3000000"/>
    <n v="3707500"/>
    <n v="3707500"/>
    <m/>
    <n v="3000000"/>
    <n v="1958100"/>
    <m/>
    <m/>
    <n v="2000000"/>
    <n v="2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한국농수산식품유통공사"/>
    <n v="2826"/>
    <s v="05 공공"/>
    <s v="01 수성"/>
    <s v="03 휴넷 LMS"/>
    <s v="2. 온라인 - 법정"/>
    <x v="6"/>
    <n v="23380000"/>
    <n v="21520000"/>
    <x v="1"/>
    <n v="19000000"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000000"/>
    <n v="19000000"/>
    <m/>
    <m/>
    <m/>
    <m/>
    <m/>
    <s v="PASS"/>
  </r>
  <r>
    <s v="기업교육2팀"/>
    <x v="5"/>
    <s v="한국농수산식품유통공사"/>
    <n v="2826"/>
    <s v="05 공공"/>
    <m/>
    <m/>
    <s v="2. 온라인 - 법정"/>
    <x v="6"/>
    <n v="111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농수산식품유통공사(유통교육원)"/>
    <n v="60578"/>
    <s v="05 공공"/>
    <m/>
    <m/>
    <s v="2. 온라인 - 법정"/>
    <x v="6"/>
    <m/>
    <n v="2430000"/>
    <x v="7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5"/>
    <s v="한국농수산식품유통공사(인턴십용)"/>
    <n v="45462"/>
    <s v="05 공공"/>
    <m/>
    <m/>
    <s v="2. 온라인 - 법정"/>
    <x v="6"/>
    <m/>
    <n v="16363637"/>
    <x v="2"/>
    <n v="16000000"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00"/>
    <n v="16000000"/>
    <m/>
    <m/>
    <m/>
    <m/>
    <m/>
    <m/>
  </r>
  <r>
    <s v="기업교육2팀"/>
    <x v="5"/>
    <s v="한국보건복지인재원"/>
    <n v="7997"/>
    <s v="05 공공"/>
    <m/>
    <m/>
    <s v="36. 기타 - 기타"/>
    <x v="5"/>
    <n v="20800000"/>
    <n v="12800000"/>
    <x v="1"/>
    <n v="10000000"/>
    <n v="4400000"/>
    <n v="4400000"/>
    <n v="0"/>
    <m/>
    <m/>
    <m/>
    <m/>
    <m/>
    <m/>
    <m/>
    <m/>
    <m/>
    <m/>
    <m/>
    <m/>
    <m/>
    <m/>
    <m/>
    <m/>
    <m/>
    <n v="4400000"/>
    <n v="4400000"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23. 운영 - BPO"/>
    <x v="5"/>
    <n v="226363636"/>
    <n v="225454545"/>
    <x v="4"/>
    <n v="100000000"/>
    <n v="0"/>
    <n v="0"/>
    <n v="0"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12. 컨텐츠 - 컨설팅"/>
    <x v="18"/>
    <n v="11309090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s v="01 수성"/>
    <s v="03 휴넷 LMS"/>
    <s v="통합위탁"/>
    <x v="1"/>
    <n v="78177080"/>
    <n v="87114200"/>
    <x v="1"/>
    <n v="70000000"/>
    <n v="70180000"/>
    <n v="70180000"/>
    <n v="0"/>
    <n v="10000000"/>
    <n v="10000000"/>
    <n v="0"/>
    <s v="25년 계약 미진행"/>
    <m/>
    <m/>
    <m/>
    <m/>
    <m/>
    <m/>
    <m/>
    <m/>
    <m/>
    <m/>
    <m/>
    <m/>
    <m/>
    <m/>
    <n v="180000"/>
    <m/>
    <n v="20000000"/>
    <n v="30000000"/>
    <m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s v="PASS"/>
  </r>
  <r>
    <s v="기업교육2팀"/>
    <x v="5"/>
    <s v="한국보건산업진흥원"/>
    <n v="10182"/>
    <s v="05 공공"/>
    <s v="01 수성"/>
    <s v="03 휴넷 LMS"/>
    <s v="6. 하이브리드러닝 - 집합형"/>
    <x v="2"/>
    <n v="6600000"/>
    <n v="27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m/>
    <m/>
    <m/>
    <x v="2"/>
    <m/>
    <n v="0"/>
    <x v="0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5"/>
    <s v="한국저작권보호원"/>
    <n v="26317"/>
    <s v="05 공공"/>
    <s v="03 신규"/>
    <s v="03 휴넷 LMS"/>
    <s v="1. 온라인 - 단과"/>
    <x v="0"/>
    <n v="110000000"/>
    <n v="90000000"/>
    <x v="1"/>
    <n v="100000000"/>
    <n v="120000000"/>
    <n v="120000000"/>
    <n v="0"/>
    <m/>
    <m/>
    <m/>
    <m/>
    <m/>
    <m/>
    <m/>
    <m/>
    <m/>
    <m/>
    <m/>
    <m/>
    <m/>
    <m/>
    <m/>
    <m/>
    <n v="80000000"/>
    <m/>
    <m/>
    <m/>
    <m/>
    <n v="80000000"/>
    <m/>
    <m/>
    <m/>
    <m/>
    <m/>
    <m/>
    <m/>
    <m/>
    <m/>
    <m/>
    <m/>
    <m/>
    <m/>
    <m/>
    <m/>
    <m/>
    <m/>
    <m/>
    <m/>
    <m/>
    <m/>
    <m/>
    <n v="20000000"/>
    <n v="40000000"/>
    <m/>
    <m/>
    <m/>
    <m/>
    <m/>
    <m/>
  </r>
  <r>
    <s v="기업교육2팀"/>
    <x v="5"/>
    <s v="한국환경정책평가연구원"/>
    <n v="10648"/>
    <s v="05 공공"/>
    <m/>
    <m/>
    <m/>
    <x v="3"/>
    <m/>
    <n v="0"/>
    <x v="0"/>
    <n v="130000000"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130000000"/>
    <m/>
    <m/>
    <m/>
    <m/>
    <m/>
    <m/>
    <m/>
    <m/>
    <m/>
    <m/>
    <m/>
    <m/>
    <m/>
    <m/>
    <m/>
    <m/>
    <m/>
    <m/>
  </r>
  <r>
    <s v="기업교육2팀"/>
    <x v="5"/>
    <s v="한양대학교"/>
    <n v="558"/>
    <s v=""/>
    <s v="01 수성"/>
    <s v="03 휴넷 LMS"/>
    <s v="1. 온라인 - 단과"/>
    <x v="0"/>
    <n v="3363500"/>
    <n v="3942000"/>
    <x v="1"/>
    <n v="2000000"/>
    <n v="2630000"/>
    <n v="2630000"/>
    <n v="0"/>
    <m/>
    <m/>
    <n v="20000"/>
    <m/>
    <m/>
    <m/>
    <m/>
    <m/>
    <m/>
    <m/>
    <m/>
    <m/>
    <m/>
    <n v="350000"/>
    <n v="350000"/>
    <m/>
    <m/>
    <n v="40000"/>
    <n v="670000"/>
    <m/>
    <n v="1000000"/>
    <n v="590000"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s v="PASS"/>
  </r>
  <r>
    <s v="기업교육2팀"/>
    <x v="5"/>
    <s v="한양대학교"/>
    <n v="558"/>
    <m/>
    <m/>
    <m/>
    <s v="11. 컨텐츠 - 컨텐츠 임대/판매"/>
    <x v="5"/>
    <n v="6909091"/>
    <n v="24683636"/>
    <x v="1"/>
    <n v="11500000"/>
    <n v="11500000"/>
    <n v="11500000"/>
    <n v="0"/>
    <n v="11500000"/>
    <n v="11500000"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한화엔진"/>
    <n v="30380"/>
    <s v="02 1001~2000대"/>
    <s v="01 수성"/>
    <s v="03 휴넷 LMS"/>
    <s v="1. 온라인 - 단과"/>
    <x v="0"/>
    <n v="27011300"/>
    <n v="26376482"/>
    <x v="1"/>
    <n v="30000000"/>
    <n v="29370000"/>
    <n v="29370000"/>
    <n v="0"/>
    <n v="2000000"/>
    <n v="2000000"/>
    <n v="0"/>
    <m/>
    <n v="2000000"/>
    <n v="1674800"/>
    <n v="4099300"/>
    <s v="1,2월분 동시 발행"/>
    <n v="2000000"/>
    <n v="1730260"/>
    <n v="1730260"/>
    <m/>
    <n v="2000000"/>
    <n v="1755560"/>
    <n v="1755560"/>
    <m/>
    <n v="2000000"/>
    <n v="3314600"/>
    <n v="2684600"/>
    <m/>
    <n v="2000000"/>
    <n v="213316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1967120"/>
    <m/>
    <m/>
    <m/>
    <m/>
    <m/>
    <s v="PASS"/>
  </r>
  <r>
    <s v="기업교육2팀"/>
    <x v="5"/>
    <s v="한화엔진"/>
    <n v="30380"/>
    <m/>
    <m/>
    <m/>
    <s v="10. 컨텐츠 - 컨텐츠 개발"/>
    <x v="3"/>
    <m/>
    <n v="4000000"/>
    <x v="0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넷비전"/>
    <n v="40962"/>
    <m/>
    <s v="01 수성"/>
    <s v="02 경쟁사 LMS"/>
    <s v="3. 온라인 - 마이크로러닝"/>
    <x v="9"/>
    <n v="2160500"/>
    <n v="2610000"/>
    <x v="1"/>
    <n v="2500000"/>
    <n v="2088000"/>
    <n v="2088000"/>
    <n v="0"/>
    <m/>
    <m/>
    <m/>
    <m/>
    <n v="500000"/>
    <n v="500000"/>
    <m/>
    <m/>
    <m/>
    <n v="500000"/>
    <m/>
    <m/>
    <n v="500000"/>
    <n v="2088000"/>
    <n v="2088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GS넷비전"/>
    <n v="40962"/>
    <m/>
    <m/>
    <m/>
    <s v="26. 정부지원사업 - HRDFLEX"/>
    <x v="16"/>
    <n v="2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리테일"/>
    <n v="3728"/>
    <s v="01 1~1000대"/>
    <s v="03 신규"/>
    <s v="03 휴넷 LMS"/>
    <s v="3. 온라인 - 마이크로러닝"/>
    <x v="9"/>
    <n v="133320500"/>
    <n v="134776000"/>
    <x v="1"/>
    <n v="130000000"/>
    <n v="133422000"/>
    <n v="133422000"/>
    <n v="0"/>
    <m/>
    <m/>
    <m/>
    <m/>
    <n v="32500000"/>
    <n v="32500000"/>
    <m/>
    <m/>
    <m/>
    <n v="32500000"/>
    <m/>
    <m/>
    <m/>
    <n v="32500000"/>
    <n v="32500000"/>
    <m/>
    <n v="32500000"/>
    <n v="35922000"/>
    <m/>
    <m/>
    <m/>
    <n v="35922000"/>
    <m/>
    <m/>
    <m/>
    <m/>
    <m/>
    <m/>
    <n v="32500000"/>
    <n v="32500000"/>
    <m/>
    <m/>
    <m/>
    <m/>
    <m/>
    <m/>
    <m/>
    <m/>
    <m/>
    <m/>
    <n v="32500000"/>
    <n v="32500000"/>
    <m/>
    <m/>
    <m/>
    <m/>
    <m/>
    <m/>
    <m/>
    <m/>
    <m/>
    <s v=" PASS "/>
  </r>
  <r>
    <s v="기업교육2팀"/>
    <x v="6"/>
    <s v="GS리테일"/>
    <n v="3728"/>
    <m/>
    <m/>
    <m/>
    <s v="11. 컨텐츠 - 컨텐츠 임대/판매"/>
    <x v="5"/>
    <n v="3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에너지"/>
    <n v="16184"/>
    <s v="01 1~1000대"/>
    <s v="01 수성"/>
    <s v="03 휴넷 LMS"/>
    <s v="1. 온라인 - 단과"/>
    <x v="0"/>
    <n v="30167000"/>
    <n v="48861400"/>
    <x v="1"/>
    <n v="47000000"/>
    <n v="45563300"/>
    <n v="45563300"/>
    <n v="0"/>
    <m/>
    <m/>
    <m/>
    <m/>
    <m/>
    <m/>
    <m/>
    <m/>
    <n v="9000000"/>
    <n v="9000000"/>
    <n v="8563300"/>
    <m/>
    <m/>
    <m/>
    <m/>
    <m/>
    <m/>
    <m/>
    <m/>
    <m/>
    <n v="9000000"/>
    <n v="8000000"/>
    <m/>
    <m/>
    <m/>
    <m/>
    <m/>
    <m/>
    <m/>
    <m/>
    <m/>
    <m/>
    <n v="9000000"/>
    <n v="9000000"/>
    <m/>
    <m/>
    <m/>
    <m/>
    <m/>
    <m/>
    <m/>
    <m/>
    <m/>
    <m/>
    <n v="20000000"/>
    <n v="20000000"/>
    <m/>
    <m/>
    <m/>
    <m/>
    <m/>
    <s v=" PASS "/>
  </r>
  <r>
    <s v="기업교육2팀"/>
    <x v="6"/>
    <s v="GS에너지"/>
    <n v="16184"/>
    <s v="01 1~1000대"/>
    <s v="01 수성"/>
    <s v="03 휴넷 LMS"/>
    <s v="2. 온라인 - 법정"/>
    <x v="6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KB금융지주(케이비데이타시스템)"/>
    <n v="61312"/>
    <m/>
    <m/>
    <m/>
    <m/>
    <x v="1"/>
    <m/>
    <n v="0"/>
    <x v="1"/>
    <n v="30000000"/>
    <n v="31437910"/>
    <n v="31437910"/>
    <n v="0"/>
    <n v="2000000"/>
    <n v="1700000"/>
    <m/>
    <m/>
    <n v="2000000"/>
    <n v="2842510"/>
    <n v="2842510"/>
    <m/>
    <n v="2000000"/>
    <n v="1589300"/>
    <n v="1589300"/>
    <m/>
    <n v="3000000"/>
    <n v="1672210"/>
    <n v="1672210"/>
    <m/>
    <n v="3000000"/>
    <n v="3237890"/>
    <n v="3237890"/>
    <m/>
    <n v="3000000"/>
    <n v="1500000"/>
    <m/>
    <m/>
    <n v="2000000"/>
    <n v="13096000"/>
    <m/>
    <m/>
    <n v="3000000"/>
    <n v="1500000"/>
    <m/>
    <m/>
    <n v="2000000"/>
    <n v="1500000"/>
    <m/>
    <m/>
    <n v="3000000"/>
    <n v="1500000"/>
    <m/>
    <m/>
    <n v="3000000"/>
    <n v="1500000"/>
    <m/>
    <m/>
    <n v="2000000"/>
    <n v="1500000"/>
    <m/>
    <m/>
    <m/>
    <m/>
    <m/>
    <s v=" PASS "/>
  </r>
  <r>
    <s v="기업교육2팀"/>
    <x v="6"/>
    <s v="KB라이프생명"/>
    <n v="54545"/>
    <s v="01 1~1000대"/>
    <s v="01 수성"/>
    <m/>
    <m/>
    <x v="0"/>
    <m/>
    <n v="0"/>
    <x v="1"/>
    <n v="0"/>
    <n v="6635100"/>
    <n v="6635100"/>
    <n v="0"/>
    <m/>
    <m/>
    <m/>
    <m/>
    <m/>
    <m/>
    <m/>
    <m/>
    <m/>
    <m/>
    <m/>
    <m/>
    <m/>
    <m/>
    <m/>
    <m/>
    <m/>
    <m/>
    <m/>
    <m/>
    <m/>
    <n v="3635100"/>
    <m/>
    <m/>
    <m/>
    <n v="500000"/>
    <m/>
    <m/>
    <m/>
    <n v="500000"/>
    <m/>
    <m/>
    <m/>
    <n v="500000"/>
    <m/>
    <m/>
    <m/>
    <n v="500000"/>
    <m/>
    <m/>
    <m/>
    <n v="500000"/>
    <m/>
    <m/>
    <m/>
    <n v="500000"/>
    <m/>
    <m/>
    <m/>
    <m/>
    <m/>
    <m/>
  </r>
  <r>
    <s v="기업교육2팀"/>
    <x v="6"/>
    <s v="KB부동산신탁"/>
    <n v="61309"/>
    <m/>
    <m/>
    <m/>
    <m/>
    <x v="0"/>
    <m/>
    <m/>
    <x v="1"/>
    <n v="0"/>
    <n v="756000"/>
    <n v="756000"/>
    <n v="0"/>
    <m/>
    <m/>
    <m/>
    <m/>
    <m/>
    <m/>
    <m/>
    <m/>
    <m/>
    <m/>
    <m/>
    <m/>
    <m/>
    <m/>
    <m/>
    <m/>
    <m/>
    <n v="756000"/>
    <n v="7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B캐피탈"/>
    <n v="61308"/>
    <s v="01 1~1000대"/>
    <m/>
    <m/>
    <m/>
    <x v="1"/>
    <m/>
    <m/>
    <x v="1"/>
    <n v="8000000"/>
    <n v="23977800"/>
    <n v="23977800"/>
    <n v="0"/>
    <m/>
    <m/>
    <m/>
    <m/>
    <m/>
    <m/>
    <m/>
    <m/>
    <m/>
    <m/>
    <m/>
    <m/>
    <m/>
    <m/>
    <m/>
    <m/>
    <n v="1000000"/>
    <n v="3007100"/>
    <n v="3007100"/>
    <m/>
    <n v="1000000"/>
    <n v="7857200"/>
    <m/>
    <m/>
    <n v="1000000"/>
    <n v="3113500"/>
    <m/>
    <m/>
    <n v="1000000"/>
    <n v="2000000"/>
    <m/>
    <m/>
    <n v="1000000"/>
    <n v="2000000"/>
    <m/>
    <m/>
    <n v="1000000"/>
    <n v="2000000"/>
    <m/>
    <m/>
    <n v="1000000"/>
    <n v="2000000"/>
    <m/>
    <m/>
    <n v="1000000"/>
    <n v="2000000"/>
    <m/>
    <m/>
    <m/>
    <m/>
    <m/>
    <m/>
  </r>
  <r>
    <s v="기업교육2팀"/>
    <x v="6"/>
    <s v="KB캐피탈"/>
    <n v="61308"/>
    <s v="01 1~1000대"/>
    <m/>
    <m/>
    <m/>
    <x v="2"/>
    <n v="0"/>
    <n v="0"/>
    <x v="1"/>
    <n v="11500000"/>
    <n v="8000000"/>
    <n v="8000000"/>
    <n v="0"/>
    <m/>
    <m/>
    <m/>
    <m/>
    <m/>
    <m/>
    <m/>
    <m/>
    <m/>
    <m/>
    <m/>
    <m/>
    <m/>
    <m/>
    <m/>
    <m/>
    <m/>
    <n v="8000000"/>
    <n v="8000000"/>
    <m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0"/>
    <n v="332837636"/>
    <n v="175410387"/>
    <x v="4"/>
    <n v="250000000"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0"/>
    <n v="250000000"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2"/>
    <m/>
    <n v="42100000"/>
    <x v="1"/>
    <n v="55000000"/>
    <n v="60363636"/>
    <n v="60363636"/>
    <n v="0"/>
    <m/>
    <m/>
    <m/>
    <m/>
    <m/>
    <m/>
    <m/>
    <m/>
    <m/>
    <m/>
    <n v="5363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000"/>
    <n v="55000000"/>
    <m/>
    <m/>
    <m/>
    <m/>
    <m/>
    <m/>
  </r>
  <r>
    <s v="기업교육2팀"/>
    <x v="6"/>
    <s v="LX 세미콘"/>
    <n v="14873"/>
    <m/>
    <m/>
    <m/>
    <s v="1. 온라인 - 단과"/>
    <x v="0"/>
    <n v="32570000"/>
    <n v="29537500"/>
    <x v="6"/>
    <n v="20000000"/>
    <n v="20000000"/>
    <n v="20000000"/>
    <n v="0"/>
    <m/>
    <m/>
    <m/>
    <m/>
    <m/>
    <m/>
    <m/>
    <m/>
    <m/>
    <m/>
    <m/>
    <m/>
    <n v="4000000"/>
    <m/>
    <m/>
    <m/>
    <m/>
    <m/>
    <m/>
    <m/>
    <m/>
    <n v="4000000"/>
    <m/>
    <m/>
    <m/>
    <m/>
    <m/>
    <m/>
    <n v="4000000"/>
    <n v="4000000"/>
    <m/>
    <m/>
    <m/>
    <m/>
    <m/>
    <m/>
    <n v="4000000"/>
    <n v="4000000"/>
    <m/>
    <m/>
    <m/>
    <m/>
    <m/>
    <m/>
    <n v="8000000"/>
    <n v="8000000"/>
    <m/>
    <m/>
    <m/>
    <m/>
    <m/>
    <m/>
  </r>
  <r>
    <s v="기업교육2팀"/>
    <x v="6"/>
    <s v="LXMDI"/>
    <n v="57120"/>
    <m/>
    <m/>
    <m/>
    <s v="1. 온라인 - 단과"/>
    <x v="0"/>
    <n v="166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m/>
    <x v="5"/>
    <n v="11569091"/>
    <n v="0"/>
    <x v="1"/>
    <n v="37000000"/>
    <n v="39222727"/>
    <n v="39222727"/>
    <n v="0"/>
    <m/>
    <n v="2445000"/>
    <n v="2222727"/>
    <m/>
    <m/>
    <m/>
    <m/>
    <m/>
    <m/>
    <n v="13000000"/>
    <m/>
    <m/>
    <m/>
    <m/>
    <m/>
    <m/>
    <m/>
    <m/>
    <m/>
    <m/>
    <m/>
    <m/>
    <m/>
    <m/>
    <m/>
    <m/>
    <m/>
    <m/>
    <n v="37000000"/>
    <n v="37000000"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s v="11. 컨텐츠 - 컨텐츠 임대/판매"/>
    <x v="5"/>
    <m/>
    <n v="36055682"/>
    <x v="2"/>
    <n v="45000000"/>
    <n v="10000000"/>
    <n v="10000000"/>
    <n v="0"/>
    <m/>
    <m/>
    <m/>
    <m/>
    <n v="6000000"/>
    <m/>
    <m/>
    <m/>
    <n v="9000000"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SK마이크로웍스 솔루션즈"/>
    <n v="55834"/>
    <s v=""/>
    <s v="03 신규"/>
    <s v="03 휴넷 LMS"/>
    <s v="통합위탁"/>
    <x v="1"/>
    <n v="12264000"/>
    <n v="20515700"/>
    <x v="1"/>
    <n v="9500000"/>
    <n v="12776800"/>
    <n v="12776800"/>
    <n v="0"/>
    <m/>
    <m/>
    <n v="1329100"/>
    <s v="RS신청 저조(월 600만원 예상매출(가망) 이나, RS신청 저조"/>
    <m/>
    <n v="155000"/>
    <n v="155000"/>
    <m/>
    <n v="500000"/>
    <n v="607100"/>
    <n v="607100"/>
    <m/>
    <n v="1000000"/>
    <n v="1891700"/>
    <n v="2443700"/>
    <m/>
    <n v="1000000"/>
    <n v="1241900"/>
    <n v="1241900"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6"/>
    <s v="SK마이크로웍스 솔루션즈"/>
    <n v="55834"/>
    <s v=""/>
    <s v="03 신규"/>
    <s v="03 휴넷 LMS"/>
    <s v="3. 온라인 - 마이크로러닝"/>
    <x v="9"/>
    <m/>
    <n v="0"/>
    <x v="1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  <m/>
    <m/>
    <m/>
    <m/>
    <m/>
    <m/>
    <m/>
    <s v=" PASS "/>
  </r>
  <r>
    <s v="기업교육2팀"/>
    <x v="6"/>
    <s v="경동나비엔"/>
    <n v="3098"/>
    <m/>
    <m/>
    <m/>
    <s v="2. 온라인 - 법정"/>
    <x v="6"/>
    <m/>
    <n v="4000000"/>
    <x v="1"/>
    <n v="5000000"/>
    <n v="4500000"/>
    <n v="4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4500000"/>
    <m/>
    <m/>
    <m/>
    <m/>
    <m/>
    <m/>
  </r>
  <r>
    <s v="기업교육2팀"/>
    <x v="6"/>
    <s v="경동나비엔"/>
    <n v="3098"/>
    <m/>
    <s v="01 수성"/>
    <s v="02 경쟁사 LMS"/>
    <s v="6. 하이브리드러닝 - 집합형"/>
    <x v="2"/>
    <m/>
    <n v="28214673"/>
    <x v="1"/>
    <n v="24000000"/>
    <n v="16000000"/>
    <n v="24000000"/>
    <n v="-8000000"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n v="8000000"/>
    <n v="8000000"/>
    <m/>
    <m/>
    <m/>
    <m/>
    <m/>
    <m/>
    <m/>
    <m/>
    <m/>
    <m/>
    <n v="8000000"/>
    <n v="8000000"/>
    <m/>
    <m/>
    <m/>
    <m/>
    <m/>
    <m/>
  </r>
  <r>
    <s v="기업교육2팀"/>
    <x v="6"/>
    <s v="귀뚜라미범양냉방"/>
    <n v="475"/>
    <m/>
    <m/>
    <m/>
    <s v="6. 하이브리드러닝 - 집합형"/>
    <x v="2"/>
    <m/>
    <n v="1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s v=""/>
    <s v="01 수성"/>
    <s v="03 휴넷 LMS"/>
    <s v="4. 하이브리드러닝 - 플립형"/>
    <x v="2"/>
    <n v="939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m/>
    <m/>
    <m/>
    <s v="26. 정부지원사업 - HRDFLEX"/>
    <x v="16"/>
    <n v="9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홀딩스"/>
    <n v="475"/>
    <s v=""/>
    <s v="01 수성"/>
    <s v="03 휴넷 LMS"/>
    <s v="통합위탁"/>
    <x v="1"/>
    <n v="47358900"/>
    <n v="53426500"/>
    <x v="1"/>
    <n v="50000000"/>
    <n v="38952500"/>
    <n v="38952500"/>
    <n v="0"/>
    <n v="4000000"/>
    <n v="4000000"/>
    <m/>
    <s v="원래 익월발행이나 12/1시작교육 12/31자로 선발행완료"/>
    <n v="4000000"/>
    <n v="3691500"/>
    <m/>
    <m/>
    <n v="4000000"/>
    <n v="4451800"/>
    <m/>
    <m/>
    <n v="4000000"/>
    <m/>
    <m/>
    <m/>
    <n v="4000000"/>
    <n v="3952500"/>
    <n v="3952500"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5000000"/>
    <n v="5000000"/>
    <m/>
    <m/>
    <n v="5000000"/>
    <n v="10000000"/>
    <m/>
    <m/>
    <m/>
    <m/>
    <m/>
    <s v=" PASS "/>
  </r>
  <r>
    <s v="기업교육2팀"/>
    <x v="6"/>
    <s v="귀뚜라미홀딩스"/>
    <n v="475"/>
    <m/>
    <m/>
    <m/>
    <s v="1. 온라인 - 단과"/>
    <x v="0"/>
    <n v="1009072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넷마블"/>
    <n v="21540"/>
    <s v=""/>
    <s v="01 수성"/>
    <s v="03 휴넷 LMS"/>
    <s v="10. 컨텐츠 - 컨텐츠 개발"/>
    <x v="3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딜라이브"/>
    <n v="6829"/>
    <s v="02 1001~2000대"/>
    <s v="01 수성"/>
    <s v="03 휴넷 LMS"/>
    <s v="통합위탁"/>
    <x v="1"/>
    <n v="133010680"/>
    <n v="159855020"/>
    <x v="1"/>
    <n v="161000000"/>
    <n v="161982315"/>
    <n v="161982315"/>
    <n v="0"/>
    <m/>
    <m/>
    <m/>
    <m/>
    <m/>
    <m/>
    <m/>
    <m/>
    <m/>
    <m/>
    <m/>
    <m/>
    <n v="40000000"/>
    <n v="40982315"/>
    <n v="40982315"/>
    <m/>
    <m/>
    <m/>
    <m/>
    <m/>
    <m/>
    <m/>
    <m/>
    <m/>
    <n v="40000000"/>
    <n v="40000000"/>
    <m/>
    <m/>
    <m/>
    <m/>
    <m/>
    <m/>
    <m/>
    <m/>
    <m/>
    <m/>
    <n v="40000000"/>
    <n v="40000000"/>
    <m/>
    <m/>
    <m/>
    <m/>
    <m/>
    <m/>
    <n v="41000000"/>
    <n v="41000000"/>
    <m/>
    <m/>
    <m/>
    <m/>
    <m/>
    <m/>
  </r>
  <r>
    <s v="기업교육2팀"/>
    <x v="6"/>
    <s v="성도이엔지"/>
    <n v="7659"/>
    <m/>
    <s v="03 신규"/>
    <m/>
    <s v="2. 온라인 - 법정"/>
    <x v="6"/>
    <m/>
    <m/>
    <x v="1"/>
    <n v="11000000"/>
    <n v="10745000"/>
    <n v="11000000"/>
    <n v="-255000"/>
    <m/>
    <m/>
    <m/>
    <m/>
    <m/>
    <m/>
    <m/>
    <m/>
    <m/>
    <m/>
    <m/>
    <m/>
    <m/>
    <m/>
    <m/>
    <m/>
    <m/>
    <m/>
    <m/>
    <m/>
    <m/>
    <m/>
    <m/>
    <m/>
    <n v="11000000"/>
    <n v="10745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m/>
    <x v="6"/>
    <n v="0"/>
    <n v="0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6"/>
    <s v="스타벅스커피 코리아"/>
    <n v="45658"/>
    <m/>
    <m/>
    <m/>
    <s v="6. 하이브리드러닝 - 집합형"/>
    <x v="2"/>
    <n v="9000000"/>
    <n v="54277818"/>
    <x v="1"/>
    <n v="34400000"/>
    <n v="40000000"/>
    <n v="40000000"/>
    <n v="0"/>
    <m/>
    <m/>
    <m/>
    <m/>
    <m/>
    <m/>
    <m/>
    <m/>
    <m/>
    <m/>
    <n v="5600000"/>
    <m/>
    <m/>
    <n v="2800000"/>
    <n v="2800000"/>
    <m/>
    <m/>
    <n v="2850000"/>
    <n v="2850000"/>
    <m/>
    <m/>
    <n v="3100000"/>
    <m/>
    <m/>
    <m/>
    <m/>
    <m/>
    <m/>
    <m/>
    <m/>
    <m/>
    <m/>
    <m/>
    <m/>
    <m/>
    <m/>
    <m/>
    <m/>
    <m/>
    <m/>
    <m/>
    <m/>
    <m/>
    <m/>
    <n v="34400000"/>
    <n v="25650000"/>
    <m/>
    <m/>
    <m/>
    <m/>
    <m/>
    <m/>
  </r>
  <r>
    <s v="기업교육2팀"/>
    <x v="6"/>
    <s v="스타벅스커피 코리아"/>
    <n v="45658"/>
    <s v="01 1~1000대"/>
    <s v="03 신규"/>
    <s v="02 경쟁사 LMS"/>
    <s v="10. 컨텐츠 - 컨텐츠 개발"/>
    <x v="3"/>
    <n v="84480000"/>
    <n v="126720000"/>
    <x v="1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s v="6. 하이브리드러닝 - 집합형"/>
    <x v="8"/>
    <m/>
    <m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m/>
    <m/>
    <m/>
    <m/>
    <m/>
  </r>
  <r>
    <s v="기업교육2팀"/>
    <x v="6"/>
    <s v="어바웃펫(gs계열사)"/>
    <n v="55846"/>
    <m/>
    <s v="01 수성"/>
    <s v="02 경쟁사 LMS"/>
    <s v="3. 온라인 - 마이크로러닝"/>
    <x v="9"/>
    <n v="2320000"/>
    <n v="2030000"/>
    <x v="1"/>
    <n v="2500000"/>
    <n v="1334000"/>
    <n v="1334000"/>
    <n v="0"/>
    <m/>
    <m/>
    <m/>
    <m/>
    <n v="500000"/>
    <n v="500000"/>
    <m/>
    <m/>
    <m/>
    <n v="500000"/>
    <m/>
    <m/>
    <n v="500000"/>
    <n v="1334000"/>
    <n v="1334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에릭슨엘지"/>
    <n v="14592"/>
    <m/>
    <m/>
    <m/>
    <m/>
    <x v="6"/>
    <m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6"/>
    <s v="에스알"/>
    <n v="22010"/>
    <s v="05 공공"/>
    <s v="01 수성"/>
    <s v="03 휴넷 LMS"/>
    <s v="1. 온라인 - 단과"/>
    <x v="0"/>
    <n v="77826404"/>
    <n v="44698567"/>
    <x v="1"/>
    <n v="80000000"/>
    <n v="80290000"/>
    <n v="80290000"/>
    <n v="0"/>
    <m/>
    <m/>
    <m/>
    <m/>
    <m/>
    <m/>
    <m/>
    <m/>
    <n v="20000000"/>
    <n v="20000000"/>
    <n v="24290000"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m/>
    <m/>
    <m/>
    <m/>
    <m/>
    <n v="20000000"/>
    <n v="16000000"/>
    <m/>
    <m/>
    <m/>
    <m/>
    <m/>
    <s v=" PASS "/>
  </r>
  <r>
    <s v="기업교육2팀"/>
    <x v="6"/>
    <s v="에스알"/>
    <n v="22010"/>
    <s v="05 공공"/>
    <s v="01 수성"/>
    <s v="03 휴넷 LMS"/>
    <s v="6. 하이브리드러닝 - 집합형"/>
    <x v="2"/>
    <m/>
    <n v="39732000"/>
    <x v="1"/>
    <n v="57000000"/>
    <n v="56909091"/>
    <n v="56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000000"/>
    <n v="56000000"/>
    <m/>
    <m/>
    <m/>
    <m/>
    <m/>
    <s v=" yet "/>
  </r>
  <r>
    <s v="기업교육2팀"/>
    <x v="6"/>
    <s v="엘엑스벤처스"/>
    <n v="58944"/>
    <m/>
    <m/>
    <m/>
    <s v="1. 온라인 - 단과"/>
    <x v="0"/>
    <n v="2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m/>
    <m/>
    <m/>
    <s v="1. 온라인 - 단과"/>
    <x v="0"/>
    <n v="14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s v="01 1~1000대"/>
    <m/>
    <m/>
    <s v="6. 하이브리드러닝 - 집합형"/>
    <x v="2"/>
    <n v="4800000"/>
    <n v="4800000"/>
    <x v="1"/>
    <n v="5000000"/>
    <n v="7680000"/>
    <n v="7680000"/>
    <n v="0"/>
    <m/>
    <m/>
    <m/>
    <m/>
    <m/>
    <m/>
    <m/>
    <m/>
    <m/>
    <m/>
    <m/>
    <m/>
    <m/>
    <m/>
    <m/>
    <m/>
    <m/>
    <m/>
    <m/>
    <m/>
    <m/>
    <n v="76800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6"/>
    <s v="엘카코리아"/>
    <n v="16818"/>
    <m/>
    <s v="01 수성"/>
    <s v="03 휴넷 LMS"/>
    <s v="2. 온라인 - 법정"/>
    <x v="6"/>
    <n v="22196000"/>
    <n v="22263000"/>
    <x v="1"/>
    <n v="40000000"/>
    <n v="64570500"/>
    <n v="64570500"/>
    <n v="0"/>
    <m/>
    <n v="14528000"/>
    <n v="15003000"/>
    <s v="윤리경영 입과 인원 변동으로 1백만원  상승"/>
    <m/>
    <m/>
    <m/>
    <m/>
    <n v="5000000"/>
    <m/>
    <n v="14355500"/>
    <m/>
    <m/>
    <m/>
    <m/>
    <m/>
    <m/>
    <n v="10212000"/>
    <n v="10212000"/>
    <m/>
    <n v="10000000"/>
    <m/>
    <m/>
    <s v=" 상반기 안전보건교육 "/>
    <m/>
    <m/>
    <m/>
    <m/>
    <m/>
    <m/>
    <m/>
    <m/>
    <m/>
    <m/>
    <m/>
    <m/>
    <m/>
    <m/>
    <m/>
    <m/>
    <m/>
    <m/>
    <m/>
    <m/>
    <n v="25000000"/>
    <n v="25000000"/>
    <m/>
    <s v="하반기 안전보건교육+법정"/>
    <m/>
    <m/>
    <m/>
    <m/>
  </r>
  <r>
    <s v="기업교육2팀"/>
    <x v="6"/>
    <s v="우아한청년들"/>
    <n v="43670"/>
    <s v="01 1~1000대"/>
    <s v="01 수성"/>
    <s v="03 휴넷 LMS"/>
    <s v="2. 온라인 - 법정"/>
    <x v="6"/>
    <n v="42195000"/>
    <n v="36965000"/>
    <x v="4"/>
    <n v="21000000"/>
    <n v="37500000"/>
    <n v="37500000"/>
    <n v="0"/>
    <m/>
    <n v="1500000"/>
    <m/>
    <m/>
    <m/>
    <m/>
    <m/>
    <m/>
    <m/>
    <m/>
    <m/>
    <m/>
    <m/>
    <m/>
    <m/>
    <m/>
    <m/>
    <m/>
    <m/>
    <m/>
    <m/>
    <n v="15000000"/>
    <m/>
    <m/>
    <m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0"/>
    <n v="15000000"/>
    <m/>
    <m/>
    <m/>
    <m/>
    <m/>
    <m/>
  </r>
  <r>
    <s v="기업교육2팀"/>
    <x v="6"/>
    <s v="우아한형제들"/>
    <n v="24279"/>
    <s v="01 1~1000대"/>
    <m/>
    <m/>
    <s v="2. 온라인 - 법정"/>
    <x v="6"/>
    <m/>
    <m/>
    <x v="1"/>
    <n v="350000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n v="3500000"/>
    <m/>
    <m/>
    <m/>
    <m/>
    <m/>
    <m/>
    <m/>
    <m/>
    <m/>
    <m/>
    <m/>
    <m/>
    <m/>
    <m/>
    <m/>
    <m/>
    <m/>
    <m/>
    <m/>
    <m/>
    <m/>
    <m/>
  </r>
  <r>
    <s v="기업교육2팀"/>
    <x v="6"/>
    <s v="우아한형제들"/>
    <n v="24279"/>
    <s v="01 1~1000대"/>
    <s v="01 수성"/>
    <s v="03 휴넷 LMS"/>
    <s v="11. 컨텐츠 - 컨텐츠 임대/판매"/>
    <x v="0"/>
    <s v=""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</r>
  <r>
    <s v="기업교육2팀"/>
    <x v="6"/>
    <s v="우아한형제들"/>
    <n v="24279"/>
    <m/>
    <m/>
    <m/>
    <s v="6. 하이브리드러닝 - 집합형"/>
    <x v="2"/>
    <m/>
    <n v="4705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통합위탁"/>
    <x v="1"/>
    <n v="82561685"/>
    <n v="92910105"/>
    <x v="1"/>
    <n v="94000000"/>
    <n v="90617750"/>
    <n v="90617750"/>
    <n v="0"/>
    <n v="5500000"/>
    <n v="5527000"/>
    <n v="6450300"/>
    <m/>
    <n v="7000000"/>
    <n v="5990750"/>
    <n v="5527000"/>
    <m/>
    <n v="7000000"/>
    <n v="7415450"/>
    <n v="5990750"/>
    <m/>
    <n v="7000000"/>
    <n v="7415450"/>
    <n v="7415450"/>
    <m/>
    <n v="10000000"/>
    <n v="8387250"/>
    <n v="8387250"/>
    <m/>
    <n v="7000000"/>
    <n v="8347000"/>
    <m/>
    <m/>
    <n v="10000000"/>
    <n v="8000000"/>
    <m/>
    <m/>
    <n v="7000000"/>
    <n v="8000000"/>
    <m/>
    <m/>
    <n v="10000000"/>
    <n v="9000000"/>
    <m/>
    <m/>
    <n v="7000000"/>
    <n v="7000000"/>
    <m/>
    <m/>
    <n v="9500000"/>
    <n v="9500000"/>
    <m/>
    <m/>
    <n v="7000000"/>
    <n v="7000000"/>
    <m/>
    <m/>
    <m/>
    <m/>
    <m/>
    <s v=" PASS "/>
  </r>
  <r>
    <s v="기업교육2팀"/>
    <x v="6"/>
    <s v="유코카캐리어스"/>
    <n v="3753"/>
    <m/>
    <m/>
    <m/>
    <s v="1. 온라인 - 단과"/>
    <x v="0"/>
    <n v="14394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2. 온라인 - 법정"/>
    <x v="6"/>
    <m/>
    <n v="17693400"/>
    <x v="2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</r>
  <r>
    <s v="기업교육2팀"/>
    <x v="6"/>
    <s v="유코카캐리어스"/>
    <n v="3753"/>
    <m/>
    <s v="03 신규"/>
    <m/>
    <s v="6. 하이브리드러닝 - 집합형"/>
    <x v="2"/>
    <m/>
    <n v="7500000"/>
    <x v="2"/>
    <n v="16000000"/>
    <n v="16000000"/>
    <n v="16000000"/>
    <n v="0"/>
    <m/>
    <m/>
    <m/>
    <m/>
    <m/>
    <m/>
    <m/>
    <m/>
    <n v="4000000"/>
    <m/>
    <m/>
    <m/>
    <m/>
    <m/>
    <m/>
    <m/>
    <m/>
    <m/>
    <m/>
    <m/>
    <n v="4000000"/>
    <m/>
    <m/>
    <m/>
    <m/>
    <n v="4000000"/>
    <m/>
    <m/>
    <m/>
    <n v="4000000"/>
    <m/>
    <m/>
    <n v="4000000"/>
    <n v="4000000"/>
    <m/>
    <m/>
    <m/>
    <m/>
    <m/>
    <m/>
    <n v="4000000"/>
    <n v="4000000"/>
    <m/>
    <m/>
    <m/>
    <m/>
    <m/>
    <m/>
    <m/>
    <m/>
    <m/>
    <m/>
  </r>
  <r>
    <s v="기업교육2팀"/>
    <x v="6"/>
    <s v="제주특별자치도개발공사"/>
    <n v="10806"/>
    <m/>
    <m/>
    <m/>
    <m/>
    <x v="1"/>
    <m/>
    <n v="0"/>
    <x v="1"/>
    <n v="320357750"/>
    <n v="300357750"/>
    <n v="300357750"/>
    <n v="0"/>
    <m/>
    <m/>
    <m/>
    <m/>
    <m/>
    <m/>
    <m/>
    <m/>
    <n v="20000000"/>
    <n v="25357750"/>
    <m/>
    <m/>
    <n v="15000000"/>
    <m/>
    <m/>
    <m/>
    <n v="20000000"/>
    <m/>
    <m/>
    <m/>
    <n v="45357750"/>
    <m/>
    <m/>
    <s v=" 분기정산 "/>
    <n v="20000000"/>
    <n v="100357750"/>
    <m/>
    <m/>
    <n v="40000000"/>
    <n v="40000000"/>
    <m/>
    <m/>
    <n v="40000000"/>
    <n v="40000000"/>
    <m/>
    <m/>
    <n v="40000000"/>
    <n v="40000000"/>
    <m/>
    <m/>
    <n v="40000000"/>
    <n v="40000000"/>
    <m/>
    <m/>
    <n v="40000000"/>
    <n v="40000000"/>
    <m/>
    <m/>
    <m/>
    <m/>
    <m/>
    <m/>
  </r>
  <r>
    <s v="기업교육2팀"/>
    <x v="6"/>
    <s v="조선호텔앤리조트"/>
    <n v="4046"/>
    <s v="02 1001~2000대"/>
    <s v="02 윈백"/>
    <s v="02 경쟁사 LMS"/>
    <s v="6. 하이브리드러닝 - 집합형"/>
    <x v="6"/>
    <s v=""/>
    <n v="0"/>
    <x v="4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6"/>
    <s v="지에스글로벌"/>
    <n v="32312"/>
    <s v="01 1~1000대"/>
    <s v="01 수성"/>
    <s v="03 휴넷 LMS"/>
    <s v="1. 온라인 - 단과"/>
    <x v="0"/>
    <n v="22045400"/>
    <n v="40668900"/>
    <x v="1"/>
    <n v="42000000"/>
    <n v="39009000"/>
    <n v="39252600"/>
    <n v="-243600"/>
    <n v="3000000"/>
    <n v="2294900"/>
    <n v="427500"/>
    <s v="2월 발행에 묶어 발행예정"/>
    <n v="3000000"/>
    <n v="5140700"/>
    <n v="5140700"/>
    <m/>
    <n v="3000000"/>
    <n v="2644100"/>
    <n v="2704100"/>
    <m/>
    <n v="3000000"/>
    <n v="2125100"/>
    <n v="2125100"/>
    <m/>
    <n v="6000000"/>
    <n v="2855200"/>
    <n v="2855200"/>
    <m/>
    <n v="6000000"/>
    <n v="7756400"/>
    <m/>
    <m/>
    <n v="3000000"/>
    <n v="4500000"/>
    <m/>
    <m/>
    <n v="3000000"/>
    <n v="2500000"/>
    <m/>
    <m/>
    <n v="3000000"/>
    <n v="2500000"/>
    <m/>
    <m/>
    <n v="3000000"/>
    <n v="2500000"/>
    <m/>
    <m/>
    <n v="3000000"/>
    <n v="3000000"/>
    <m/>
    <m/>
    <n v="3000000"/>
    <n v="3000000"/>
    <m/>
    <m/>
    <m/>
    <m/>
    <m/>
    <s v=" PASS "/>
  </r>
  <r>
    <s v="기업교육2팀"/>
    <x v="6"/>
    <s v="지에스글로벌"/>
    <n v="32312"/>
    <s v="01 1~1000대"/>
    <s v="01 수성"/>
    <s v="03 휴넷 LMS"/>
    <s v="6. 하이브리드러닝 - 집합형"/>
    <x v="2"/>
    <m/>
    <n v="2000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6"/>
    <s v="지에스네트웍스"/>
    <n v="32300"/>
    <m/>
    <s v="03 신규"/>
    <m/>
    <s v="3. 온라인 - 마이크로러닝"/>
    <x v="9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지에스파워"/>
    <n v="7194"/>
    <s v="01 1~1000대"/>
    <s v="01 수성"/>
    <s v="03 휴넷 LMS"/>
    <s v="1. 온라인 - 단과"/>
    <x v="0"/>
    <n v="6469540"/>
    <n v="0"/>
    <x v="0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</r>
  <r>
    <s v="기업교육2팀"/>
    <x v="6"/>
    <s v="코스콤"/>
    <n v="7499"/>
    <s v=""/>
    <s v="01 수성"/>
    <s v="03 휴넷 LMS"/>
    <s v="2. 온라인 - 법정"/>
    <x v="6"/>
    <n v="10296000"/>
    <n v="107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코스콤"/>
    <n v="7499"/>
    <m/>
    <m/>
    <m/>
    <m/>
    <x v="2"/>
    <m/>
    <m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  <m/>
    <m/>
    <m/>
    <m/>
  </r>
  <r>
    <s v="기업교육2팀"/>
    <x v="6"/>
    <s v="코스콤"/>
    <n v="7499"/>
    <m/>
    <m/>
    <m/>
    <m/>
    <x v="4"/>
    <m/>
    <n v="0"/>
    <x v="1"/>
    <n v="264705485"/>
    <n v="281905818"/>
    <n v="281905818"/>
    <n v="0"/>
    <m/>
    <m/>
    <m/>
    <m/>
    <m/>
    <m/>
    <m/>
    <m/>
    <m/>
    <m/>
    <m/>
    <m/>
    <m/>
    <n v="30280000"/>
    <n v="30280000"/>
    <m/>
    <m/>
    <n v="18078697"/>
    <n v="19984515"/>
    <m/>
    <m/>
    <m/>
    <m/>
    <m/>
    <m/>
    <m/>
    <m/>
    <m/>
    <m/>
    <m/>
    <m/>
    <m/>
    <m/>
    <m/>
    <m/>
    <m/>
    <m/>
    <m/>
    <m/>
    <m/>
    <m/>
    <m/>
    <m/>
    <m/>
    <n v="264705485"/>
    <n v="231641303"/>
    <m/>
    <m/>
    <m/>
    <m/>
    <m/>
    <s v=" PASS "/>
  </r>
  <r>
    <s v="기업교육2팀"/>
    <x v="6"/>
    <s v="코스콤_FLEX24"/>
    <n v="60407"/>
    <m/>
    <m/>
    <m/>
    <s v="26. 정부지원사업 - HRDFLEX"/>
    <x v="16"/>
    <m/>
    <n v="137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스콤펀드서비스"/>
    <n v="46761"/>
    <s v=""/>
    <s v="01 수성"/>
    <s v="03 휴넷 LMS"/>
    <s v="1. 온라인 - 단과"/>
    <x v="6"/>
    <n v="500000"/>
    <n v="500000"/>
    <x v="1"/>
    <n v="500000"/>
    <n v="520000"/>
    <n v="520000"/>
    <n v="0"/>
    <m/>
    <m/>
    <n v="30000"/>
    <m/>
    <m/>
    <m/>
    <m/>
    <m/>
    <m/>
    <m/>
    <n v="40000"/>
    <m/>
    <m/>
    <n v="145000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"/>
    <n v="305000"/>
    <m/>
    <m/>
    <m/>
    <m/>
    <m/>
    <m/>
  </r>
  <r>
    <s v="기업교육2팀"/>
    <x v="6"/>
    <s v="코웨이 주식회사"/>
    <n v="3940"/>
    <m/>
    <m/>
    <m/>
    <s v="1. 온라인 - 단과"/>
    <x v="0"/>
    <n v="39729076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m/>
    <m/>
    <m/>
    <s v="2. 온라인 - 법정"/>
    <x v="6"/>
    <n v="1311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s v="01 1~1000대"/>
    <m/>
    <m/>
    <s v="11. 컨텐츠 - 컨텐츠 임대/판매"/>
    <x v="5"/>
    <s v=""/>
    <n v="0"/>
    <x v="0"/>
    <n v="25000000"/>
    <n v="25000000"/>
    <n v="100000000"/>
    <n v="-7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"/>
    <n v="25000000"/>
    <m/>
    <m/>
    <m/>
    <m/>
    <m/>
    <m/>
    <m/>
    <m/>
    <m/>
    <m/>
  </r>
  <r>
    <s v="기업교육2팀"/>
    <x v="6"/>
    <s v="코웨이 주식회사"/>
    <n v="3940"/>
    <s v="01 1~1000대"/>
    <m/>
    <m/>
    <s v="6. 하이브리드러닝 - 집합형"/>
    <x v="2"/>
    <n v="10750000"/>
    <n v="0"/>
    <x v="1"/>
    <n v="93000000"/>
    <n v="93000000"/>
    <n v="90000000"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000000"/>
    <n v="93000000"/>
    <m/>
    <m/>
    <m/>
    <m/>
    <m/>
    <m/>
  </r>
  <r>
    <s v="기업교육2팀"/>
    <x v="6"/>
    <s v="코웨이 주식회사"/>
    <n v="3940"/>
    <s v="01 1~1000대"/>
    <m/>
    <m/>
    <s v="10. 컨텐츠 - 컨텐츠 개발"/>
    <x v="3"/>
    <n v="11000000"/>
    <n v="1100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</r>
  <r>
    <s v="기업교육2팀"/>
    <x v="6"/>
    <s v="코웨이 주식회사"/>
    <n v="3940"/>
    <s v="01 1~1000대"/>
    <m/>
    <m/>
    <s v="36. 기타 - 기타"/>
    <x v="18"/>
    <n v="27856000"/>
    <n v="15256000"/>
    <x v="0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6"/>
    <s v="코웨이포천공장"/>
    <n v="46632"/>
    <m/>
    <m/>
    <m/>
    <s v="6. 하이브리드러닝 - 집합형"/>
    <x v="2"/>
    <m/>
    <n v="135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평택국제자동차부두"/>
    <n v="55070"/>
    <m/>
    <m/>
    <m/>
    <s v="6. 하이브리드러닝 - 집합형"/>
    <x v="2"/>
    <m/>
    <n v="7370000"/>
    <x v="0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6"/>
    <s v="한국도로공사서비스"/>
    <n v="42558"/>
    <s v="05 공공"/>
    <m/>
    <m/>
    <s v="통합위탁"/>
    <x v="1"/>
    <n v="200195410"/>
    <n v="123632550"/>
    <x v="1"/>
    <n v="123000000"/>
    <n v="72952280"/>
    <n v="72952280"/>
    <n v="0"/>
    <m/>
    <m/>
    <m/>
    <m/>
    <m/>
    <m/>
    <m/>
    <m/>
    <n v="20000000"/>
    <n v="20000000"/>
    <m/>
    <m/>
    <n v="20000000"/>
    <m/>
    <m/>
    <m/>
    <n v="10000000"/>
    <n v="18252280"/>
    <n v="18252280"/>
    <m/>
    <n v="12000000"/>
    <n v="10000000"/>
    <m/>
    <m/>
    <n v="11000000"/>
    <n v="10000000"/>
    <m/>
    <m/>
    <n v="10000000"/>
    <n v="7000000"/>
    <m/>
    <m/>
    <n v="10000000"/>
    <n v="7000000"/>
    <m/>
    <m/>
    <n v="10000000"/>
    <n v="7000000"/>
    <m/>
    <m/>
    <n v="10000000"/>
    <n v="7000000"/>
    <m/>
    <m/>
    <n v="10000000"/>
    <n v="6700000"/>
    <m/>
    <m/>
    <m/>
    <m/>
    <m/>
    <s v=" PASS "/>
  </r>
  <r>
    <s v="기업교육2팀"/>
    <x v="6"/>
    <s v="한국도로공사서비스"/>
    <n v="42558"/>
    <s v="05 공공"/>
    <m/>
    <m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JB우리캐피탈"/>
    <n v="28575"/>
    <s v="01 1~1000대"/>
    <m/>
    <m/>
    <s v="1. 온라인 - 단과"/>
    <x v="0"/>
    <n v="4508600"/>
    <n v="3723200"/>
    <x v="2"/>
    <n v="4000000"/>
    <n v="2200000"/>
    <n v="2500000"/>
    <n v="-300000"/>
    <n v="300000"/>
    <n v="300000"/>
    <m/>
    <m/>
    <n v="300000"/>
    <m/>
    <m/>
    <m/>
    <n v="300000"/>
    <m/>
    <m/>
    <m/>
    <n v="300000"/>
    <m/>
    <m/>
    <m/>
    <n v="300000"/>
    <m/>
    <m/>
    <m/>
    <n v="300000"/>
    <m/>
    <m/>
    <m/>
    <n v="300000"/>
    <n v="300000"/>
    <m/>
    <m/>
    <n v="300000"/>
    <n v="300000"/>
    <m/>
    <m/>
    <n v="300000"/>
    <n v="300000"/>
    <m/>
    <m/>
    <n v="300000"/>
    <n v="300000"/>
    <m/>
    <m/>
    <n v="300000"/>
    <n v="300000"/>
    <m/>
    <m/>
    <n v="700000"/>
    <n v="700000"/>
    <m/>
    <m/>
    <m/>
    <m/>
    <m/>
    <m/>
  </r>
  <r>
    <s v="기업교육2팀"/>
    <x v="7"/>
    <s v="JB우리캐피탈"/>
    <n v="28575"/>
    <s v="01 1~1000대"/>
    <m/>
    <m/>
    <s v="2. 온라인 - 법정"/>
    <x v="6"/>
    <n v="17742000"/>
    <n v="19270000"/>
    <x v="2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</r>
  <r>
    <s v="기업교육2팀"/>
    <x v="7"/>
    <s v="NH-Amundi자산운용"/>
    <n v="22359"/>
    <s v="01 1~1000대"/>
    <m/>
    <m/>
    <s v="2. 온라인 - 법정"/>
    <x v="6"/>
    <n v="5790000"/>
    <n v="6000000"/>
    <x v="2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  <m/>
    <m/>
    <m/>
    <m/>
  </r>
  <r>
    <s v="기업교육2팀"/>
    <x v="7"/>
    <s v="NICE신용평가(HRD아카이브 )"/>
    <n v="63549"/>
    <m/>
    <m/>
    <m/>
    <m/>
    <x v="14"/>
    <m/>
    <m/>
    <x v="1"/>
    <n v="0"/>
    <n v="3766000"/>
    <n v="3766000"/>
    <n v="0"/>
    <m/>
    <m/>
    <m/>
    <m/>
    <m/>
    <m/>
    <m/>
    <m/>
    <m/>
    <m/>
    <m/>
    <m/>
    <m/>
    <m/>
    <m/>
    <m/>
    <m/>
    <n v="266000"/>
    <n v="266000"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</r>
  <r>
    <s v="기업교육2팀"/>
    <x v="7"/>
    <s v="SK플래닛"/>
    <n v="16016"/>
    <s v="02 1001~2000대"/>
    <m/>
    <m/>
    <s v="11. 컨텐츠 - 컨텐츠 임대/판매"/>
    <x v="5"/>
    <n v="3000000"/>
    <n v="4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국가생명윤리정책원(의료기관)"/>
    <n v="28179"/>
    <s v="05 공공"/>
    <s v="01 수성"/>
    <s v="03 휴넷 LMS"/>
    <s v="10. 컨텐츠 - 컨텐츠 개발"/>
    <x v="3"/>
    <n v="47025000"/>
    <n v="90909091"/>
    <x v="1"/>
    <n v="100000000"/>
    <n v="90909091"/>
    <n v="90909091"/>
    <n v="0"/>
    <m/>
    <n v="54545455"/>
    <n v="54545455"/>
    <s v="선금 계약금의 60% 발행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6363636"/>
    <m/>
    <m/>
    <m/>
    <m/>
    <m/>
    <s v="PASS"/>
  </r>
  <r>
    <s v="기업교육2팀"/>
    <x v="7"/>
    <s v="국가생명윤리정책원(의료기관)"/>
    <n v="28179"/>
    <s v="05 공공"/>
    <m/>
    <m/>
    <s v="18. 솔루션 - 라이브클래스"/>
    <x v="19"/>
    <n v="906606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도화학"/>
    <n v="4002"/>
    <s v="01 1~1000대"/>
    <s v="03 신규"/>
    <s v="03 휴넷 LMS"/>
    <s v="1. 온라인 - 단과"/>
    <x v="0"/>
    <n v="1000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방과학연구소"/>
    <n v="9757"/>
    <s v="05 공공"/>
    <s v="01 수성"/>
    <s v="03 휴넷 LMS"/>
    <s v="11. 컨텐츠 - 컨텐츠 임대/판매"/>
    <x v="5"/>
    <m/>
    <n v="27909091"/>
    <x v="2"/>
    <n v="100000000"/>
    <n v="100000000"/>
    <n v="100000000"/>
    <n v="0"/>
    <m/>
    <m/>
    <m/>
    <m/>
    <m/>
    <m/>
    <m/>
    <m/>
    <n v="50000000"/>
    <m/>
    <m/>
    <m/>
    <m/>
    <m/>
    <m/>
    <m/>
    <m/>
    <m/>
    <m/>
    <m/>
    <m/>
    <m/>
    <m/>
    <m/>
    <m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7"/>
    <s v="국방과학연구소"/>
    <n v="9757"/>
    <m/>
    <m/>
    <m/>
    <m/>
    <x v="2"/>
    <n v="0"/>
    <n v="0"/>
    <x v="2"/>
    <n v="0"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m/>
    <m/>
    <m/>
    <m/>
    <m/>
    <m/>
  </r>
  <r>
    <s v="기업교육2팀"/>
    <x v="7"/>
    <s v="나이스신용정보"/>
    <n v="22564"/>
    <s v="04 3000대 이후"/>
    <s v="01 수성"/>
    <s v="03 휴넷 LMS"/>
    <s v="26. 정부지원사업 - HRDFLEX"/>
    <x v="16"/>
    <m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나이스신용정보_FLEX24 (23:57514)"/>
    <n v="60206"/>
    <m/>
    <m/>
    <m/>
    <s v="26. 정부지원사업 - HRDFLEX"/>
    <x v="16"/>
    <n v="44660000"/>
    <n v="7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신용평가"/>
    <n v="26051"/>
    <s v="04 3000대 이후"/>
    <s v="01 수성"/>
    <s v="03 휴넷 LMS"/>
    <s v="2. 온라인 - 법정"/>
    <x v="6"/>
    <n v="1800000"/>
    <n v="1704000"/>
    <x v="1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s v="PASS"/>
  </r>
  <r>
    <s v="기업교육2팀"/>
    <x v="7"/>
    <s v="나이스신용평가_FLEX24 (23:57479)"/>
    <n v="60785"/>
    <m/>
    <s v="01 수성"/>
    <s v="03 휴넷 LMS"/>
    <s v="26. 정부지원사업 - HRDFLEX"/>
    <x v="16"/>
    <n v="3780000"/>
    <n v="32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"/>
    <n v="22188"/>
    <s v="02 1001~2000대"/>
    <s v="01 수성"/>
    <s v="03 휴넷 LMS"/>
    <s v="2. 온라인 - 법정"/>
    <x v="6"/>
    <m/>
    <n v="4785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s v="PASS"/>
  </r>
  <r>
    <s v="기업교육2팀"/>
    <x v="7"/>
    <s v="나이스평가정보"/>
    <n v="22188"/>
    <m/>
    <m/>
    <m/>
    <s v="6. 하이브리드러닝 - 집합형"/>
    <x v="2"/>
    <m/>
    <n v="6300000"/>
    <x v="1"/>
    <n v="5000000"/>
    <n v="6000000"/>
    <n v="6000000"/>
    <n v="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나이스평가정보"/>
    <n v="22188"/>
    <s v="02 1001~2000대"/>
    <s v="01 수성"/>
    <s v="03 휴넷 LMS"/>
    <s v="4. 하이브리드러닝 - 플립형"/>
    <x v="2"/>
    <n v="23692000"/>
    <n v="0"/>
    <x v="2"/>
    <n v="12000000"/>
    <n v="12000000"/>
    <n v="12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n v="6000000"/>
    <n v="6000000"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_FLEX"/>
    <n v="55691"/>
    <m/>
    <s v="01 수성"/>
    <s v="03 휴넷 LMS"/>
    <s v="26. 정부지원사업 - HRDFLEX"/>
    <x v="16"/>
    <n v="1069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홀딩스"/>
    <n v="31178"/>
    <m/>
    <m/>
    <m/>
    <s v="2. 온라인 - 법정"/>
    <x v="6"/>
    <m/>
    <n v="1814420"/>
    <x v="1"/>
    <n v="1000000"/>
    <n v="1485000"/>
    <n v="1410000"/>
    <n v="75000"/>
    <m/>
    <n v="100000"/>
    <n v="75000"/>
    <m/>
    <m/>
    <m/>
    <n v="273000"/>
    <m/>
    <m/>
    <m/>
    <n v="120000"/>
    <m/>
    <n v="500000"/>
    <n v="942000"/>
    <n v="942000"/>
    <m/>
    <m/>
    <m/>
    <m/>
    <m/>
    <m/>
    <n v="75000"/>
    <m/>
    <m/>
    <m/>
    <m/>
    <m/>
    <m/>
    <m/>
    <m/>
    <m/>
    <m/>
    <m/>
    <m/>
    <m/>
    <m/>
    <m/>
    <m/>
    <m/>
    <m/>
    <n v="500000"/>
    <n v="0"/>
    <m/>
    <m/>
    <m/>
    <m/>
    <m/>
    <m/>
    <m/>
    <m/>
    <m/>
    <s v="PASS"/>
  </r>
  <r>
    <s v="기업교육2팀"/>
    <x v="7"/>
    <s v="대원제약"/>
    <n v="8343"/>
    <s v="02 1001~2000대"/>
    <m/>
    <m/>
    <s v="1. 온라인 - 단과"/>
    <x v="0"/>
    <n v="8126960"/>
    <n v="8807760"/>
    <x v="1"/>
    <n v="6800000"/>
    <n v="4687600"/>
    <n v="5398600"/>
    <n v="-711000"/>
    <n v="600000"/>
    <n v="1400000"/>
    <n v="1474000"/>
    <s v="24년 12월 매출, 1월 계산서 발행"/>
    <n v="600000"/>
    <n v="600000"/>
    <n v="998000"/>
    <m/>
    <n v="600000"/>
    <n v="600000"/>
    <n v="682000"/>
    <m/>
    <n v="600000"/>
    <n v="1533600"/>
    <n v="1533600"/>
    <m/>
    <n v="600000"/>
    <n v="0"/>
    <m/>
    <m/>
    <n v="600000"/>
    <m/>
    <m/>
    <m/>
    <n v="600000"/>
    <m/>
    <m/>
    <m/>
    <n v="600000"/>
    <n v="0"/>
    <m/>
    <m/>
    <n v="300000"/>
    <m/>
    <m/>
    <m/>
    <n v="500000"/>
    <n v="0"/>
    <m/>
    <m/>
    <n v="500000"/>
    <n v="0"/>
    <m/>
    <m/>
    <n v="700000"/>
    <n v="0"/>
    <m/>
    <m/>
    <m/>
    <m/>
    <m/>
    <s v="PASS"/>
  </r>
  <r>
    <s v="기업교육2팀"/>
    <x v="7"/>
    <s v="대원제약"/>
    <n v="8343"/>
    <s v="02 1001~2000대"/>
    <m/>
    <m/>
    <s v="14. 솔루션 - 맞춤형 LABS"/>
    <x v="15"/>
    <n v="22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빙상경기연맹 온라인 강습회"/>
    <n v="44114"/>
    <s v="05 공공"/>
    <s v="01 수성"/>
    <s v="03 휴넷 LMS"/>
    <s v="24. 운영 - 운영매출"/>
    <x v="13"/>
    <n v="13728000"/>
    <n v="5016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장애인체육회"/>
    <n v="15306"/>
    <s v="05 공공"/>
    <s v="01 수성"/>
    <s v="03 휴넷 LMS"/>
    <s v="2. 온라인 - 법정"/>
    <x v="6"/>
    <n v="4500000"/>
    <n v="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체육회"/>
    <n v="7430"/>
    <s v="05 공공"/>
    <s v="01 수성"/>
    <s v="03 휴넷 LMS"/>
    <s v="1. 온라인 - 단과"/>
    <x v="0"/>
    <n v="41547100"/>
    <n v="47487200"/>
    <x v="1"/>
    <n v="42000000"/>
    <n v="42000000"/>
    <n v="42000000"/>
    <n v="0"/>
    <m/>
    <m/>
    <m/>
    <m/>
    <m/>
    <m/>
    <m/>
    <m/>
    <n v="5500000"/>
    <n v="5500000"/>
    <n v="0"/>
    <s v="- 5월부터 학습 시작 예정/ 내부 결재 이슈 건"/>
    <m/>
    <m/>
    <m/>
    <m/>
    <m/>
    <m/>
    <m/>
    <m/>
    <n v="5500000"/>
    <n v="0"/>
    <m/>
    <m/>
    <m/>
    <n v="11000000"/>
    <m/>
    <m/>
    <m/>
    <m/>
    <m/>
    <m/>
    <n v="16000000"/>
    <n v="16000000"/>
    <m/>
    <m/>
    <m/>
    <m/>
    <m/>
    <m/>
    <m/>
    <m/>
    <m/>
    <m/>
    <n v="15000000"/>
    <n v="15000000"/>
    <m/>
    <m/>
    <m/>
    <m/>
    <m/>
    <m/>
  </r>
  <r>
    <s v="기업교육2팀"/>
    <x v="7"/>
    <s v="비아트리스"/>
    <n v="46251"/>
    <m/>
    <m/>
    <m/>
    <s v="2. 온라인 - 법정"/>
    <x v="6"/>
    <n v="6967500"/>
    <n v="7080000"/>
    <x v="1"/>
    <n v="3000000"/>
    <n v="5000"/>
    <n v="5000"/>
    <n v="0"/>
    <m/>
    <m/>
    <m/>
    <m/>
    <m/>
    <m/>
    <n v="5000"/>
    <s v="- 24년 미발행 건"/>
    <n v="1500000"/>
    <n v="0"/>
    <m/>
    <m/>
    <m/>
    <m/>
    <m/>
    <m/>
    <m/>
    <m/>
    <m/>
    <m/>
    <m/>
    <m/>
    <m/>
    <m/>
    <m/>
    <m/>
    <m/>
    <m/>
    <m/>
    <m/>
    <m/>
    <m/>
    <m/>
    <m/>
    <m/>
    <m/>
    <n v="1500000"/>
    <n v="0"/>
    <m/>
    <m/>
    <m/>
    <m/>
    <m/>
    <m/>
    <m/>
    <m/>
    <m/>
    <m/>
    <m/>
    <m/>
    <m/>
    <m/>
  </r>
  <r>
    <s v="기업교육2팀"/>
    <x v="7"/>
    <s v="삼양식품"/>
    <n v="3973"/>
    <s v="01 1~1000대"/>
    <s v="01 수성"/>
    <s v="03 휴넷 LMS"/>
    <s v="2. 온라인 - 법정"/>
    <x v="6"/>
    <n v="5276500"/>
    <n v="19528500"/>
    <x v="1"/>
    <n v="12000000"/>
    <n v="11810000"/>
    <n v="11810000"/>
    <n v="0"/>
    <n v="1000000"/>
    <n v="400000"/>
    <n v="370000"/>
    <m/>
    <n v="1000000"/>
    <n v="1000000"/>
    <n v="220000"/>
    <s v="- 법정교육 학습 저조"/>
    <n v="1000000"/>
    <n v="1000000"/>
    <n v="240000"/>
    <s v="-안전보건교육 학습자 수, 저조"/>
    <n v="1000000"/>
    <n v="370000"/>
    <n v="370000"/>
    <m/>
    <n v="1000000"/>
    <n v="3107500"/>
    <n v="3107500"/>
    <m/>
    <n v="1000000"/>
    <n v="431500"/>
    <m/>
    <m/>
    <n v="1000000"/>
    <n v="1000000"/>
    <m/>
    <m/>
    <n v="1000000"/>
    <n v="1568500"/>
    <m/>
    <m/>
    <n v="1000000"/>
    <n v="1622500"/>
    <m/>
    <m/>
    <n v="1000000"/>
    <n v="1500000"/>
    <m/>
    <m/>
    <n v="1000000"/>
    <n v="780000"/>
    <m/>
    <m/>
    <n v="1000000"/>
    <n v="600000"/>
    <m/>
    <m/>
    <m/>
    <m/>
    <m/>
    <s v="PASS"/>
  </r>
  <r>
    <s v="기업교육2팀"/>
    <x v="7"/>
    <s v="삼양식품"/>
    <n v="3973"/>
    <m/>
    <m/>
    <m/>
    <s v="2. 온라인 - 법정"/>
    <x v="6"/>
    <m/>
    <s v="삭제필요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삼양식품"/>
    <n v="3973"/>
    <m/>
    <m/>
    <m/>
    <s v="3. 온라인 - 마이크로러닝"/>
    <x v="9"/>
    <n v="2250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삼양씨앤씨_부천지점"/>
    <n v="57475"/>
    <s v="04 3000대 이후"/>
    <m/>
    <m/>
    <s v="2. 온라인 - 법정"/>
    <x v="6"/>
    <n v="2680000"/>
    <n v="136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7"/>
    <s v="삼일제약"/>
    <n v="6527"/>
    <s v="04 3000대 이후"/>
    <m/>
    <m/>
    <s v="2. 온라인 - 법정"/>
    <x v="6"/>
    <n v="5397500"/>
    <n v="48525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일제약"/>
    <n v="6527"/>
    <m/>
    <m/>
    <m/>
    <s v="10. 컨텐츠 - 컨텐츠 개발"/>
    <x v="3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지전자"/>
    <n v="20096"/>
    <s v="04 3000대 이후"/>
    <m/>
    <m/>
    <s v="2. 온라인 - 법정"/>
    <x v="6"/>
    <n v="2160000"/>
    <n v="2220000"/>
    <x v="1"/>
    <n v="2000000"/>
    <n v="2080000"/>
    <n v="2080000"/>
    <n v="0"/>
    <m/>
    <m/>
    <m/>
    <m/>
    <m/>
    <m/>
    <m/>
    <m/>
    <n v="1000000"/>
    <m/>
    <n v="1080000"/>
    <s v="-법정교육 시작"/>
    <m/>
    <n v="0"/>
    <n v="0"/>
    <m/>
    <m/>
    <n v="70000"/>
    <n v="70000"/>
    <m/>
    <m/>
    <n v="60000"/>
    <m/>
    <m/>
    <m/>
    <m/>
    <m/>
    <m/>
    <m/>
    <m/>
    <m/>
    <m/>
    <m/>
    <m/>
    <m/>
    <m/>
    <n v="1000000"/>
    <n v="870000"/>
    <m/>
    <m/>
    <m/>
    <m/>
    <m/>
    <m/>
    <m/>
    <m/>
    <m/>
    <m/>
    <m/>
    <m/>
    <m/>
    <m/>
  </r>
  <r>
    <s v="기업교육2팀"/>
    <x v="7"/>
    <s v="서울대학교"/>
    <n v="7699"/>
    <s v="05 공공"/>
    <m/>
    <m/>
    <s v="2. 온라인 - 법정"/>
    <x v="6"/>
    <n v="10000000"/>
    <n v="10000000"/>
    <x v="2"/>
    <n v="10000000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대학교 경영대학"/>
    <n v="45048"/>
    <s v="01 1~1000대"/>
    <s v="01 수성"/>
    <m/>
    <s v="2. 온라인 - 법정"/>
    <x v="6"/>
    <n v="4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시50플러스재단 40대직업캠프 "/>
    <n v="58587"/>
    <s v="05 공공"/>
    <m/>
    <m/>
    <s v="5. 하이브리드러닝 - 러닝저니"/>
    <x v="2"/>
    <n v="218092691"/>
    <n v="119154545"/>
    <x v="2"/>
    <n v="120000000"/>
    <n v="40000000"/>
    <n v="40000000"/>
    <n v="0"/>
    <n v="8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7"/>
    <s v="선인자동차"/>
    <n v="5630"/>
    <s v="02 1001~2000대"/>
    <s v="01 수성"/>
    <s v="03 휴넷 LMS"/>
    <s v="1. 온라인 - 단과"/>
    <x v="0"/>
    <n v="46364500"/>
    <n v="49976500"/>
    <x v="1"/>
    <n v="36000000"/>
    <n v="49570300"/>
    <n v="49570300"/>
    <n v="0"/>
    <n v="3000000"/>
    <n v="5000000"/>
    <n v="5721700"/>
    <s v="연초 학습동기가 높음"/>
    <n v="3000000"/>
    <n v="3000000"/>
    <n v="3653600"/>
    <m/>
    <n v="3000000"/>
    <n v="4000000"/>
    <n v="3548600"/>
    <m/>
    <n v="3000000"/>
    <n v="4421100"/>
    <n v="4421100"/>
    <m/>
    <n v="3000000"/>
    <n v="5499600"/>
    <n v="5499600"/>
    <m/>
    <n v="3000000"/>
    <n v="4099600"/>
    <m/>
    <m/>
    <n v="3000000"/>
    <n v="3900400"/>
    <m/>
    <m/>
    <n v="3000000"/>
    <n v="4000000"/>
    <m/>
    <m/>
    <n v="3000000"/>
    <n v="4000000"/>
    <m/>
    <m/>
    <n v="3000000"/>
    <n v="3924900"/>
    <m/>
    <m/>
    <n v="3000000"/>
    <n v="3300000"/>
    <m/>
    <m/>
    <n v="3000000"/>
    <n v="3500800"/>
    <m/>
    <m/>
    <m/>
    <m/>
    <m/>
    <s v="PASS"/>
  </r>
  <r>
    <s v="기업교육2팀"/>
    <x v="7"/>
    <s v="솔루엠"/>
    <n v="30404"/>
    <s v="01 1~1000대"/>
    <m/>
    <m/>
    <s v="1. 온라인 - 단과"/>
    <x v="0"/>
    <m/>
    <n v="8612000"/>
    <x v="1"/>
    <n v="5000000"/>
    <n v="5074000"/>
    <n v="5074000"/>
    <n v="0"/>
    <m/>
    <m/>
    <m/>
    <m/>
    <m/>
    <m/>
    <m/>
    <m/>
    <m/>
    <m/>
    <n v="7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솔루엠_FLEX24"/>
    <n v="60442"/>
    <s v="01 1~1000대"/>
    <s v="01 수성"/>
    <m/>
    <s v="26. 정부지원사업 - HRDFLEX"/>
    <x v="14"/>
    <m/>
    <n v="37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센서_FLEX24"/>
    <n v="60448"/>
    <s v="01 1~1000대"/>
    <s v="01 수성"/>
    <m/>
    <s v="26. 정부지원사업 - HRDFLEX"/>
    <x v="14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헬스케어_FLEX24"/>
    <n v="60447"/>
    <s v="01 1~1000대"/>
    <s v="01 수성"/>
    <m/>
    <s v="26. 정부지원사업 - HRDFLEX"/>
    <x v="14"/>
    <m/>
    <n v="11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아난티"/>
    <n v="31073"/>
    <s v="03 2001~3000대"/>
    <s v="01 수성"/>
    <s v="03 휴넷 LMS"/>
    <s v="3. 온라인 - 마이크로러닝"/>
    <x v="9"/>
    <n v="44377500"/>
    <n v="2060000"/>
    <x v="0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</r>
  <r>
    <s v="기업교육2팀"/>
    <x v="7"/>
    <s v="에드워드코리아"/>
    <n v="15168"/>
    <s v="01 1~1000대"/>
    <m/>
    <m/>
    <s v="1. 온라인 - 단과"/>
    <x v="0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에스에이엠티"/>
    <n v="9677"/>
    <m/>
    <m/>
    <m/>
    <s v="1. 온라인 - 단과"/>
    <x v="0"/>
    <m/>
    <n v="2318160"/>
    <x v="1"/>
    <n v="4000000"/>
    <n v="1951000"/>
    <n v="1507000"/>
    <n v="444000"/>
    <n v="300000"/>
    <n v="300000"/>
    <m/>
    <m/>
    <n v="300000"/>
    <m/>
    <n v="444000"/>
    <m/>
    <n v="300000"/>
    <n v="0"/>
    <n v="530000"/>
    <m/>
    <n v="300000"/>
    <n v="533000"/>
    <n v="533000"/>
    <m/>
    <n v="300000"/>
    <n v="0"/>
    <m/>
    <m/>
    <n v="300000"/>
    <n v="444000"/>
    <m/>
    <m/>
    <n v="300000"/>
    <n v="0"/>
    <m/>
    <m/>
    <n v="300000"/>
    <n v="0"/>
    <m/>
    <m/>
    <n v="300000"/>
    <n v="0"/>
    <m/>
    <m/>
    <n v="300000"/>
    <n v="0"/>
    <m/>
    <m/>
    <n v="700000"/>
    <n v="0"/>
    <m/>
    <m/>
    <n v="300000"/>
    <n v="0"/>
    <m/>
    <m/>
    <m/>
    <m/>
    <m/>
    <m/>
  </r>
  <r>
    <s v="기업교육2팀"/>
    <x v="7"/>
    <s v="에스케이씨"/>
    <n v="75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7"/>
    <s v="에코비트"/>
    <n v="55936"/>
    <s v="04 3000대 이후"/>
    <m/>
    <m/>
    <s v="6. 하이브리드러닝 - 집합형"/>
    <x v="2"/>
    <m/>
    <n v="56541200"/>
    <x v="2"/>
    <n v="70000000"/>
    <n v="70000000"/>
    <n v="7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7"/>
    <s v="엘오티머트리얼즈"/>
    <n v="45264"/>
    <s v="02 1001~2000대"/>
    <m/>
    <m/>
    <s v="2. 온라인 - 법정"/>
    <x v="6"/>
    <n v="2298000"/>
    <n v="0"/>
    <x v="1"/>
    <n v="2000000"/>
    <n v="2013000"/>
    <n v="2013000"/>
    <n v="0"/>
    <m/>
    <m/>
    <n v="141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600000"/>
    <m/>
    <m/>
    <m/>
    <m/>
    <m/>
    <m/>
  </r>
  <r>
    <s v="기업교육2팀"/>
    <x v="7"/>
    <s v="엘오티베큠"/>
    <n v="17493"/>
    <s v="03 2001~3000대"/>
    <m/>
    <m/>
    <s v="2. 온라인 - 법정"/>
    <x v="6"/>
    <n v="200000"/>
    <n v="4257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"/>
    <n v="17493"/>
    <s v="03 2001~3000대"/>
    <m/>
    <m/>
    <s v="6. 하이브리드러닝 - 집합형"/>
    <x v="2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_FLEX"/>
    <n v="17493"/>
    <s v="03 2001~3000대"/>
    <s v="01 수성"/>
    <m/>
    <s v="26. 정부지원사업 - HRDFLEX"/>
    <x v="14"/>
    <m/>
    <n v="53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m/>
    <x v="4"/>
    <m/>
    <n v="0"/>
    <x v="1"/>
    <n v="0"/>
    <n v="7500000"/>
    <n v="7500000"/>
    <n v="0"/>
    <m/>
    <n v="1500000"/>
    <n v="1500000"/>
    <m/>
    <m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s v="10. 컨텐츠 - 컨텐츠 개발"/>
    <x v="3"/>
    <n v="17090909"/>
    <n v="17272727"/>
    <x v="1"/>
    <n v="24500000"/>
    <n v="32500000"/>
    <n v="32500000"/>
    <n v="0"/>
    <m/>
    <m/>
    <m/>
    <m/>
    <m/>
    <m/>
    <m/>
    <m/>
    <m/>
    <m/>
    <m/>
    <m/>
    <n v="24500000"/>
    <n v="0"/>
    <n v="0"/>
    <m/>
    <m/>
    <m/>
    <m/>
    <m/>
    <m/>
    <n v="8000000"/>
    <m/>
    <m/>
    <m/>
    <n v="245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7"/>
    <s v="여신금융협회"/>
    <n v="11800"/>
    <m/>
    <m/>
    <m/>
    <m/>
    <x v="13"/>
    <m/>
    <n v="0"/>
    <x v="1"/>
    <n v="0"/>
    <n v="84440000"/>
    <n v="82578000"/>
    <n v="1862000"/>
    <m/>
    <m/>
    <n v="12608000"/>
    <m/>
    <m/>
    <n v="0"/>
    <n v="9590000"/>
    <s v="25년 1월 교육 운영비"/>
    <m/>
    <n v="6000000"/>
    <n v="7380000"/>
    <m/>
    <m/>
    <n v="7790000"/>
    <n v="7790000"/>
    <m/>
    <m/>
    <n v="9314000"/>
    <n v="9314000"/>
    <m/>
    <m/>
    <n v="6862000"/>
    <m/>
    <m/>
    <m/>
    <n v="6000000"/>
    <m/>
    <m/>
    <m/>
    <n v="5896000"/>
    <m/>
    <m/>
    <m/>
    <n v="6000000"/>
    <m/>
    <m/>
    <m/>
    <n v="6000000"/>
    <m/>
    <m/>
    <m/>
    <n v="2000000"/>
    <m/>
    <m/>
    <m/>
    <n v="5000000"/>
    <m/>
    <m/>
    <m/>
    <m/>
    <m/>
    <m/>
  </r>
  <r>
    <s v="기업교육2팀"/>
    <x v="7"/>
    <s v="여신금융협회(오프라인운영)"/>
    <n v="11800"/>
    <s v="03 2001~3000대"/>
    <m/>
    <m/>
    <s v="36. 기타 - 기타"/>
    <x v="18"/>
    <n v="660874940"/>
    <n v="416617732"/>
    <x v="1"/>
    <n v="400000000"/>
    <n v="511997003"/>
    <n v="511997003"/>
    <n v="0"/>
    <n v="140000000"/>
    <n v="140000000"/>
    <n v="77383067"/>
    <m/>
    <m/>
    <n v="62616933"/>
    <n v="50858266"/>
    <s v="24년 4분기 카드 모집인 시험 위탁운영"/>
    <n v="10000000"/>
    <n v="10000000"/>
    <n v="0"/>
    <s v="- 분기 정산 확정 금액 조정"/>
    <m/>
    <n v="134910670"/>
    <n v="134910670"/>
    <m/>
    <m/>
    <m/>
    <m/>
    <m/>
    <n v="100000000"/>
    <m/>
    <m/>
    <m/>
    <m/>
    <n v="100000000"/>
    <m/>
    <m/>
    <m/>
    <m/>
    <m/>
    <m/>
    <n v="150000000"/>
    <m/>
    <m/>
    <m/>
    <m/>
    <n v="148845000"/>
    <m/>
    <m/>
    <m/>
    <m/>
    <m/>
    <m/>
    <m/>
    <m/>
    <m/>
    <m/>
    <m/>
    <m/>
    <m/>
    <m/>
  </r>
  <r>
    <s v="기업교육2팀"/>
    <x v="7"/>
    <s v="오송첨단의료산업진흥재단"/>
    <n v="22760"/>
    <m/>
    <m/>
    <m/>
    <s v="6. 하이브리드러닝 - 집합형"/>
    <x v="4"/>
    <s v=""/>
    <n v="2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온세미"/>
    <n v="1495"/>
    <s v=""/>
    <s v="01 수성"/>
    <s v="03 휴넷 LMS"/>
    <s v="통합위탁"/>
    <x v="1"/>
    <n v="70704100"/>
    <n v="63915820"/>
    <x v="1"/>
    <n v="48000000"/>
    <n v="44380200"/>
    <n v="44380200"/>
    <n v="0"/>
    <n v="4000000"/>
    <n v="4000000"/>
    <n v="2756000"/>
    <s v="연초(휴가 등)으로 인한 신청자 저조"/>
    <n v="4000000"/>
    <n v="4000000"/>
    <n v="255000"/>
    <s v="-익월발행으로 2월건은 3월에 합칠 예정"/>
    <n v="4000000"/>
    <n v="8000000"/>
    <n v="5369200"/>
    <m/>
    <n v="4000000"/>
    <n v="5047700"/>
    <n v="5047700"/>
    <m/>
    <n v="4000000"/>
    <n v="5091600"/>
    <n v="5091600"/>
    <m/>
    <n v="4000000"/>
    <n v="2387600"/>
    <m/>
    <m/>
    <n v="4000000"/>
    <n v="4564700"/>
    <m/>
    <m/>
    <n v="4000000"/>
    <n v="3100000"/>
    <m/>
    <m/>
    <n v="4000000"/>
    <n v="4000000"/>
    <m/>
    <m/>
    <n v="4000000"/>
    <n v="4000000"/>
    <m/>
    <m/>
    <n v="4000000"/>
    <n v="3971000"/>
    <m/>
    <m/>
    <n v="4000000"/>
    <n v="3837400"/>
    <m/>
    <m/>
    <m/>
    <m/>
    <m/>
    <s v="PASS"/>
  </r>
  <r>
    <s v="기업교육2팀"/>
    <x v="7"/>
    <s v="온세미"/>
    <n v="1495"/>
    <m/>
    <m/>
    <m/>
    <s v="통합위탁"/>
    <x v="1"/>
    <n v="2400564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자산운용"/>
    <n v="60766"/>
    <m/>
    <m/>
    <m/>
    <m/>
    <x v="6"/>
    <m/>
    <m/>
    <x v="1"/>
    <n v="0"/>
    <n v="3420000"/>
    <n v="3420000"/>
    <n v="0"/>
    <m/>
    <m/>
    <m/>
    <m/>
    <m/>
    <m/>
    <m/>
    <m/>
    <m/>
    <m/>
    <m/>
    <m/>
    <m/>
    <n v="2610000"/>
    <n v="2610000"/>
    <m/>
    <m/>
    <m/>
    <n v="81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카드"/>
    <n v="15581"/>
    <s v="01 1~1000대"/>
    <s v="01 수성"/>
    <s v="01 자체 LMS"/>
    <s v="1. 온라인 - 단과"/>
    <x v="0"/>
    <n v="45660140"/>
    <n v="21438000"/>
    <x v="1"/>
    <n v="20000000"/>
    <n v="20000000"/>
    <n v="20000000"/>
    <n v="0"/>
    <m/>
    <m/>
    <m/>
    <m/>
    <m/>
    <m/>
    <m/>
    <m/>
    <m/>
    <m/>
    <m/>
    <m/>
    <m/>
    <n v="7688000"/>
    <n v="7688000"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2312000"/>
    <m/>
    <m/>
    <m/>
    <m/>
    <m/>
    <m/>
    <m/>
    <m/>
    <m/>
    <s v="PASS"/>
  </r>
  <r>
    <s v="기업교육2팀"/>
    <x v="7"/>
    <s v="우리카드"/>
    <n v="15581"/>
    <s v="01 1~1000대"/>
    <s v="01 수성"/>
    <s v="01 자체 LMS"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s v="03 2001~3000대"/>
    <s v="01 수성"/>
    <s v="03 휴넷 LMS"/>
    <s v="통합위탁"/>
    <x v="1"/>
    <n v="30361560"/>
    <n v="110048060"/>
    <x v="1"/>
    <n v="55000000"/>
    <n v="59966400"/>
    <n v="59966400"/>
    <n v="0"/>
    <m/>
    <m/>
    <m/>
    <m/>
    <n v="5000000"/>
    <n v="0"/>
    <m/>
    <s v="그룹사 공통플랫폼 구축 이슈"/>
    <n v="5000000"/>
    <n v="0"/>
    <m/>
    <m/>
    <n v="5000000"/>
    <m/>
    <m/>
    <m/>
    <n v="5000000"/>
    <n v="0"/>
    <m/>
    <m/>
    <n v="5000000"/>
    <n v="0"/>
    <m/>
    <m/>
    <n v="5000000"/>
    <n v="5000000"/>
    <m/>
    <m/>
    <n v="5000000"/>
    <n v="5000000"/>
    <m/>
    <m/>
    <n v="5000000"/>
    <n v="5000000"/>
    <m/>
    <m/>
    <n v="5000000"/>
    <n v="10000000"/>
    <m/>
    <m/>
    <n v="5000000"/>
    <n v="10000000"/>
    <m/>
    <m/>
    <n v="5000000"/>
    <n v="24966400"/>
    <m/>
    <m/>
    <m/>
    <m/>
    <m/>
    <s v="PASS"/>
  </r>
  <r>
    <s v="기업교육2팀"/>
    <x v="7"/>
    <s v="원익피앤이"/>
    <n v="11437"/>
    <m/>
    <m/>
    <m/>
    <m/>
    <x v="1"/>
    <m/>
    <n v="0"/>
    <x v="2"/>
    <n v="44000000"/>
    <n v="24000000"/>
    <n v="28000000"/>
    <n v="-4000000"/>
    <m/>
    <m/>
    <m/>
    <m/>
    <n v="4000000"/>
    <m/>
    <m/>
    <m/>
    <n v="4000000"/>
    <m/>
    <m/>
    <m/>
    <n v="4000000"/>
    <m/>
    <m/>
    <m/>
    <n v="4000000"/>
    <m/>
    <m/>
    <m/>
    <n v="4000000"/>
    <m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m/>
    <m/>
    <m/>
    <m/>
  </r>
  <r>
    <s v="기업교육2팀"/>
    <x v="7"/>
    <s v="원익피앤이"/>
    <n v="59653"/>
    <s v="03 2001~3000대"/>
    <s v="01 수성"/>
    <s v="03 휴넷 LMS"/>
    <s v="2. 온라인 - 법정"/>
    <x v="6"/>
    <m/>
    <n v="802186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7"/>
    <s v="원익피앤이"/>
    <n v="11437"/>
    <s v="03 2001~3000대"/>
    <s v="01 수성"/>
    <s v="03 휴넷 LMS"/>
    <s v="2. 온라인 - 법정"/>
    <x v="6"/>
    <n v="1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m/>
    <m/>
    <m/>
    <s v="6. 하이브리드러닝 - 집합형"/>
    <x v="2"/>
    <m/>
    <n v="7240000"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유유제약"/>
    <n v="18416"/>
    <s v="04 3000대 이후"/>
    <m/>
    <m/>
    <s v="1. 온라인 - 단과"/>
    <x v="0"/>
    <m/>
    <n v="3356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유유제약"/>
    <n v="18416"/>
    <s v="04 3000대 이후"/>
    <m/>
    <m/>
    <s v="2. 온라인 - 법정"/>
    <x v="6"/>
    <n v="5175000"/>
    <n v="3107000"/>
    <x v="2"/>
    <n v="4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7"/>
    <s v="유유제약"/>
    <n v="18416"/>
    <s v="04 3000대 이후"/>
    <m/>
    <m/>
    <s v="6. 하이브리드러닝 - 집합형"/>
    <x v="2"/>
    <n v="310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지멘스"/>
    <n v="7794"/>
    <s v=""/>
    <s v="01 수성"/>
    <s v="03 휴넷 LMS"/>
    <s v="1. 온라인 - 단과"/>
    <x v="4"/>
    <m/>
    <n v="0"/>
    <x v="1"/>
    <n v="48000000"/>
    <n v="38000000"/>
    <n v="3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000000"/>
    <n v="38000000"/>
    <m/>
    <m/>
    <m/>
    <m/>
    <m/>
    <s v="yet"/>
  </r>
  <r>
    <s v="기업교육2팀"/>
    <x v="7"/>
    <s v="한국과학기술원"/>
    <n v="312"/>
    <s v="05 공공"/>
    <m/>
    <m/>
    <s v="1. 온라인 - 단과"/>
    <x v="0"/>
    <n v="30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한국과학기술원"/>
    <n v="312"/>
    <s v="05 공공"/>
    <m/>
    <m/>
    <s v="6. 하이브리드러닝 - 집합형"/>
    <x v="2"/>
    <n v="1200000"/>
    <n v="15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노인인력개발원"/>
    <n v="11375"/>
    <s v="05 공공"/>
    <m/>
    <m/>
    <s v="6. 하이브리드러닝 - 집합형"/>
    <x v="1"/>
    <m/>
    <n v="31009091"/>
    <x v="1"/>
    <n v="100000000"/>
    <n v="110000000"/>
    <n v="110000000"/>
    <n v="0"/>
    <m/>
    <m/>
    <m/>
    <m/>
    <n v="50000000"/>
    <n v="50000000"/>
    <n v="0"/>
    <s v="선금 발행을 3월 중 연기"/>
    <m/>
    <n v="50000000"/>
    <n v="0"/>
    <s v="-선금 지급 시점 늦춰짐"/>
    <m/>
    <n v="77000000"/>
    <n v="77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3000000"/>
    <m/>
    <m/>
    <m/>
    <m/>
    <m/>
    <s v="yet"/>
  </r>
  <r>
    <s v="기업교육2팀"/>
    <x v="7"/>
    <s v="한국노인인력개발원"/>
    <n v="11375"/>
    <m/>
    <m/>
    <m/>
    <m/>
    <x v="2"/>
    <n v="0"/>
    <n v="0"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7"/>
    <s v="한국노인인력개발원"/>
    <n v="11375"/>
    <s v="05 공공"/>
    <m/>
    <m/>
    <s v="10. 컨텐츠 - 컨텐츠 개발"/>
    <x v="3"/>
    <m/>
    <n v="1809091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7"/>
    <s v="한국니토옵티칼"/>
    <n v="8071"/>
    <s v="01 1~1000대"/>
    <m/>
    <m/>
    <s v="1. 온라인 - 단과"/>
    <x v="0"/>
    <n v="3000000"/>
    <n v="3600000"/>
    <x v="2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사회보장정보원"/>
    <n v="44089"/>
    <m/>
    <m/>
    <m/>
    <m/>
    <x v="2"/>
    <n v="0"/>
    <n v="0"/>
    <x v="1"/>
    <n v="0"/>
    <n v="260000000"/>
    <n v="260000000"/>
    <n v="0"/>
    <m/>
    <m/>
    <m/>
    <m/>
    <m/>
    <m/>
    <m/>
    <m/>
    <m/>
    <m/>
    <m/>
    <m/>
    <m/>
    <m/>
    <m/>
    <m/>
    <m/>
    <m/>
    <m/>
    <m/>
    <m/>
    <n v="204072727"/>
    <m/>
    <m/>
    <m/>
    <m/>
    <m/>
    <m/>
    <m/>
    <m/>
    <m/>
    <m/>
    <m/>
    <m/>
    <m/>
    <m/>
    <m/>
    <m/>
    <m/>
    <m/>
    <m/>
    <m/>
    <m/>
    <m/>
    <m/>
    <n v="55927273"/>
    <m/>
    <m/>
    <m/>
    <m/>
    <m/>
    <m/>
  </r>
  <r>
    <s v="기업교육2팀"/>
    <x v="7"/>
    <s v="한국산업안전보건공단"/>
    <n v="3828"/>
    <s v="05 공공"/>
    <s v="03 신규"/>
    <s v="01 자체 LMS"/>
    <s v="14. 솔루션 - 맞춤형 LABS"/>
    <x v="1"/>
    <m/>
    <n v="122475000"/>
    <x v="1"/>
    <n v="120000000"/>
    <n v="130000000"/>
    <n v="130000000"/>
    <n v="0"/>
    <n v="20000000"/>
    <n v="20000000"/>
    <m/>
    <m/>
    <m/>
    <m/>
    <m/>
    <m/>
    <n v="50000000"/>
    <m/>
    <m/>
    <m/>
    <m/>
    <m/>
    <m/>
    <m/>
    <m/>
    <m/>
    <m/>
    <m/>
    <m/>
    <n v="109600000"/>
    <m/>
    <m/>
    <m/>
    <m/>
    <m/>
    <m/>
    <m/>
    <m/>
    <m/>
    <m/>
    <m/>
    <m/>
    <m/>
    <m/>
    <m/>
    <m/>
    <m/>
    <m/>
    <m/>
    <m/>
    <m/>
    <m/>
    <n v="50000000"/>
    <n v="20400000"/>
    <m/>
    <m/>
    <m/>
    <m/>
    <m/>
    <m/>
  </r>
  <r>
    <s v="기업교육2팀"/>
    <x v="7"/>
    <s v="한국산업안전보건공단"/>
    <n v="3828"/>
    <m/>
    <m/>
    <m/>
    <s v="6. 하이브리드러닝 - 집합형"/>
    <x v="4"/>
    <s v=""/>
    <n v="21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알콜산업"/>
    <n v="10467"/>
    <s v="02 1001~2000대"/>
    <m/>
    <m/>
    <s v="통합위탁"/>
    <x v="1"/>
    <n v="172036060"/>
    <n v="175511160"/>
    <x v="1"/>
    <n v="184000000"/>
    <n v="198078209"/>
    <n v="198522209"/>
    <n v="-444000"/>
    <n v="15000000"/>
    <n v="15000000"/>
    <n v="7052000"/>
    <s v="연초(휴가 등)으로 인한 신청자 저조"/>
    <n v="15000000"/>
    <n v="15000000"/>
    <n v="3244000"/>
    <s v="3월 매출 2천만원 이상 예상/ 설 연휴 이후 휴가 등, 학습 분위기 조성 X"/>
    <n v="15000000"/>
    <n v="15000000"/>
    <n v="18123300"/>
    <m/>
    <n v="15000000"/>
    <n v="24372400"/>
    <n v="24342400"/>
    <m/>
    <n v="15000000"/>
    <n v="4517200"/>
    <n v="19215200"/>
    <m/>
    <n v="15000000"/>
    <n v="14591200"/>
    <m/>
    <m/>
    <n v="15000000"/>
    <n v="15000000"/>
    <m/>
    <m/>
    <n v="15000000"/>
    <n v="15000000"/>
    <m/>
    <m/>
    <n v="16000000"/>
    <n v="16000000"/>
    <m/>
    <m/>
    <n v="16000000"/>
    <n v="26038800"/>
    <m/>
    <m/>
    <n v="16000000"/>
    <n v="21059800"/>
    <m/>
    <m/>
    <n v="16000000"/>
    <n v="18411509"/>
    <m/>
    <m/>
    <m/>
    <m/>
    <m/>
    <s v="PASS"/>
  </r>
  <r>
    <s v="기업교육2팀"/>
    <x v="8"/>
    <s v="D&amp;O"/>
    <n v="28404"/>
    <s v="03 2001~3000대"/>
    <s v="01 수성"/>
    <s v="03 휴넷 LMS"/>
    <s v="통합위탁"/>
    <x v="1"/>
    <n v="40583970"/>
    <n v="38949800"/>
    <x v="1"/>
    <n v="11000000"/>
    <n v="64065414"/>
    <n v="50643991"/>
    <n v="13421423"/>
    <n v="2000000"/>
    <n v="2000000"/>
    <n v="1186300"/>
    <m/>
    <n v="3000000"/>
    <n v="2102900"/>
    <n v="2102900"/>
    <m/>
    <n v="3000000"/>
    <n v="2873760"/>
    <n v="2873760"/>
    <m/>
    <n v="3000000"/>
    <n v="2271720"/>
    <n v="2271720"/>
    <m/>
    <m/>
    <n v="9060000"/>
    <n v="10070280"/>
    <m/>
    <m/>
    <n v="16248760"/>
    <m/>
    <m/>
    <m/>
    <n v="4000000"/>
    <m/>
    <m/>
    <m/>
    <n v="4000000"/>
    <m/>
    <m/>
    <m/>
    <n v="3311694"/>
    <m/>
    <m/>
    <m/>
    <n v="3000000"/>
    <m/>
    <m/>
    <m/>
    <n v="3000000"/>
    <m/>
    <m/>
    <m/>
    <n v="12000000"/>
    <m/>
    <m/>
    <m/>
    <m/>
    <m/>
    <s v="PASS"/>
  </r>
  <r>
    <s v="기업교육2팀"/>
    <x v="8"/>
    <s v="D&amp;O"/>
    <n v="28404"/>
    <s v="03 2001~3000대"/>
    <s v="01 수성"/>
    <s v="03 휴넷 LMS"/>
    <s v="2. 온라인 - 법정"/>
    <x v="6"/>
    <m/>
    <n v="1679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JTBC미디어텍"/>
    <n v="47485"/>
    <s v="02 1001~2000대"/>
    <s v="01 수성"/>
    <s v="03 휴넷 LMS"/>
    <s v="2. 온라인 - 법정"/>
    <x v="6"/>
    <n v="5000000"/>
    <n v="3270000"/>
    <x v="1"/>
    <n v="4500000"/>
    <n v="4500000"/>
    <n v="4500000"/>
    <n v="0"/>
    <m/>
    <m/>
    <m/>
    <m/>
    <m/>
    <m/>
    <m/>
    <m/>
    <m/>
    <m/>
    <m/>
    <m/>
    <n v="1500000"/>
    <m/>
    <m/>
    <m/>
    <n v="1500000"/>
    <m/>
    <m/>
    <m/>
    <m/>
    <m/>
    <m/>
    <m/>
    <m/>
    <n v="1500000"/>
    <m/>
    <m/>
    <m/>
    <m/>
    <m/>
    <m/>
    <n v="1500000"/>
    <n v="1500000"/>
    <m/>
    <m/>
    <m/>
    <m/>
    <m/>
    <m/>
    <m/>
    <m/>
    <m/>
    <m/>
    <m/>
    <n v="1500000"/>
    <m/>
    <m/>
    <m/>
    <m/>
    <m/>
    <s v="PASS"/>
  </r>
  <r>
    <s v="기업교육2팀"/>
    <x v="8"/>
    <s v="NHN KCP"/>
    <n v="22101"/>
    <s v="01 1~1000대"/>
    <s v="01 수성"/>
    <s v="01 자체 LMS"/>
    <s v="6. 하이브리드러닝 - 집합형"/>
    <x v="6"/>
    <m/>
    <n v="0"/>
    <x v="1"/>
    <n v="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  <m/>
    <m/>
    <m/>
    <m/>
    <m/>
    <m/>
    <m/>
    <m/>
  </r>
  <r>
    <s v="기업교육2팀"/>
    <x v="8"/>
    <s v="S&amp;I Corp"/>
    <n v="50138"/>
    <s v="03 2001~3000대"/>
    <s v="01 수성"/>
    <s v="03 휴넷 LMS"/>
    <s v="통합위탁"/>
    <x v="1"/>
    <n v="42489078"/>
    <n v="91954620"/>
    <x v="1"/>
    <n v="8700000"/>
    <n v="41626443"/>
    <n v="41654392"/>
    <n v="-27949"/>
    <n v="700000"/>
    <n v="0"/>
    <m/>
    <m/>
    <n v="2000000"/>
    <n v="1703160"/>
    <n v="1703160"/>
    <m/>
    <n v="2000000"/>
    <n v="3156696"/>
    <n v="3156696"/>
    <m/>
    <n v="4000000"/>
    <n v="20611427"/>
    <n v="20611427"/>
    <m/>
    <m/>
    <n v="1500000"/>
    <n v="2183109"/>
    <m/>
    <m/>
    <n v="1972051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s v="PASS"/>
  </r>
  <r>
    <s v="기업교육2팀"/>
    <x v="8"/>
    <s v="S&amp;I Corp"/>
    <n v="50138"/>
    <m/>
    <m/>
    <m/>
    <s v="1. 온라인 - 단과"/>
    <x v="0"/>
    <n v="303326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SK네트웍스서비스"/>
    <n v="12658"/>
    <m/>
    <m/>
    <m/>
    <s v="1. 온라인 - 단과"/>
    <x v="0"/>
    <m/>
    <n v="6489000"/>
    <x v="2"/>
    <n v="2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n v="2000000"/>
    <m/>
    <m/>
    <m/>
    <m/>
    <m/>
    <m/>
  </r>
  <r>
    <s v="기업교육2팀"/>
    <x v="8"/>
    <s v="SK네트웍스서비스"/>
    <n v="12658"/>
    <s v="02 1001~2000대"/>
    <s v="01 수성"/>
    <s v="03 휴넷 LMS"/>
    <s v="2. 온라인 - 법정"/>
    <x v="6"/>
    <n v="13154500"/>
    <n v="4094000"/>
    <x v="1"/>
    <n v="12500000"/>
    <n v="2500000"/>
    <n v="5000000"/>
    <n v="-2500000"/>
    <m/>
    <m/>
    <m/>
    <m/>
    <m/>
    <m/>
    <m/>
    <m/>
    <m/>
    <m/>
    <m/>
    <m/>
    <n v="1500000"/>
    <m/>
    <m/>
    <m/>
    <m/>
    <m/>
    <m/>
    <m/>
    <n v="1500000"/>
    <m/>
    <m/>
    <m/>
    <m/>
    <m/>
    <m/>
    <m/>
    <m/>
    <m/>
    <m/>
    <m/>
    <n v="1500000"/>
    <m/>
    <m/>
    <m/>
    <m/>
    <m/>
    <m/>
    <m/>
    <m/>
    <m/>
    <m/>
    <m/>
    <n v="8000000"/>
    <n v="2500000"/>
    <m/>
    <m/>
    <m/>
    <m/>
    <m/>
    <s v="PASS"/>
  </r>
  <r>
    <s v="기업교육2팀"/>
    <x v="8"/>
    <s v="SK네트웍스서비스"/>
    <n v="12658"/>
    <s v="02 1001~2000대"/>
    <s v="01 수성"/>
    <s v="03 휴넷 LMS"/>
    <s v="3. 온라인 - 마이크로러닝"/>
    <x v="9"/>
    <n v="10000000"/>
    <n v="11000000"/>
    <x v="1"/>
    <n v="12000000"/>
    <n v="13305000"/>
    <n v="11000000"/>
    <n v="2305000"/>
    <m/>
    <m/>
    <m/>
    <m/>
    <m/>
    <m/>
    <m/>
    <m/>
    <m/>
    <m/>
    <m/>
    <m/>
    <n v="12000000"/>
    <n v="11000000"/>
    <n v="11000000"/>
    <m/>
    <m/>
    <m/>
    <m/>
    <m/>
    <m/>
    <n v="2305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SK네트웍스서비스"/>
    <n v="12658"/>
    <m/>
    <m/>
    <m/>
    <s v="6. 하이브리드러닝 - 집합형"/>
    <x v="4"/>
    <m/>
    <n v="6818182"/>
    <x v="2"/>
    <n v="7000000"/>
    <n v="20000000"/>
    <n v="20000000"/>
    <n v="0"/>
    <m/>
    <m/>
    <m/>
    <m/>
    <m/>
    <m/>
    <m/>
    <m/>
    <m/>
    <m/>
    <m/>
    <m/>
    <m/>
    <m/>
    <m/>
    <m/>
    <m/>
    <m/>
    <m/>
    <m/>
    <n v="7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</r>
  <r>
    <s v="기업교육2팀"/>
    <x v="8"/>
    <s v="고려대학교(컨텐츠개발)"/>
    <n v="61169"/>
    <m/>
    <m/>
    <m/>
    <s v="10. 컨텐츠 - 컨텐츠 개발"/>
    <x v="3"/>
    <m/>
    <n v="59090909"/>
    <x v="1"/>
    <n v="130000000"/>
    <n v="59090909"/>
    <n v="59090909"/>
    <n v="0"/>
    <n v="65000000"/>
    <m/>
    <m/>
    <m/>
    <n v="65000000"/>
    <n v="59090909"/>
    <n v="59090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대학교(컨텐츠개발)"/>
    <n v="61169"/>
    <m/>
    <m/>
    <m/>
    <s v="10. 컨텐츠 - 컨텐츠 개발"/>
    <x v="3"/>
    <m/>
    <m/>
    <x v="4"/>
    <n v="0"/>
    <n v="0"/>
    <n v="0"/>
    <n v="0"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해운"/>
    <s v="3867"/>
    <m/>
    <m/>
    <m/>
    <s v="1. 온라인 - 단과"/>
    <x v="6"/>
    <m/>
    <n v="2196000"/>
    <x v="1"/>
    <n v="2000000"/>
    <n v="2000000"/>
    <n v="2000000"/>
    <n v="0"/>
    <m/>
    <m/>
    <n v="905000"/>
    <m/>
    <m/>
    <m/>
    <m/>
    <m/>
    <m/>
    <m/>
    <m/>
    <m/>
    <m/>
    <m/>
    <m/>
    <m/>
    <m/>
    <m/>
    <m/>
    <m/>
    <n v="2000000"/>
    <m/>
    <m/>
    <m/>
    <m/>
    <n v="1095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국립박물관문화재단"/>
    <n v="16298"/>
    <s v="05 공공"/>
    <s v="02 윈백"/>
    <s v="02 경쟁사 LMS"/>
    <s v="2. 온라인 - 법정"/>
    <x v="6"/>
    <n v="6653000"/>
    <n v="7742000"/>
    <x v="1"/>
    <n v="13300000"/>
    <n v="11300000"/>
    <n v="11800000"/>
    <n v="-500000"/>
    <n v="1000000"/>
    <n v="1000000"/>
    <m/>
    <m/>
    <m/>
    <m/>
    <m/>
    <m/>
    <n v="500000"/>
    <m/>
    <m/>
    <m/>
    <n v="500000"/>
    <m/>
    <m/>
    <m/>
    <n v="500000"/>
    <m/>
    <m/>
    <m/>
    <n v="500000"/>
    <m/>
    <m/>
    <m/>
    <n v="2000000"/>
    <n v="1500000"/>
    <m/>
    <m/>
    <n v="1000000"/>
    <n v="1500000"/>
    <m/>
    <m/>
    <m/>
    <n v="1000000"/>
    <m/>
    <m/>
    <n v="300000"/>
    <n v="300000"/>
    <m/>
    <m/>
    <n v="6000000"/>
    <n v="6000000"/>
    <m/>
    <m/>
    <n v="1000000"/>
    <n v="1000000"/>
    <m/>
    <m/>
    <m/>
    <m/>
    <m/>
    <s v="PASS"/>
  </r>
  <r>
    <s v="기업교육2팀"/>
    <x v="8"/>
    <s v="국립박물관문화재단"/>
    <n v="16298"/>
    <m/>
    <m/>
    <m/>
    <s v="6. 하이브리드러닝 - 집합형"/>
    <x v="4"/>
    <s v=""/>
    <n v="80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국립박물관문화재단_FLEX24"/>
    <n v="60187"/>
    <s v="05 공공"/>
    <m/>
    <m/>
    <s v="26. 정부지원사업 - HRDFLEX"/>
    <x v="16"/>
    <m/>
    <n v="86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네오바이오텍_FLEX24"/>
    <n v="60388"/>
    <m/>
    <s v="01 수성"/>
    <s v="03 휴넷 LMS"/>
    <s v="26. 정부지원사업 - HRDFLEX"/>
    <x v="16"/>
    <n v="27580000"/>
    <n v="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다원시스_FLEX24"/>
    <n v="60188"/>
    <m/>
    <m/>
    <m/>
    <s v="26. 정부지원사업 - HRDFLEX"/>
    <x v="16"/>
    <n v="27300000"/>
    <n v="28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대구그린파워"/>
    <n v="24534"/>
    <s v="02 1001~2000대"/>
    <s v="01 수성"/>
    <s v="03 휴넷 LMS"/>
    <s v="2. 온라인 - 법정"/>
    <x v="6"/>
    <s v=""/>
    <n v="5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8"/>
    <s v="대성그룹"/>
    <n v="53468"/>
    <s v="01 1~1000대"/>
    <s v="01 수성"/>
    <s v="03 휴넷 LMS"/>
    <s v="2. 온라인 - 법정"/>
    <x v="6"/>
    <n v="812000"/>
    <n v="605000"/>
    <x v="1"/>
    <n v="1000000"/>
    <n v="1000000"/>
    <n v="1000000"/>
    <n v="0"/>
    <m/>
    <m/>
    <m/>
    <m/>
    <m/>
    <m/>
    <m/>
    <m/>
    <n v="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"/>
    <n v="1000000"/>
    <m/>
    <m/>
    <m/>
    <m/>
    <m/>
    <m/>
    <m/>
    <m/>
    <m/>
    <s v="PASS"/>
  </r>
  <r>
    <s v="기업교육2팀"/>
    <x v="8"/>
    <s v="대성에너지"/>
    <n v="16137"/>
    <s v="01 1~1000대"/>
    <s v="01 수성"/>
    <s v="03 휴넷 LMS"/>
    <s v="2. 온라인 - 법정"/>
    <x v="6"/>
    <s v=""/>
    <n v="627000"/>
    <x v="1"/>
    <n v="1000000"/>
    <n v="6000000"/>
    <n v="6000000"/>
    <n v="0"/>
    <m/>
    <m/>
    <m/>
    <m/>
    <m/>
    <m/>
    <m/>
    <m/>
    <m/>
    <m/>
    <m/>
    <m/>
    <m/>
    <n v="2000000"/>
    <n v="2000000"/>
    <m/>
    <m/>
    <m/>
    <m/>
    <m/>
    <n v="1000000"/>
    <m/>
    <m/>
    <m/>
    <m/>
    <m/>
    <m/>
    <m/>
    <m/>
    <m/>
    <m/>
    <m/>
    <m/>
    <n v="2000000"/>
    <m/>
    <m/>
    <m/>
    <m/>
    <m/>
    <m/>
    <m/>
    <m/>
    <m/>
    <m/>
    <m/>
    <n v="2000000"/>
    <m/>
    <m/>
    <m/>
    <m/>
    <m/>
    <m/>
  </r>
  <r>
    <s v="기업교육2팀"/>
    <x v="8"/>
    <s v="대성에너지"/>
    <n v="16137"/>
    <s v="01 1~1000대"/>
    <s v="01 수성"/>
    <s v="03 휴넷 LMS"/>
    <s v="2. 온라인 - 법정"/>
    <x v="4"/>
    <s v=""/>
    <m/>
    <x v="1"/>
    <n v="0"/>
    <n v="5010000"/>
    <n v="5010000"/>
    <n v="0"/>
    <m/>
    <m/>
    <m/>
    <m/>
    <m/>
    <m/>
    <m/>
    <m/>
    <m/>
    <m/>
    <m/>
    <m/>
    <m/>
    <n v="2710000"/>
    <n v="2710000"/>
    <m/>
    <m/>
    <m/>
    <m/>
    <m/>
    <m/>
    <m/>
    <m/>
    <m/>
    <m/>
    <n v="23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통합위탁"/>
    <x v="1"/>
    <n v="55474800"/>
    <n v="68213400"/>
    <x v="1"/>
    <n v="60000000"/>
    <n v="39633900"/>
    <n v="43476900"/>
    <n v="-3843000"/>
    <n v="4000000"/>
    <n v="4000000"/>
    <n v="847000"/>
    <s v="25년부터 전화외국어 사업X, 월예상금액 조정필요"/>
    <n v="4000000"/>
    <n v="1313800"/>
    <n v="1313800"/>
    <m/>
    <n v="4000000"/>
    <n v="1324000"/>
    <n v="1324000"/>
    <s v="전화외국어 사업X"/>
    <n v="6000000"/>
    <n v="2069100"/>
    <n v="2069100"/>
    <m/>
    <n v="6000000"/>
    <n v="2020797"/>
    <n v="1923000"/>
    <m/>
    <n v="6000000"/>
    <n v="2157000"/>
    <m/>
    <m/>
    <n v="6000000"/>
    <n v="6000000"/>
    <m/>
    <m/>
    <n v="6000000"/>
    <n v="6000000"/>
    <m/>
    <m/>
    <n v="4000000"/>
    <n v="4000000"/>
    <m/>
    <m/>
    <n v="6000000"/>
    <n v="6000000"/>
    <m/>
    <m/>
    <n v="4000000"/>
    <n v="4000000"/>
    <m/>
    <m/>
    <n v="4000000"/>
    <n v="4000000"/>
    <m/>
    <m/>
    <m/>
    <m/>
    <m/>
    <s v="PASS"/>
  </r>
  <r>
    <s v="기업교육2팀"/>
    <x v="8"/>
    <s v="린나이코리아"/>
    <n v="4994"/>
    <s v="02 1001~2000대"/>
    <s v="01 수성"/>
    <s v="03 휴넷 LMS"/>
    <s v="6. 하이브리드러닝 - 집합형"/>
    <x v="2"/>
    <n v="7800000"/>
    <n v="3000000"/>
    <x v="1"/>
    <n v="6000000"/>
    <n v="7400000"/>
    <n v="7400000"/>
    <n v="0"/>
    <m/>
    <m/>
    <m/>
    <m/>
    <m/>
    <m/>
    <m/>
    <m/>
    <n v="3000000"/>
    <n v="3700000"/>
    <n v="3700000"/>
    <m/>
    <m/>
    <n v="3700000"/>
    <n v="3700000"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6. 하이브리드러닝 - 집합형"/>
    <x v="3"/>
    <m/>
    <m/>
    <x v="1"/>
    <n v="6000000"/>
    <n v="10000000"/>
    <n v="10000000"/>
    <n v="0"/>
    <m/>
    <m/>
    <m/>
    <m/>
    <m/>
    <m/>
    <m/>
    <m/>
    <n v="3000000"/>
    <n v="3700000"/>
    <m/>
    <m/>
    <m/>
    <n v="3700000"/>
    <m/>
    <m/>
    <n v="3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린나이코리아_A25"/>
    <n v="4994"/>
    <s v="02 1001~2000대"/>
    <s v="01 수성"/>
    <s v="03 휴넷 LMS"/>
    <s v="통합위탁"/>
    <x v="14"/>
    <m/>
    <m/>
    <x v="1"/>
    <n v="0"/>
    <n v="10500000"/>
    <n v="10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00000"/>
    <m/>
    <m/>
    <m/>
    <m/>
    <m/>
    <s v="PASS"/>
  </r>
  <r>
    <s v="기업교육2팀"/>
    <x v="8"/>
    <s v="린나이코리아_FLEX24"/>
    <n v="60055"/>
    <m/>
    <m/>
    <m/>
    <s v="26. 정부지원사업 - HRDFLEX"/>
    <x v="14"/>
    <m/>
    <n v="14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서비스"/>
    <n v="57615"/>
    <m/>
    <m/>
    <m/>
    <s v="26. 정부지원사업 - HRDFLEX"/>
    <x v="16"/>
    <n v="3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앤컴퍼니_FLEX24"/>
    <n v="60186"/>
    <m/>
    <s v="01 수성"/>
    <s v="03 휴넷 LMS"/>
    <s v="26. 정부지원사업 - HRDFLEX"/>
    <x v="16"/>
    <n v="25760000"/>
    <n v="154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m/>
    <m/>
    <m/>
    <x v="1"/>
    <m/>
    <n v="0"/>
    <x v="1"/>
    <n v="140000000"/>
    <n v="92976780"/>
    <n v="93512370"/>
    <n v="-535590"/>
    <n v="10000000"/>
    <n v="10000000"/>
    <m/>
    <s v="익월 발행으로 변경"/>
    <n v="12000000"/>
    <n v="4073560"/>
    <m/>
    <m/>
    <n v="12000000"/>
    <n v="11920080"/>
    <m/>
    <m/>
    <n v="12000000"/>
    <m/>
    <m/>
    <m/>
    <n v="12000000"/>
    <n v="8755030"/>
    <n v="9512370"/>
    <m/>
    <n v="12000000"/>
    <n v="1146441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0000000"/>
    <n v="12000000"/>
    <m/>
    <m/>
    <m/>
    <m/>
    <m/>
    <s v="PASS"/>
  </r>
  <r>
    <s v="기업교육2팀"/>
    <x v="8"/>
    <s v="매일유업"/>
    <n v="61682"/>
    <s v=""/>
    <s v="01 수성"/>
    <s v="03 휴넷 LMS"/>
    <s v="2. 온라인 - 법정"/>
    <x v="6"/>
    <n v="200000"/>
    <n v="0"/>
    <x v="1"/>
    <n v="10000000"/>
    <n v="12207660"/>
    <n v="12134000"/>
    <n v="73660"/>
    <m/>
    <m/>
    <m/>
    <m/>
    <m/>
    <m/>
    <m/>
    <m/>
    <m/>
    <m/>
    <m/>
    <m/>
    <m/>
    <m/>
    <m/>
    <m/>
    <m/>
    <m/>
    <m/>
    <m/>
    <n v="5000000"/>
    <n v="73660"/>
    <m/>
    <m/>
    <m/>
    <n v="7134000"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8"/>
    <s v="매일유업"/>
    <n v="61682"/>
    <m/>
    <m/>
    <m/>
    <m/>
    <x v="4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매일유업"/>
    <n v="61682"/>
    <m/>
    <m/>
    <m/>
    <m/>
    <x v="11"/>
    <m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s v="01 수성"/>
    <s v="03 휴넷 LMS"/>
    <m/>
    <x v="18"/>
    <m/>
    <n v="0"/>
    <x v="1"/>
    <n v="0"/>
    <n v="15350700"/>
    <n v="15718730"/>
    <n v="-368030"/>
    <m/>
    <m/>
    <m/>
    <m/>
    <m/>
    <m/>
    <m/>
    <m/>
    <m/>
    <n v="1819440"/>
    <m/>
    <m/>
    <m/>
    <m/>
    <m/>
    <m/>
    <m/>
    <n v="2000000"/>
    <n v="1718730"/>
    <m/>
    <m/>
    <n v="1631970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m/>
  </r>
  <r>
    <s v="기업교육2팀"/>
    <x v="8"/>
    <s v="매일홀딩스"/>
    <n v="28925"/>
    <s v=""/>
    <s v="01 수성"/>
    <s v="03 휴넷 LMS"/>
    <s v="2. 온라인 - 법정"/>
    <x v="6"/>
    <n v="740000"/>
    <n v="28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1. 온라인 - 단과"/>
    <x v="0"/>
    <n v="3190000"/>
    <n v="2686500"/>
    <x v="1"/>
    <n v="3000000"/>
    <n v="2487500"/>
    <n v="2487500"/>
    <n v="0"/>
    <m/>
    <m/>
    <m/>
    <m/>
    <m/>
    <m/>
    <m/>
    <m/>
    <m/>
    <m/>
    <m/>
    <m/>
    <m/>
    <m/>
    <m/>
    <m/>
    <m/>
    <n v="2500000"/>
    <n v="2487500"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6. 하이브리드러닝 - 집합형"/>
    <x v="2"/>
    <m/>
    <n v="3850000"/>
    <x v="1"/>
    <n v="2000000"/>
    <n v="2000000"/>
    <n v="2000000"/>
    <n v="0"/>
    <m/>
    <m/>
    <m/>
    <m/>
    <m/>
    <m/>
    <m/>
    <m/>
    <n v="1000000"/>
    <m/>
    <m/>
    <m/>
    <m/>
    <m/>
    <m/>
    <m/>
    <m/>
    <m/>
    <m/>
    <m/>
    <m/>
    <m/>
    <m/>
    <m/>
    <m/>
    <n v="2000000"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8"/>
    <s v="미래에셋캐피탈_FLEX24"/>
    <n v="60189"/>
    <m/>
    <m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분당서울대학교병원"/>
    <n v="10065"/>
    <s v="03 2001~3000대"/>
    <m/>
    <m/>
    <s v="통합위탁"/>
    <x v="1"/>
    <n v="220143958"/>
    <n v="216620206"/>
    <x v="1"/>
    <n v="220000000"/>
    <n v="221601100"/>
    <n v="221771100"/>
    <n v="-170000"/>
    <n v="30000000"/>
    <n v="23410000"/>
    <n v="22546100"/>
    <s v="간호직무 취소자 발생으로 2/6 발행"/>
    <n v="16000000"/>
    <n v="20300000"/>
    <n v="18970000"/>
    <s v="계산서 재발행"/>
    <n v="16000000"/>
    <n v="17010000"/>
    <n v="17070000"/>
    <m/>
    <n v="16000000"/>
    <n v="17611400"/>
    <n v="17450000"/>
    <m/>
    <n v="16000000"/>
    <n v="18000000"/>
    <n v="17735000"/>
    <m/>
    <n v="16000000"/>
    <n v="17830000"/>
    <m/>
    <m/>
    <n v="16000000"/>
    <n v="18000000"/>
    <m/>
    <m/>
    <n v="16000000"/>
    <n v="18000000"/>
    <m/>
    <m/>
    <n v="18000000"/>
    <n v="18000000"/>
    <m/>
    <m/>
    <n v="20000000"/>
    <n v="18000000"/>
    <m/>
    <m/>
    <n v="20000000"/>
    <n v="18000000"/>
    <m/>
    <m/>
    <n v="20000000"/>
    <n v="20000000"/>
    <m/>
    <m/>
    <m/>
    <m/>
    <m/>
    <s v="PASS"/>
  </r>
  <r>
    <s v="기업교육2팀"/>
    <x v="8"/>
    <s v="분당서울대학교병원"/>
    <n v="10065"/>
    <s v="03 2001~3000대"/>
    <m/>
    <m/>
    <s v="10. 컨텐츠 - 컨텐츠 개발"/>
    <x v="3"/>
    <n v="20650000"/>
    <n v="14020364"/>
    <x v="1"/>
    <n v="5000000"/>
    <n v="10000000"/>
    <n v="9000000"/>
    <n v="1000000"/>
    <m/>
    <m/>
    <m/>
    <m/>
    <m/>
    <m/>
    <m/>
    <m/>
    <m/>
    <m/>
    <m/>
    <m/>
    <n v="5000000"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비엠더블유파이낸셜서비스코리아"/>
    <n v="16145"/>
    <s v="01 1~1000대"/>
    <s v="01 수성"/>
    <s v="01 수성"/>
    <s v="1. 온라인 - 단과"/>
    <x v="0"/>
    <n v="7646000"/>
    <n v="7646000"/>
    <x v="1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s v="PASS"/>
  </r>
  <r>
    <s v="기업교육2팀"/>
    <x v="8"/>
    <s v="사조대림 인천공장"/>
    <n v="45082"/>
    <m/>
    <m/>
    <m/>
    <s v="1. 온라인 - 단과"/>
    <x v="0"/>
    <n v="1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사조동아원"/>
    <n v="10646"/>
    <s v="02 1001~2000대"/>
    <s v="01 수성"/>
    <s v="03 휴넷 LMS"/>
    <s v="1. 온라인 - 단과"/>
    <x v="0"/>
    <n v="33524420"/>
    <n v="35348100"/>
    <x v="1"/>
    <n v="10000000"/>
    <n v="10407500"/>
    <n v="10037500"/>
    <n v="370000"/>
    <m/>
    <m/>
    <m/>
    <m/>
    <m/>
    <m/>
    <m/>
    <m/>
    <m/>
    <m/>
    <m/>
    <m/>
    <m/>
    <m/>
    <m/>
    <m/>
    <m/>
    <n v="2000000"/>
    <n v="2037500"/>
    <m/>
    <n v="2000000"/>
    <n v="370000"/>
    <m/>
    <m/>
    <m/>
    <m/>
    <m/>
    <m/>
    <m/>
    <m/>
    <m/>
    <m/>
    <m/>
    <m/>
    <m/>
    <m/>
    <m/>
    <m/>
    <m/>
    <m/>
    <n v="8000000"/>
    <n v="8000000"/>
    <m/>
    <m/>
    <m/>
    <m/>
    <m/>
    <m/>
    <m/>
    <m/>
    <m/>
    <m/>
  </r>
  <r>
    <s v="기업교육2팀"/>
    <x v="8"/>
    <s v="사조산업"/>
    <n v="4073"/>
    <s v="02 1001~2000대"/>
    <s v="01 수성"/>
    <s v="03 휴넷 LMS"/>
    <s v="1. 온라인 - 단과"/>
    <x v="0"/>
    <n v="12548720"/>
    <n v="18337400"/>
    <x v="1"/>
    <n v="12000000"/>
    <n v="12277000"/>
    <n v="10259000"/>
    <n v="2018000"/>
    <n v="1000000"/>
    <n v="1000000"/>
    <n v="150000"/>
    <m/>
    <n v="1000000"/>
    <n v="50000"/>
    <n v="50000"/>
    <m/>
    <n v="1000000"/>
    <n v="699000"/>
    <n v="699000"/>
    <m/>
    <n v="1000000"/>
    <n v="568000"/>
    <n v="568000"/>
    <m/>
    <n v="1000000"/>
    <n v="1000000"/>
    <n v="792000"/>
    <m/>
    <n v="1000000"/>
    <n v="3018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2000000"/>
    <m/>
    <m/>
    <m/>
    <m/>
    <m/>
    <s v="PASS"/>
  </r>
  <r>
    <s v="기업교육2팀"/>
    <x v="8"/>
    <s v="사조오양"/>
    <n v="14752"/>
    <s v="02 1001~2000대"/>
    <s v="01 수성"/>
    <s v="03 휴넷 LMS"/>
    <s v="1. 온라인 - 단과"/>
    <x v="0"/>
    <n v="11333860"/>
    <n v="13215640"/>
    <x v="1"/>
    <n v="10000000"/>
    <n v="11323000"/>
    <n v="10522000"/>
    <n v="801000"/>
    <m/>
    <m/>
    <m/>
    <m/>
    <m/>
    <m/>
    <m/>
    <m/>
    <m/>
    <n v="522000"/>
    <n v="522000"/>
    <m/>
    <m/>
    <m/>
    <m/>
    <m/>
    <m/>
    <m/>
    <m/>
    <m/>
    <m/>
    <n v="801000"/>
    <m/>
    <m/>
    <n v="10000000"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사조원_A25"/>
    <n v="60014"/>
    <s v=""/>
    <s v="01 수성"/>
    <s v="03 휴넷 LMS"/>
    <s v="26. 정부지원사업 - HRDFLEX"/>
    <x v="14"/>
    <m/>
    <m/>
    <x v="1"/>
    <n v="0"/>
    <n v="18480000"/>
    <n v="1848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80000"/>
    <m/>
    <m/>
    <m/>
    <m/>
    <m/>
    <m/>
  </r>
  <r>
    <s v="기업교육2팀"/>
    <x v="8"/>
    <s v="사조원_FLEX24 (23:57480)"/>
    <n v="60014"/>
    <s v=""/>
    <s v="01 수성"/>
    <s v="03 휴넷 LMS"/>
    <s v="26. 정부지원사업 - HRDFLEX"/>
    <x v="16"/>
    <n v="16380000"/>
    <n v="161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산은캐피탈(KDB캐피탈)"/>
    <n v="4153"/>
    <s v="02 1001~2000대"/>
    <s v="01 수성"/>
    <s v="01 수성"/>
    <s v="1. 온라인 - 단과"/>
    <x v="0"/>
    <n v="8785000"/>
    <n v="2985000"/>
    <x v="1"/>
    <n v="5500000"/>
    <n v="5500000"/>
    <n v="5500000"/>
    <n v="0"/>
    <m/>
    <m/>
    <m/>
    <m/>
    <m/>
    <m/>
    <m/>
    <m/>
    <m/>
    <m/>
    <m/>
    <m/>
    <m/>
    <n v="2500000"/>
    <n v="2500000"/>
    <m/>
    <m/>
    <m/>
    <m/>
    <m/>
    <m/>
    <m/>
    <m/>
    <m/>
    <n v="5500000"/>
    <n v="3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산은캐피탈(KDB캐피탈)"/>
    <n v="4153"/>
    <s v="02 1001~2000대"/>
    <s v="01 수성"/>
    <s v="01 수성"/>
    <s v="2. 온라인 - 법정"/>
    <x v="6"/>
    <n v="16825000"/>
    <n v="0"/>
    <x v="1"/>
    <n v="3000000"/>
    <n v="1900000"/>
    <n v="19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1900000"/>
    <m/>
    <m/>
    <m/>
    <m/>
    <m/>
    <s v="PASS"/>
  </r>
  <r>
    <s v="기업교육2팀"/>
    <x v="8"/>
    <s v="산은캐피탈(KDB캐피탈)"/>
    <n v="4153"/>
    <m/>
    <m/>
    <m/>
    <s v="6. 하이브리드러닝 - 집합형"/>
    <x v="2"/>
    <m/>
    <n v="1100000"/>
    <x v="1"/>
    <n v="2000000"/>
    <n v="1100000"/>
    <n v="1100000"/>
    <n v="0"/>
    <m/>
    <m/>
    <n v="1100000"/>
    <m/>
    <n v="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상상인증권"/>
    <n v="4134"/>
    <s v="04 3000대 이후"/>
    <s v="01 수성"/>
    <s v="03 휴넷 LMS"/>
    <s v="1. 온라인 - 단과"/>
    <x v="0"/>
    <n v="2367000"/>
    <n v="2358000"/>
    <x v="1"/>
    <n v="2500000"/>
    <n v="2500000"/>
    <n v="2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"/>
    <n v="2500000"/>
    <m/>
    <m/>
    <m/>
    <m/>
    <m/>
    <s v="PASS"/>
  </r>
  <r>
    <s v="기업교육2팀"/>
    <x v="8"/>
    <s v="상하농원"/>
    <n v="53665"/>
    <s v=""/>
    <s v="01 수성"/>
    <s v="03 휴넷 LMS"/>
    <s v="2. 온라인 - 법정"/>
    <x v="6"/>
    <n v="3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셀트리온제약"/>
    <n v="19769"/>
    <s v="02 1001~2000대"/>
    <s v="04 연장"/>
    <s v="03 휴넷 LMS"/>
    <s v="2. 온라인 - 법정"/>
    <x v="0"/>
    <n v="11680000"/>
    <n v="12655000"/>
    <x v="1"/>
    <n v="11000000"/>
    <n v="11037500"/>
    <n v="11037500"/>
    <n v="0"/>
    <m/>
    <m/>
    <m/>
    <m/>
    <m/>
    <m/>
    <n v="3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s v="PASS"/>
  </r>
  <r>
    <s v="기업교육2팀"/>
    <x v="8"/>
    <s v="애경산업"/>
    <n v="2234"/>
    <s v="02 1001~2000대"/>
    <s v="01 수성"/>
    <s v="03 휴넷 LMS"/>
    <s v="4. 하이브리드러닝 - 플립형"/>
    <x v="2"/>
    <m/>
    <n v="3000000"/>
    <x v="1"/>
    <n v="21000000"/>
    <n v="1815000"/>
    <n v="1815000"/>
    <n v="0"/>
    <m/>
    <m/>
    <m/>
    <m/>
    <m/>
    <m/>
    <m/>
    <m/>
    <n v="20000000"/>
    <m/>
    <m/>
    <m/>
    <m/>
    <n v="1815000"/>
    <n v="1815000"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에스엘엘중앙"/>
    <n v="53648"/>
    <s v="02 1001~2000대"/>
    <s v="01 수성"/>
    <s v="03 휴넷 LMS"/>
    <s v="2. 온라인 - 법정"/>
    <x v="6"/>
    <n v="2140000"/>
    <n v="25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</r>
  <r>
    <s v="기업교육2팀"/>
    <x v="8"/>
    <s v="엘에프"/>
    <s v="62036"/>
    <m/>
    <m/>
    <m/>
    <s v="1. 온라인 - 단과"/>
    <x v="1"/>
    <m/>
    <n v="0"/>
    <x v="1"/>
    <n v="150000000"/>
    <n v="153940250"/>
    <n v="159883400"/>
    <n v="-5943150"/>
    <n v="5000000"/>
    <n v="0"/>
    <m/>
    <s v="담당자변경으로 12~1월 건 2월 통합발행"/>
    <n v="10000000"/>
    <m/>
    <m/>
    <m/>
    <n v="10000000"/>
    <m/>
    <m/>
    <m/>
    <n v="10000000"/>
    <n v="34772900"/>
    <n v="34772900"/>
    <m/>
    <n v="10000000"/>
    <n v="16000000"/>
    <n v="15110500"/>
    <m/>
    <n v="10000000"/>
    <n v="8056850"/>
    <m/>
    <m/>
    <n v="10000000"/>
    <n v="15000000"/>
    <m/>
    <m/>
    <n v="10000000"/>
    <n v="17000000"/>
    <m/>
    <m/>
    <n v="10000000"/>
    <n v="15000000"/>
    <m/>
    <m/>
    <n v="10000000"/>
    <n v="15000000"/>
    <m/>
    <m/>
    <n v="10000000"/>
    <n v="16000000"/>
    <m/>
    <m/>
    <n v="45000000"/>
    <n v="18000000"/>
    <m/>
    <m/>
    <m/>
    <m/>
    <m/>
    <s v="PASS"/>
  </r>
  <r>
    <s v="기업교육2팀"/>
    <x v="8"/>
    <s v="엘에프"/>
    <s v="62036"/>
    <m/>
    <m/>
    <m/>
    <s v="1. 온라인 - 단과"/>
    <x v="0"/>
    <s v=""/>
    <m/>
    <x v="1"/>
    <n v="0"/>
    <n v="8250000"/>
    <n v="8250000"/>
    <n v="0"/>
    <m/>
    <m/>
    <m/>
    <m/>
    <m/>
    <m/>
    <m/>
    <m/>
    <m/>
    <m/>
    <m/>
    <m/>
    <m/>
    <m/>
    <m/>
    <m/>
    <m/>
    <m/>
    <m/>
    <m/>
    <m/>
    <m/>
    <m/>
    <m/>
    <m/>
    <n v="825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엘에프"/>
    <s v="62036"/>
    <m/>
    <m/>
    <m/>
    <s v="7. 휴넷CEO - 휴넷CEO"/>
    <x v="10"/>
    <m/>
    <n v="1200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</r>
  <r>
    <s v="기업교육2팀"/>
    <x v="8"/>
    <s v="엘에프네트웍스"/>
    <n v="30487"/>
    <s v=""/>
    <s v="01 수성"/>
    <s v="03 휴넷 LMS"/>
    <s v="10. 컨텐츠 - 컨텐츠 개발"/>
    <x v="3"/>
    <n v="5800000"/>
    <n v="0"/>
    <x v="6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</r>
  <r>
    <s v="기업교육2팀"/>
    <x v="8"/>
    <s v="엘에프네트웍스"/>
    <n v="30487"/>
    <s v=""/>
    <s v="01 수성"/>
    <s v="03 휴넷 LMS"/>
    <s v="24. 운영 - 운영매출"/>
    <x v="13"/>
    <m/>
    <n v="765000"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8"/>
    <s v="엠즈씨드"/>
    <n v="18621"/>
    <s v=""/>
    <s v="01 수성"/>
    <s v="03 휴넷 LMS"/>
    <s v="1. 온라인 - 단과"/>
    <x v="0"/>
    <n v="18670000"/>
    <n v="26050000"/>
    <x v="1"/>
    <n v="18000000"/>
    <n v="10227300"/>
    <n v="11532300"/>
    <n v="-1305000"/>
    <n v="1500000"/>
    <n v="1500000"/>
    <m/>
    <m/>
    <n v="1500000"/>
    <n v="3933600"/>
    <m/>
    <m/>
    <n v="1500000"/>
    <n v="1354300"/>
    <m/>
    <m/>
    <n v="1500000"/>
    <m/>
    <m/>
    <m/>
    <n v="1500000"/>
    <n v="1500000"/>
    <n v="1032300"/>
    <m/>
    <n v="1500000"/>
    <n v="195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m/>
    <m/>
    <m/>
    <s v="PASS"/>
  </r>
  <r>
    <s v="기업교육2팀"/>
    <x v="8"/>
    <s v="엠즈씨드"/>
    <n v="18621"/>
    <m/>
    <m/>
    <m/>
    <s v="2. 온라인 - 법정"/>
    <x v="6"/>
    <n v="12130000"/>
    <n v="16960000"/>
    <x v="1"/>
    <n v="12000000"/>
    <n v="12000000"/>
    <n v="12000000"/>
    <n v="0"/>
    <m/>
    <m/>
    <m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s v="PASS"/>
  </r>
  <r>
    <s v="기업교육2팀"/>
    <x v="8"/>
    <s v="엠즈씨드"/>
    <n v="18621"/>
    <s v="03. 이러닝 - 법정"/>
    <n v="12130000"/>
    <n v="80000"/>
    <s v="10. 컨텐츠 - 컨텐츠 개발"/>
    <x v="3"/>
    <n v="0"/>
    <n v="0"/>
    <x v="1"/>
    <n v="23100000"/>
    <n v="10400000"/>
    <n v="9900000"/>
    <n v="500000"/>
    <m/>
    <m/>
    <m/>
    <m/>
    <m/>
    <m/>
    <m/>
    <m/>
    <n v="13200000"/>
    <n v="13200000"/>
    <m/>
    <m/>
    <m/>
    <m/>
    <m/>
    <m/>
    <n v="9900000"/>
    <m/>
    <m/>
    <m/>
    <m/>
    <n v="104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엠지손해보험"/>
    <n v="1615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예금보험공사"/>
    <n v="10181"/>
    <s v="05 공공"/>
    <s v="01 수성"/>
    <s v="01 수성"/>
    <s v="1. 온라인 - 단과"/>
    <x v="0"/>
    <s v=""/>
    <n v="9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예금보험공사"/>
    <n v="10181"/>
    <s v="05 공공"/>
    <s v="01 수성"/>
    <s v="03 휴넷 LMS"/>
    <s v="2. 온라인 - 법정"/>
    <x v="6"/>
    <n v="25450000"/>
    <n v="24618000"/>
    <x v="1"/>
    <n v="22000000"/>
    <n v="21180000"/>
    <n v="20940000"/>
    <n v="240000"/>
    <m/>
    <m/>
    <m/>
    <m/>
    <m/>
    <n v="700000"/>
    <n v="700000"/>
    <m/>
    <m/>
    <n v="240000"/>
    <n v="240000"/>
    <m/>
    <m/>
    <m/>
    <m/>
    <m/>
    <m/>
    <n v="100000"/>
    <n v="100000"/>
    <m/>
    <m/>
    <n v="240000"/>
    <m/>
    <m/>
    <m/>
    <m/>
    <m/>
    <m/>
    <n v="2000000"/>
    <m/>
    <m/>
    <m/>
    <m/>
    <m/>
    <m/>
    <m/>
    <m/>
    <m/>
    <m/>
    <m/>
    <m/>
    <m/>
    <m/>
    <m/>
    <n v="20000000"/>
    <n v="19900000"/>
    <m/>
    <m/>
    <m/>
    <m/>
    <m/>
    <s v="PASS"/>
  </r>
  <r>
    <s v="기업교육2팀"/>
    <x v="8"/>
    <s v="웹젠"/>
    <n v="5779"/>
    <s v="01 1~1000대"/>
    <s v="01 수성"/>
    <s v="01 자체 LMS"/>
    <s v="6. 하이브리드러닝 - 집합형"/>
    <x v="4"/>
    <m/>
    <n v="0"/>
    <x v="1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윈스"/>
    <n v="17765"/>
    <s v="04 3000대 이후"/>
    <s v="01 수성"/>
    <s v="03 휴넷 LMS"/>
    <s v="통합위탁"/>
    <x v="1"/>
    <n v="42519460"/>
    <n v="20595400"/>
    <x v="1"/>
    <n v="28500000"/>
    <n v="24790960"/>
    <n v="26142960"/>
    <n v="-1352000"/>
    <n v="2000000"/>
    <n v="0"/>
    <m/>
    <m/>
    <n v="2000000"/>
    <m/>
    <m/>
    <m/>
    <n v="2000000"/>
    <n v="204000"/>
    <n v="204000"/>
    <m/>
    <n v="2000000"/>
    <n v="1198000"/>
    <n v="1198000"/>
    <m/>
    <n v="1500000"/>
    <n v="1500000"/>
    <n v="4740960"/>
    <m/>
    <n v="1500000"/>
    <n v="648000"/>
    <m/>
    <m/>
    <n v="1500000"/>
    <n v="2000000"/>
    <m/>
    <m/>
    <n v="8000000"/>
    <n v="8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윈스"/>
    <n v="17765"/>
    <s v="04 3000대 이후"/>
    <s v="01 수성"/>
    <s v="03 휴넷 LMS"/>
    <s v="6. 하이브리드러닝 - 집합형"/>
    <x v="2"/>
    <m/>
    <n v="2000000"/>
    <x v="2"/>
    <n v="2000000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이동의즐거움㈜"/>
    <n v="54639"/>
    <s v="04 3000대 이후"/>
    <s v="01 수성"/>
    <s v="03 휴넷 LMS"/>
    <s v="2. 온라인 - 법정"/>
    <x v="6"/>
    <s v=""/>
    <n v="9868000"/>
    <x v="1"/>
    <n v="6000000"/>
    <n v="4000000"/>
    <n v="4000000"/>
    <n v="0"/>
    <m/>
    <m/>
    <m/>
    <m/>
    <m/>
    <m/>
    <m/>
    <m/>
    <m/>
    <m/>
    <m/>
    <m/>
    <m/>
    <m/>
    <m/>
    <m/>
    <m/>
    <m/>
    <m/>
    <m/>
    <n v="3000000"/>
    <m/>
    <m/>
    <m/>
    <m/>
    <n v="2000000"/>
    <m/>
    <m/>
    <m/>
    <m/>
    <m/>
    <m/>
    <n v="3000000"/>
    <n v="2000000"/>
    <m/>
    <m/>
    <m/>
    <m/>
    <m/>
    <m/>
    <m/>
    <m/>
    <m/>
    <m/>
    <m/>
    <m/>
    <m/>
    <m/>
    <m/>
    <m/>
    <m/>
    <m/>
  </r>
  <r>
    <s v="기업교육2팀"/>
    <x v="8"/>
    <s v="자이에스텍"/>
    <n v="58434"/>
    <m/>
    <m/>
    <m/>
    <s v="1. 온라인 - 단과"/>
    <x v="0"/>
    <m/>
    <n v="3888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자이에스텍"/>
    <n v="58434"/>
    <s v="01 1~1000대"/>
    <m/>
    <m/>
    <s v="2. 온라인 - 법정"/>
    <x v="6"/>
    <n v="860000"/>
    <n v="9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s v="PASS"/>
  </r>
  <r>
    <s v="기업교육2팀"/>
    <x v="8"/>
    <s v="제이티비씨"/>
    <n v="17358"/>
    <s v="02 1001~2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제주은행"/>
    <n v="4643"/>
    <m/>
    <m/>
    <m/>
    <m/>
    <x v="0"/>
    <m/>
    <m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n v="2000000"/>
    <m/>
    <m/>
    <m/>
    <m/>
    <m/>
    <m/>
    <m/>
    <m/>
    <m/>
    <m/>
    <m/>
    <m/>
    <m/>
    <m/>
    <m/>
  </r>
  <r>
    <s v="기업교육2팀"/>
    <x v="8"/>
    <s v="제주은행"/>
    <n v="4643"/>
    <m/>
    <m/>
    <m/>
    <s v="11. 컨텐츠 - 컨텐츠 임대/판매"/>
    <x v="5"/>
    <m/>
    <n v="6490029"/>
    <x v="3"/>
    <n v="5000000"/>
    <n v="0"/>
    <n v="0"/>
    <n v="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㈜시스메이트"/>
    <n v="13471"/>
    <s v="03 2001~3000대"/>
    <m/>
    <m/>
    <s v="31. B2C - 일반과정"/>
    <x v="6"/>
    <m/>
    <m/>
    <x v="1"/>
    <n v="30000000"/>
    <n v="240000"/>
    <n v="240000"/>
    <n v="0"/>
    <n v="30000000"/>
    <n v="30000000"/>
    <m/>
    <m/>
    <m/>
    <m/>
    <m/>
    <m/>
    <m/>
    <m/>
    <m/>
    <m/>
    <m/>
    <m/>
    <n v="12000"/>
    <m/>
    <m/>
    <m/>
    <n v="2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주식회사 경신"/>
    <n v="3963"/>
    <s v="01 1~1000대"/>
    <m/>
    <m/>
    <s v="1. 온라인 - 단과"/>
    <x v="0"/>
    <n v="6800000"/>
    <n v="7600000"/>
    <x v="1"/>
    <n v="6000000"/>
    <n v="6400000"/>
    <n v="6400000"/>
    <n v="0"/>
    <m/>
    <m/>
    <n v="800000"/>
    <m/>
    <m/>
    <n v="4000000"/>
    <n v="4000000"/>
    <m/>
    <m/>
    <m/>
    <m/>
    <m/>
    <m/>
    <n v="400000"/>
    <n v="400000"/>
    <m/>
    <n v="2000000"/>
    <m/>
    <m/>
    <m/>
    <m/>
    <m/>
    <m/>
    <m/>
    <n v="2000000"/>
    <n v="1200000"/>
    <m/>
    <m/>
    <m/>
    <m/>
    <m/>
    <m/>
    <m/>
    <m/>
    <m/>
    <m/>
    <n v="2000000"/>
    <m/>
    <m/>
    <m/>
    <m/>
    <m/>
    <m/>
    <m/>
    <m/>
    <m/>
    <m/>
    <m/>
    <m/>
    <m/>
    <m/>
    <s v="PASS"/>
  </r>
  <r>
    <s v="기업교육2팀"/>
    <x v="8"/>
    <s v="주식회사 사조대림"/>
    <n v="14892"/>
    <s v="01 1~1000대"/>
    <s v="01 수성"/>
    <s v="03 휴넷 LMS"/>
    <s v="1. 온라인 - 단과"/>
    <x v="0"/>
    <n v="14328000"/>
    <n v="7096000"/>
    <x v="1"/>
    <n v="4000000"/>
    <n v="4318000"/>
    <n v="4318000"/>
    <n v="0"/>
    <m/>
    <m/>
    <m/>
    <m/>
    <m/>
    <m/>
    <m/>
    <m/>
    <m/>
    <n v="318000"/>
    <n v="318000"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s v="PASS"/>
  </r>
  <r>
    <s v="기업교육2팀"/>
    <x v="8"/>
    <s v="진성티이씨_FLEX24"/>
    <n v="60032"/>
    <m/>
    <m/>
    <m/>
    <s v="26. 정부지원사업 - HRDFLEX"/>
    <x v="16"/>
    <m/>
    <n v="12040000"/>
    <x v="3"/>
    <n v="0"/>
    <n v="0"/>
    <n v="0"/>
    <n v="0"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카길애그리퓨리나"/>
    <n v="12941"/>
    <s v="01 1~1000대"/>
    <s v="01 수성"/>
    <s v="03 휴넷 LMS"/>
    <s v="1. 온라인 - 단과"/>
    <x v="0"/>
    <n v="15300000"/>
    <n v="0"/>
    <x v="6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카길애그리퓨리나"/>
    <n v="12941"/>
    <s v="01 1~1000대"/>
    <s v="01 수성"/>
    <s v="03 휴넷 LMS"/>
    <s v="2. 온라인 - 법정"/>
    <x v="6"/>
    <n v="5482000"/>
    <n v="1347000"/>
    <x v="1"/>
    <n v="3000000"/>
    <n v="2655000"/>
    <n v="2800000"/>
    <n v="-145000"/>
    <m/>
    <m/>
    <m/>
    <m/>
    <m/>
    <m/>
    <m/>
    <m/>
    <m/>
    <n v="800000"/>
    <n v="800000"/>
    <m/>
    <m/>
    <m/>
    <m/>
    <m/>
    <m/>
    <m/>
    <m/>
    <m/>
    <m/>
    <n v="855000"/>
    <m/>
    <m/>
    <m/>
    <m/>
    <m/>
    <m/>
    <m/>
    <m/>
    <m/>
    <m/>
    <m/>
    <m/>
    <m/>
    <m/>
    <m/>
    <m/>
    <m/>
    <m/>
    <n v="3000000"/>
    <n v="1000000"/>
    <m/>
    <m/>
    <m/>
    <m/>
    <m/>
    <m/>
    <m/>
    <m/>
    <m/>
    <s v="PASS"/>
  </r>
  <r>
    <s v="기업교육2팀"/>
    <x v="8"/>
    <s v="컴투스"/>
    <n v="5247"/>
    <s v="02 1001~2000대"/>
    <s v="01 수성"/>
    <s v="03 휴넷 LMS"/>
    <s v="1. 온라인 - 단과"/>
    <x v="1"/>
    <n v="34562520"/>
    <n v="21962100"/>
    <x v="1"/>
    <n v="25000000"/>
    <n v="24251900"/>
    <n v="24654900"/>
    <n v="-403000"/>
    <n v="4000000"/>
    <n v="4000000"/>
    <n v="3799900"/>
    <m/>
    <n v="2000000"/>
    <n v="1970000"/>
    <n v="1970000"/>
    <m/>
    <n v="2000000"/>
    <n v="3050000"/>
    <n v="3050000"/>
    <m/>
    <n v="1000000"/>
    <n v="950600"/>
    <n v="950600"/>
    <m/>
    <n v="2000000"/>
    <n v="2000000"/>
    <n v="884400"/>
    <m/>
    <n v="2000000"/>
    <n v="1597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크리스탈제이드코리아"/>
    <n v="23660"/>
    <s v=""/>
    <s v="01 수성"/>
    <s v="03 휴넷 LMS"/>
    <s v="2. 온라인 - 법정"/>
    <x v="6"/>
    <n v="157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타다"/>
    <n v="45406"/>
    <s v="03 2001~3000대"/>
    <s v="01 수성"/>
    <s v="03 휴넷 LMS"/>
    <s v="14. 솔루션 - 맞춤형 LABS"/>
    <x v="15"/>
    <n v="12000000"/>
    <n v="0"/>
    <x v="6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8"/>
    <s v="태영건설"/>
    <n v="3813"/>
    <m/>
    <m/>
    <m/>
    <s v="1. 온라인 - 단과"/>
    <x v="2"/>
    <m/>
    <n v="0"/>
    <x v="2"/>
    <n v="75000000"/>
    <n v="30000000"/>
    <n v="75000000"/>
    <n v="-45000000"/>
    <m/>
    <m/>
    <m/>
    <m/>
    <m/>
    <m/>
    <m/>
    <m/>
    <n v="45000000"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</r>
  <r>
    <s v="기업교육2팀"/>
    <x v="8"/>
    <s v="한국건설기술연구원"/>
    <n v="1524"/>
    <s v="05 공공"/>
    <m/>
    <m/>
    <s v="1. 온라인 - 단과"/>
    <x v="6"/>
    <m/>
    <n v="0"/>
    <x v="0"/>
    <n v="200000000"/>
    <n v="20000000"/>
    <n v="20000000"/>
    <n v="0"/>
    <m/>
    <m/>
    <m/>
    <m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"/>
    <m/>
    <m/>
    <m/>
    <m/>
    <m/>
    <m/>
  </r>
  <r>
    <s v="기업교육2팀"/>
    <x v="8"/>
    <s v="한국과학창의재단"/>
    <n v="11755"/>
    <s v="05 공공"/>
    <m/>
    <m/>
    <s v="1. 온라인 - 단과"/>
    <x v="2"/>
    <m/>
    <n v="0"/>
    <x v="7"/>
    <n v="120000000"/>
    <n v="120000000"/>
    <n v="120000000"/>
    <n v="0"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</r>
  <r>
    <s v="기업교육2팀"/>
    <x v="8"/>
    <s v="한국수출입은행"/>
    <n v="352"/>
    <s v="05 공공"/>
    <s v="01 수성"/>
    <s v="03 휴넷 LMS"/>
    <s v="1. 온라인 - 단과"/>
    <x v="0"/>
    <s v=""/>
    <n v="11184000"/>
    <x v="1"/>
    <n v="10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. 온라인 - 법정"/>
    <x v="6"/>
    <n v="39529682"/>
    <n v="5681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6. 하이브리드러닝 - 집합형"/>
    <x v="2"/>
    <n v="1960000"/>
    <n v="0"/>
    <x v="0"/>
    <n v="1000000"/>
    <n v="0"/>
    <n v="0"/>
    <n v="0"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4. 운영 - 운영매출"/>
    <x v="13"/>
    <n v="2268000"/>
    <n v="0"/>
    <x v="0"/>
    <n v="2000000"/>
    <n v="0"/>
    <n v="0"/>
    <n v="0"/>
    <m/>
    <m/>
    <m/>
    <m/>
    <m/>
    <m/>
    <m/>
    <m/>
    <m/>
    <m/>
    <m/>
    <m/>
    <m/>
    <m/>
    <m/>
    <m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3 휴넷 LMS"/>
    <s v="2. 온라인 - 법정"/>
    <x v="6"/>
    <n v="5696000"/>
    <n v="5180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1 자체 LMS"/>
    <s v="10. 컨텐츠 - 컨텐츠 개발"/>
    <x v="3"/>
    <n v="58000000"/>
    <n v="93000000"/>
    <x v="1"/>
    <n v="77000000"/>
    <n v="71000000"/>
    <n v="71000000"/>
    <n v="0"/>
    <m/>
    <m/>
    <m/>
    <m/>
    <m/>
    <m/>
    <m/>
    <m/>
    <n v="77000000"/>
    <m/>
    <m/>
    <m/>
    <m/>
    <n v="71000000"/>
    <n v="7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한국식품산업협회"/>
    <n v="43133"/>
    <s v="05 공공"/>
    <m/>
    <m/>
    <s v="10. 컨텐츠 - 컨텐츠 개발"/>
    <x v="3"/>
    <m/>
    <n v="0"/>
    <x v="2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한국전기안전공사"/>
    <n v="4352"/>
    <s v="05 공공"/>
    <m/>
    <m/>
    <s v="통합위탁"/>
    <x v="1"/>
    <n v="158400000"/>
    <n v="119555000"/>
    <x v="1"/>
    <n v="119000000"/>
    <n v="119688500"/>
    <n v="119688500"/>
    <n v="0"/>
    <m/>
    <m/>
    <m/>
    <m/>
    <m/>
    <m/>
    <m/>
    <m/>
    <n v="83000000"/>
    <n v="83688500"/>
    <n v="8368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n v="36000000"/>
    <m/>
    <m/>
    <m/>
    <m/>
    <m/>
    <s v="PASS"/>
  </r>
  <r>
    <s v="기업교육2팀"/>
    <x v="8"/>
    <s v="한국전기안전공사"/>
    <n v="4352"/>
    <s v="05 공공"/>
    <m/>
    <m/>
    <s v="10. 컨텐츠 - 컨텐츠 개발"/>
    <x v="3"/>
    <n v="7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조선해양플랜트협회"/>
    <n v="45607"/>
    <s v="05 공공"/>
    <m/>
    <m/>
    <m/>
    <x v="3"/>
    <m/>
    <n v="0"/>
    <x v="1"/>
    <n v="20000000"/>
    <n v="85000000"/>
    <n v="85000000"/>
    <n v="0"/>
    <m/>
    <m/>
    <m/>
    <m/>
    <m/>
    <m/>
    <m/>
    <m/>
    <n v="2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n v="25000000"/>
    <m/>
    <m/>
    <m/>
    <m/>
    <m/>
    <m/>
  </r>
  <r>
    <s v="기업교육2팀"/>
    <x v="8"/>
    <s v="한국조선해양플랜트협회"/>
    <n v="45607"/>
    <s v="05 공공"/>
    <s v="01 수성"/>
    <s v="03 휴넷 LMS"/>
    <s v="24. 운영 - 운영매출"/>
    <x v="13"/>
    <m/>
    <n v="43454545"/>
    <x v="1"/>
    <n v="41500000"/>
    <n v="11700000"/>
    <n v="11700000"/>
    <n v="0"/>
    <n v="1500000"/>
    <m/>
    <n v="0"/>
    <s v="1~2월 운영비 3월 통합발행"/>
    <n v="1500000"/>
    <m/>
    <m/>
    <s v="3월 통합발행"/>
    <n v="1500000"/>
    <m/>
    <m/>
    <m/>
    <n v="3000000"/>
    <m/>
    <m/>
    <m/>
    <n v="3000000"/>
    <n v="1300000"/>
    <n v="1300000"/>
    <m/>
    <n v="4000000"/>
    <n v="1300000"/>
    <m/>
    <m/>
    <n v="4000000"/>
    <n v="1300000"/>
    <m/>
    <m/>
    <n v="4000000"/>
    <n v="1300000"/>
    <m/>
    <m/>
    <n v="4000000"/>
    <n v="1300000"/>
    <m/>
    <m/>
    <n v="5000000"/>
    <n v="1300000"/>
    <m/>
    <m/>
    <n v="5000000"/>
    <n v="1300000"/>
    <m/>
    <m/>
    <n v="5000000"/>
    <n v="2600000"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1"/>
    <m/>
    <n v="0"/>
    <x v="0"/>
    <n v="0"/>
    <n v="200000000"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m/>
    <m/>
    <m/>
    <m/>
    <m/>
    <m/>
  </r>
  <r>
    <s v="기업교육2팀"/>
    <x v="8"/>
    <s v="한국지역난방공사"/>
    <n v="3872"/>
    <s v="05 공공"/>
    <m/>
    <m/>
    <s v="1. 온라인 - 단과"/>
    <x v="0"/>
    <n v="3398500"/>
    <n v="3189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6"/>
    <n v="14432440"/>
    <n v="0"/>
    <x v="1"/>
    <n v="8000000"/>
    <n v="12232000"/>
    <n v="12232000"/>
    <n v="0"/>
    <m/>
    <m/>
    <m/>
    <m/>
    <m/>
    <m/>
    <m/>
    <m/>
    <m/>
    <m/>
    <m/>
    <m/>
    <m/>
    <m/>
    <m/>
    <m/>
    <m/>
    <n v="12000000"/>
    <n v="12232000"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</r>
  <r>
    <s v="기업교육2팀"/>
    <x v="8"/>
    <s v="한국창업진흥원"/>
    <n v="9618"/>
    <s v="05 공공"/>
    <s v="03 신규"/>
    <m/>
    <m/>
    <x v="2"/>
    <m/>
    <n v="0"/>
    <x v="1"/>
    <n v="160000000"/>
    <n v="216363636.36363634"/>
    <n v="220000000"/>
    <n v="-3636363.6363636553"/>
    <m/>
    <m/>
    <m/>
    <m/>
    <m/>
    <m/>
    <m/>
    <m/>
    <m/>
    <m/>
    <m/>
    <m/>
    <m/>
    <m/>
    <m/>
    <m/>
    <m/>
    <m/>
    <m/>
    <m/>
    <m/>
    <n v="151963636"/>
    <m/>
    <m/>
    <m/>
    <m/>
    <m/>
    <m/>
    <m/>
    <m/>
    <m/>
    <m/>
    <m/>
    <m/>
    <m/>
    <m/>
    <m/>
    <m/>
    <m/>
    <m/>
    <m/>
    <m/>
    <m/>
    <m/>
    <n v="160000000"/>
    <n v="64400000.363636345"/>
    <m/>
    <m/>
    <m/>
    <m/>
    <m/>
    <m/>
  </r>
  <r>
    <s v="기업교육2팀"/>
    <x v="8"/>
    <s v="한일시멘트"/>
    <n v="42978"/>
    <s v="01 1~1000대"/>
    <s v="03 신규"/>
    <s v="03 휴넷 LMS"/>
    <s v="1. 온라인 - 단과"/>
    <x v="6"/>
    <n v="6810000"/>
    <n v="4790000"/>
    <x v="6"/>
    <n v="1400000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n v="14000000"/>
    <m/>
    <m/>
    <m/>
    <m/>
    <m/>
    <m/>
    <m/>
    <m/>
    <m/>
    <m/>
    <m/>
    <m/>
    <m/>
    <m/>
    <m/>
    <m/>
    <m/>
    <m/>
  </r>
  <r>
    <s v="기업교육2팀"/>
    <x v="8"/>
    <s v="한일시멘트"/>
    <n v="42986"/>
    <m/>
    <s v="01 수성"/>
    <s v="03 휴넷 LMS"/>
    <s v="3. 온라인 - 마이크로러닝"/>
    <x v="9"/>
    <n v="3088800"/>
    <n v="15480000"/>
    <x v="1"/>
    <n v="15000000"/>
    <n v="5760000"/>
    <n v="5760000"/>
    <n v="0"/>
    <m/>
    <m/>
    <m/>
    <m/>
    <n v="15000000"/>
    <n v="5490000"/>
    <n v="5490000"/>
    <m/>
    <m/>
    <m/>
    <m/>
    <m/>
    <m/>
    <n v="270000"/>
    <n v="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희성전자"/>
    <n v="3807"/>
    <s v="01 1~1000대"/>
    <s v="01 수성"/>
    <s v="03 휴넷 LMS"/>
    <s v="2. 온라인 - 법정"/>
    <x v="6"/>
    <n v="7084500"/>
    <n v="5717000"/>
    <x v="1"/>
    <n v="2000000"/>
    <n v="1275000"/>
    <n v="1275000"/>
    <n v="0"/>
    <m/>
    <m/>
    <m/>
    <m/>
    <m/>
    <m/>
    <m/>
    <m/>
    <m/>
    <m/>
    <m/>
    <m/>
    <m/>
    <m/>
    <m/>
    <m/>
    <m/>
    <n v="2000000"/>
    <n v="1275000"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s v="PASS"/>
  </r>
  <r>
    <s v="공통 DB"/>
    <x v="9"/>
    <s v="캐럿솔루션즈"/>
    <n v="32239"/>
    <m/>
    <m/>
    <m/>
    <s v="1. 온라인 - 단과"/>
    <x v="0"/>
    <s v=""/>
    <n v="5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공통 DB"/>
    <x v="9"/>
    <s v="한국직업능력연구원"/>
    <n v="4355"/>
    <m/>
    <m/>
    <m/>
    <s v="1. 온라인 - 단과"/>
    <x v="0"/>
    <s v=""/>
    <n v="507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NHN KCP"/>
    <n v="22101"/>
    <s v="01 1~1000대"/>
    <s v="01 수성"/>
    <s v="01 자체 LMS"/>
    <s v="6. 하이브리드러닝 - 집합형"/>
    <x v="2"/>
    <n v="1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도로공사시설관리"/>
    <n v="55866"/>
    <m/>
    <m/>
    <m/>
    <m/>
    <x v="6"/>
    <m/>
    <n v="0"/>
    <x v="1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</r>
  <r>
    <s v="기업교육2팀"/>
    <x v="10"/>
    <s v="여신금융협회(b2c)"/>
    <n v="11800"/>
    <s v="03 2001~3000대"/>
    <m/>
    <m/>
    <s v="31. B2C - 일반과정"/>
    <x v="0"/>
    <m/>
    <n v="436331300"/>
    <x v="1"/>
    <n v="400000000"/>
    <n v="435544500"/>
    <n v="435544500"/>
    <n v="0"/>
    <n v="30000000"/>
    <n v="30000000"/>
    <n v="43858800"/>
    <s v="24년 11월~12월 교육운영비 + '25년 1월B2C"/>
    <n v="30000000"/>
    <n v="30000000"/>
    <n v="38921750"/>
    <m/>
    <n v="30000000"/>
    <n v="30000000"/>
    <n v="40405750"/>
    <m/>
    <n v="30000000"/>
    <n v="30000000"/>
    <n v="46357100"/>
    <m/>
    <n v="30000000"/>
    <n v="30000000"/>
    <n v="34922850"/>
    <m/>
    <n v="30000000"/>
    <n v="30000000"/>
    <m/>
    <m/>
    <n v="30000000"/>
    <n v="30000000"/>
    <m/>
    <m/>
    <n v="30000000"/>
    <n v="30000000"/>
    <m/>
    <m/>
    <n v="40000000"/>
    <n v="30000000"/>
    <m/>
    <m/>
    <n v="40000000"/>
    <n v="40000000"/>
    <m/>
    <m/>
    <n v="40000000"/>
    <n v="40000000"/>
    <m/>
    <m/>
    <n v="40000000"/>
    <n v="31078250"/>
    <m/>
    <m/>
    <m/>
    <m/>
    <m/>
    <s v="PASS"/>
  </r>
  <r>
    <s v="기업교육2팀"/>
    <x v="11"/>
    <s v="KB금융지주(케이비국민카드)"/>
    <n v="61305"/>
    <m/>
    <m/>
    <m/>
    <m/>
    <x v="1"/>
    <m/>
    <n v="0"/>
    <x v="1"/>
    <n v="17000000"/>
    <n v="32851220"/>
    <n v="32851220"/>
    <n v="0"/>
    <m/>
    <m/>
    <m/>
    <m/>
    <n v="3000000"/>
    <n v="8262920"/>
    <n v="9649460"/>
    <m/>
    <n v="7000000"/>
    <n v="6972410"/>
    <n v="0"/>
    <m/>
    <n v="7000000"/>
    <n v="23201760"/>
    <n v="2320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금융지주(케이비국민카드)"/>
    <n v="61305"/>
    <s v="01 1~1000대"/>
    <s v="01 수성"/>
    <s v="01 자체 LMS"/>
    <s v="6. 하이브리드러닝 - 집합형"/>
    <x v="2"/>
    <m/>
    <m/>
    <x v="1"/>
    <n v="0"/>
    <n v="21085000"/>
    <n v="21085000"/>
    <n v="0"/>
    <m/>
    <m/>
    <m/>
    <m/>
    <m/>
    <m/>
    <m/>
    <m/>
    <m/>
    <n v="20000000"/>
    <n v="0"/>
    <m/>
    <m/>
    <n v="0"/>
    <n v="210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저축은행"/>
    <n v="61310"/>
    <m/>
    <s v="03 신규"/>
    <s v="03 휴넷 LMS"/>
    <m/>
    <x v="0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범양냉방"/>
    <n v="475"/>
    <m/>
    <m/>
    <m/>
    <s v="6. 하이브리드러닝 - 집합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s v=""/>
    <s v="01 수성"/>
    <s v="03 휴넷 LMS"/>
    <s v="4. 하이브리드러닝 - 플립형"/>
    <x v="2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m/>
    <m/>
    <m/>
    <s v="26. 정부지원사업 - HRDFLEX"/>
    <x v="1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s v=""/>
    <s v="01 수성"/>
    <s v="03 휴넷 LMS"/>
    <s v="통합위탁"/>
    <x v="1"/>
    <m/>
    <m/>
    <x v="1"/>
    <n v="16000000"/>
    <n v="12157100"/>
    <n v="12157100"/>
    <n v="0"/>
    <n v="4000000"/>
    <n v="4000000"/>
    <n v="0"/>
    <s v="원래 익월발행이나 12/1시작교육 12/31자로 선발행완료"/>
    <n v="4000000"/>
    <n v="3691500"/>
    <n v="3691500"/>
    <m/>
    <n v="4000000"/>
    <n v="4451800"/>
    <n v="4451800"/>
    <m/>
    <n v="4000000"/>
    <n v="4013800"/>
    <n v="4013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s v=""/>
    <s v="01 수성"/>
    <s v="03 휴넷 LMS"/>
    <s v="통합위탁"/>
    <x v="1"/>
    <m/>
    <m/>
    <x v="1"/>
    <n v="38000000"/>
    <n v="23110700"/>
    <n v="23110700"/>
    <n v="0"/>
    <n v="8000000"/>
    <n v="8000000"/>
    <n v="4050300"/>
    <m/>
    <n v="10000000"/>
    <n v="5000000"/>
    <n v="3583300"/>
    <m/>
    <n v="10000000"/>
    <n v="5161100"/>
    <n v="5161100"/>
    <m/>
    <n v="10000000"/>
    <n v="10316000"/>
    <n v="103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m/>
    <m/>
    <m/>
    <m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"/>
    <m/>
    <n v="0"/>
    <x v="1"/>
    <n v="46000000"/>
    <n v="40167520"/>
    <n v="40167520"/>
    <n v="0"/>
    <n v="10000000"/>
    <n v="10000000"/>
    <n v="0"/>
    <s v="익월 발행으로 변경"/>
    <n v="12000000"/>
    <n v="4073560"/>
    <n v="6326560"/>
    <m/>
    <n v="12000000"/>
    <n v="11920080"/>
    <n v="11920080"/>
    <m/>
    <n v="12000000"/>
    <n v="13080150"/>
    <n v="219208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s v="01 수성"/>
    <s v="03 휴넷 LMS"/>
    <m/>
    <x v="1"/>
    <m/>
    <n v="0"/>
    <x v="1"/>
    <n v="0"/>
    <n v="1819440"/>
    <n v="1819440"/>
    <n v="0"/>
    <m/>
    <m/>
    <m/>
    <m/>
    <m/>
    <m/>
    <m/>
    <m/>
    <m/>
    <n v="1819440"/>
    <n v="1819440"/>
    <m/>
    <m/>
    <n v="2180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s v=""/>
    <s v="01 수성"/>
    <s v="03 휴넷 LMS"/>
    <s v="2. 온라인 - 법정"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4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1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홀딩스"/>
    <n v="28925"/>
    <s v="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패키징"/>
    <n v="18225"/>
    <s v="02 1001~2000대"/>
    <s v="01 수성"/>
    <s v="03 휴넷 LMS"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11. 컨텐츠 - 컨텐츠 임대/판매"/>
    <x v="5"/>
    <m/>
    <m/>
    <x v="1"/>
    <n v="100000000"/>
    <n v="0"/>
    <n v="0"/>
    <n v="0"/>
    <n v="100000000"/>
    <n v="100000000"/>
    <n v="0"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4. 운영 - 운영매출"/>
    <x v="13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"/>
    <n v="5007"/>
    <m/>
    <s v="03 신규"/>
    <s v="03 휴넷 LMS"/>
    <s v="통합위탁"/>
    <x v="1"/>
    <n v="0"/>
    <n v="0"/>
    <x v="1"/>
    <n v="28000000"/>
    <n v="32403800"/>
    <n v="32403800"/>
    <n v="0"/>
    <n v="7000000"/>
    <n v="7000000"/>
    <n v="5947000"/>
    <m/>
    <n v="7000000"/>
    <n v="4139600"/>
    <n v="4139600"/>
    <m/>
    <n v="7000000"/>
    <n v="13476000"/>
    <n v="13476000"/>
    <m/>
    <n v="7000000"/>
    <n v="8841200"/>
    <n v="884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공업"/>
    <n v="5007"/>
    <m/>
    <m/>
    <m/>
    <s v="2. 온라인 - 법정"/>
    <x v="6"/>
    <s v=""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상하농원"/>
    <n v="53665"/>
    <s v="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통합위탁"/>
    <x v="1"/>
    <m/>
    <n v="0"/>
    <x v="1"/>
    <n v="100000000"/>
    <n v="20391760"/>
    <n v="20391760"/>
    <n v="0"/>
    <n v="50000000"/>
    <m/>
    <m/>
    <m/>
    <m/>
    <m/>
    <m/>
    <m/>
    <m/>
    <n v="0"/>
    <m/>
    <m/>
    <n v="50000000"/>
    <n v="20391760"/>
    <n v="2039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6. 하이브리드러닝 - 집합형"/>
    <x v="2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s v=""/>
    <s v="01 수성"/>
    <s v="03 휴넷 LMS"/>
    <s v="통합위탁"/>
    <x v="1"/>
    <m/>
    <m/>
    <x v="6"/>
    <n v="18000000"/>
    <n v="0"/>
    <n v="0"/>
    <n v="0"/>
    <m/>
    <m/>
    <m/>
    <m/>
    <m/>
    <m/>
    <m/>
    <m/>
    <n v="10000000"/>
    <n v="0"/>
    <m/>
    <m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통합위탁"/>
    <x v="1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m/>
    <m/>
    <m/>
    <x v="0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. 온라인 - 법정"/>
    <x v="6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6. 하이브리드러닝 - 집합형"/>
    <x v="2"/>
    <m/>
    <m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m/>
    <m/>
    <m/>
    <s v="4. 하이브리드러닝 - 플립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4. 운영 - 운영매출"/>
    <x v="1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 ibkonejob) "/>
    <n v="59197"/>
    <m/>
    <m/>
    <m/>
    <s v="1. 온라인 - 단과"/>
    <x v="0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IBK EDU)"/>
    <n v="61326"/>
    <s v="01 1~1000대"/>
    <m/>
    <m/>
    <m/>
    <x v="0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엘아이지넥스원 "/>
    <n v="2702"/>
    <s v=""/>
    <s v="02 윈백"/>
    <s v="03 휴넷 LMS"/>
    <s v="1. 온라인 - 단과"/>
    <x v="1"/>
    <m/>
    <n v="0"/>
    <x v="0"/>
    <n v="30000000"/>
    <n v="0"/>
    <n v="0"/>
    <n v="0"/>
    <m/>
    <m/>
    <m/>
    <m/>
    <n v="10000000"/>
    <m/>
    <m/>
    <m/>
    <n v="10000000"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"/>
    <s v="01 수성"/>
    <s v="03 휴넷 LMS"/>
    <s v="1. 온라인 - 단과"/>
    <x v="0"/>
    <m/>
    <m/>
    <x v="1"/>
    <n v="6000000"/>
    <n v="7374200"/>
    <n v="7374200"/>
    <n v="0"/>
    <n v="1500000"/>
    <n v="1500000"/>
    <n v="1544500"/>
    <m/>
    <n v="1500000"/>
    <n v="3933600"/>
    <n v="3953600"/>
    <m/>
    <n v="1500000"/>
    <n v="1354300"/>
    <n v="1354300"/>
    <m/>
    <n v="1500000"/>
    <n v="1645700"/>
    <n v="52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m/>
    <m/>
    <m/>
    <s v="2. 온라인 - 법정"/>
    <x v="6"/>
    <m/>
    <m/>
    <x v="1"/>
    <n v="0"/>
    <n v="50000"/>
    <n v="50000"/>
    <n v="0"/>
    <m/>
    <m/>
    <n v="50000"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03. 이러닝 - 법정"/>
    <n v="12130000"/>
    <n v="80000"/>
    <s v="10. 컨텐츠 - 컨텐츠 개발"/>
    <x v="3"/>
    <n v="0"/>
    <n v="0"/>
    <x v="1"/>
    <n v="13200000"/>
    <n v="13200000"/>
    <n v="13200000"/>
    <n v="0"/>
    <m/>
    <m/>
    <m/>
    <m/>
    <m/>
    <m/>
    <m/>
    <m/>
    <n v="13200000"/>
    <n v="13200000"/>
    <n v="13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통합위탁"/>
    <x v="1"/>
    <m/>
    <m/>
    <x v="1"/>
    <n v="15000000"/>
    <n v="0"/>
    <n v="0"/>
    <n v="0"/>
    <m/>
    <m/>
    <m/>
    <m/>
    <n v="5000000"/>
    <n v="0"/>
    <m/>
    <s v="그룹사 공통플랫폼 구축 이슈"/>
    <n v="5000000"/>
    <n v="0"/>
    <m/>
    <m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m/>
    <m/>
    <m/>
    <m/>
    <x v="1"/>
    <m/>
    <n v="0"/>
    <x v="2"/>
    <n v="12000000"/>
    <n v="0"/>
    <n v="0"/>
    <n v="0"/>
    <m/>
    <m/>
    <m/>
    <m/>
    <n v="4000000"/>
    <m/>
    <m/>
    <m/>
    <n v="4000000"/>
    <m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s v="03 2001~3000대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m/>
    <m/>
    <m/>
    <s v="6. 하이브리드러닝 - 집합형"/>
    <x v="2"/>
    <m/>
    <m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s v=""/>
    <s v="01 수성"/>
    <s v="03 휴넷 LMS"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m/>
    <m/>
    <m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s v="서동윤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  <m/>
  </r>
  <r>
    <n v="2"/>
    <m/>
    <m/>
    <s v="기업교육2팀"/>
    <s v="서동윤"/>
    <s v="기업교육2팀"/>
    <s v="서동윤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s v="서동윤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4"/>
    <m/>
    <m/>
    <s v="기업교육2팀"/>
    <s v="서동윤"/>
    <s v="기업교육2팀"/>
    <s v="서동윤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  <m/>
  </r>
  <r>
    <n v="5"/>
    <m/>
    <m/>
    <s v="기업교육2팀"/>
    <s v="서동윤"/>
    <s v="기업교육2팀"/>
    <s v="서동윤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  <m/>
  </r>
  <r>
    <n v="6"/>
    <m/>
    <m/>
    <s v="기업교육2팀"/>
    <s v="서동윤"/>
    <s v="기업교육2팀"/>
    <s v="서동윤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s v="서동윤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  <m/>
  </r>
  <r>
    <n v="8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"/>
    <m/>
    <m/>
    <s v="기업교육2팀"/>
    <s v="서동윤"/>
    <s v="기업교육2팀"/>
    <s v="서동윤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  <m/>
  </r>
  <r>
    <n v="11"/>
    <m/>
    <m/>
    <s v="기업교육2팀"/>
    <s v="서동윤"/>
    <s v="기업교육2팀"/>
    <s v="서동윤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  <m/>
  </r>
  <r>
    <n v="12"/>
    <m/>
    <m/>
    <s v="기업교육2팀"/>
    <s v="서동윤"/>
    <s v="기업교육2팀"/>
    <s v="서동윤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"/>
    <m/>
    <m/>
    <s v="기업교육2팀"/>
    <s v="서동윤"/>
    <s v="기업교육2팀"/>
    <s v="서동윤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14"/>
    <m/>
    <m/>
    <s v="기업교육2팀"/>
    <s v="서동윤"/>
    <s v="기업교육2팀"/>
    <s v="서동윤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5"/>
    <m/>
    <m/>
    <s v="기업교육2팀"/>
    <s v="서동윤"/>
    <s v="기업교육2팀"/>
    <s v="서동윤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  <m/>
  </r>
  <r>
    <n v="16"/>
    <m/>
    <m/>
    <s v="기업교육2팀"/>
    <s v="서동윤"/>
    <s v="기업교육2팀"/>
    <s v="서동윤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7"/>
    <m/>
    <m/>
    <s v="기업교육2팀"/>
    <s v="서동윤"/>
    <s v="기업교육2팀"/>
    <s v="서동윤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18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  <m/>
  </r>
  <r>
    <n v="19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  <m/>
  </r>
  <r>
    <n v="20"/>
    <m/>
    <m/>
    <s v="기업교육2팀"/>
    <s v="서동윤"/>
    <s v="기업교육2팀"/>
    <s v="서동윤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1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22"/>
    <m/>
    <m/>
    <s v="기업교육2팀"/>
    <s v="서동윤"/>
    <s v="기업교육2팀"/>
    <s v="서동윤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23"/>
    <m/>
    <m/>
    <s v="기업교육2팀"/>
    <s v="서동윤"/>
    <s v="기업교육2팀"/>
    <s v="서동윤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  <m/>
  </r>
  <r>
    <n v="24"/>
    <m/>
    <m/>
    <s v="기업교육2팀"/>
    <s v="서동윤"/>
    <s v="기업교육2팀"/>
    <s v="서동윤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  <m/>
  </r>
  <r>
    <n v="25"/>
    <m/>
    <m/>
    <m/>
    <m/>
    <s v="기업교육2팀"/>
    <s v="서동윤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  <m/>
  </r>
  <r>
    <n v="26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  <m/>
  </r>
  <r>
    <n v="27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28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  <m/>
  </r>
  <r>
    <n v="29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0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s v="서동윤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32"/>
    <m/>
    <m/>
    <s v="기업교육2팀"/>
    <s v="서동윤"/>
    <s v="기업교육2팀"/>
    <s v="서동윤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33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  <m/>
  </r>
  <r>
    <n v="35"/>
    <m/>
    <m/>
    <s v="기업교육2팀"/>
    <s v="장윤오"/>
    <s v="기업교육2팀"/>
    <s v="서동윤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  <m/>
  </r>
  <r>
    <n v="37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  <m/>
  </r>
  <r>
    <n v="39"/>
    <m/>
    <m/>
    <s v="기업교육2팀"/>
    <s v="장윤오"/>
    <s v="기업교육2팀"/>
    <s v="서동윤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s v="서동윤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  <m/>
  </r>
  <r>
    <n v="41"/>
    <m/>
    <m/>
    <s v="기업교육2팀"/>
    <s v="서동윤"/>
    <s v="기업교육2팀"/>
    <s v="서동윤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42"/>
    <m/>
    <m/>
    <s v="기업교육2팀"/>
    <s v="서동윤"/>
    <s v="기업교육2팀"/>
    <s v="서동윤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s v="서동윤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s v="서동윤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s v="서동윤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s v="서동윤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  <m/>
  </r>
  <r>
    <n v="47"/>
    <m/>
    <m/>
    <s v="기업교육2팀"/>
    <s v="서동윤"/>
    <s v="기업교육2팀"/>
    <s v="서동윤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  <m/>
  </r>
  <r>
    <n v="49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s v="서동윤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  <m/>
  </r>
  <r>
    <n v="52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3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s v="서동윤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  <m/>
  </r>
  <r>
    <n v="55"/>
    <m/>
    <m/>
    <s v="기업교육2팀"/>
    <s v="서동윤"/>
    <s v="기업교육2팀"/>
    <s v="서동윤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"/>
    <m/>
    <m/>
    <s v="기업교육2팀"/>
    <s v="서동윤"/>
    <s v="기업교육2팀"/>
    <s v="서동윤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7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  <m/>
  </r>
  <r>
    <n v="58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9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60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1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  <m/>
  </r>
  <r>
    <n v="63"/>
    <m/>
    <m/>
    <s v="기업교육3팀"/>
    <s v="박민우"/>
    <s v="기업교육2팀"/>
    <s v="박민우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  <m/>
  </r>
  <r>
    <n v="64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  <m/>
  </r>
  <r>
    <n v="65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  <m/>
  </r>
  <r>
    <n v="67"/>
    <m/>
    <m/>
    <m/>
    <m/>
    <s v="기업교육2팀"/>
    <s v="박민우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  <m/>
  </r>
  <r>
    <n v="69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  <m/>
  </r>
  <r>
    <n v="70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  <m/>
  </r>
  <r>
    <n v="71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  <m/>
  </r>
  <r>
    <n v="72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73"/>
    <m/>
    <m/>
    <s v="기업교육2팀"/>
    <s v="장윤오"/>
    <s v="기업교육2팀"/>
    <s v="박민우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s v="박민우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76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7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8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79"/>
    <m/>
    <m/>
    <s v="기업교육3팀"/>
    <s v="박민우"/>
    <s v="기업교육2팀"/>
    <s v="박민우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80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81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  <m/>
  </r>
  <r>
    <n v="83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  <m/>
  </r>
  <r>
    <n v="84"/>
    <m/>
    <m/>
    <s v="기업교육3팀"/>
    <s v="박민우"/>
    <s v="기업교육2팀"/>
    <s v="박민우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85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  <m/>
  </r>
  <r>
    <n v="86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s v="박민우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8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  <m/>
  </r>
  <r>
    <n v="89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  <m/>
  </r>
  <r>
    <n v="90"/>
    <m/>
    <m/>
    <s v="기업교육2팀"/>
    <s v="김나리"/>
    <s v="기업교육2팀"/>
    <s v="박민우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s v="박민우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  <m/>
  </r>
  <r>
    <n v="92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  <m/>
  </r>
  <r>
    <n v="93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  <m/>
  </r>
  <r>
    <n v="94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96"/>
    <m/>
    <m/>
    <s v="기업교육3팀"/>
    <s v="박민우"/>
    <s v="기업교육2팀"/>
    <s v="박민우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  <m/>
  </r>
  <r>
    <n v="97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8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99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  <m/>
  </r>
  <r>
    <n v="100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1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  <m/>
  </r>
  <r>
    <n v="102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  <m/>
  </r>
  <r>
    <n v="103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  <m/>
  </r>
  <r>
    <n v="105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  <m/>
  </r>
  <r>
    <n v="106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7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8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  <m/>
  </r>
  <r>
    <n v="109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s v="박민우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  <m/>
  </r>
  <r>
    <n v="111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  <m/>
  </r>
  <r>
    <n v="113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  <m/>
  </r>
  <r>
    <n v="114"/>
    <m/>
    <m/>
    <s v="기업교육2팀"/>
    <s v="황재연"/>
    <s v="기업교육2팀"/>
    <s v="박민우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s v="박민우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  <m/>
  </r>
  <r>
    <n v="116"/>
    <m/>
    <m/>
    <s v="기업교육3팀"/>
    <s v="박민우"/>
    <s v="기업교육2팀"/>
    <s v="박민우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  <m/>
  </r>
  <r>
    <n v="117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19"/>
    <m/>
    <m/>
    <m/>
    <m/>
    <s v="기업교육2팀"/>
    <s v="박민우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  <m/>
  </r>
  <r>
    <n v="120"/>
    <m/>
    <m/>
    <s v="기업교육3팀"/>
    <s v="박민우"/>
    <s v="기업교육2팀"/>
    <s v="박민우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  <m/>
  </r>
  <r>
    <n v="121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  <m/>
  </r>
  <r>
    <n v="123"/>
    <m/>
    <m/>
    <s v="기업교육3팀"/>
    <s v="박민우"/>
    <s v="기업교육2팀"/>
    <s v="박민우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  <m/>
  </r>
  <r>
    <n v="124"/>
    <m/>
    <m/>
    <s v="기업교육2팀"/>
    <s v="황재연"/>
    <s v="기업교육2팀"/>
    <s v="박민우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5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6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7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  <m/>
  </r>
  <r>
    <n v="128"/>
    <m/>
    <m/>
    <s v="기업교육3팀"/>
    <s v="박민우"/>
    <s v="기업교육2팀"/>
    <s v="박민우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0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1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  <m/>
  </r>
  <r>
    <n v="132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  <m/>
  </r>
  <r>
    <n v="135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36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  <m/>
  </r>
  <r>
    <n v="137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  <m/>
  </r>
  <r>
    <n v="140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41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142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3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4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47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  <m/>
  </r>
  <r>
    <n v="148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  <m/>
  </r>
  <r>
    <n v="149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0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s v="박민우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  <m/>
  </r>
  <r>
    <n v="152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53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4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5"/>
    <m/>
    <m/>
    <s v="기업교육3팀"/>
    <s v="박민우"/>
    <s v="기업교육2팀"/>
    <s v="박민우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  <m/>
  </r>
  <r>
    <n v="156"/>
    <m/>
    <m/>
    <s v="기업교육2팀"/>
    <s v="안혜연"/>
    <s v="기업교육2팀"/>
    <s v="안혜연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57"/>
    <m/>
    <m/>
    <s v="기업교육2팀"/>
    <s v="안혜연"/>
    <s v="기업교육2팀"/>
    <s v="안혜연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  <m/>
  </r>
  <r>
    <n v="160"/>
    <m/>
    <m/>
    <s v="기업교육2팀"/>
    <s v="고예서"/>
    <s v="기업교육2팀"/>
    <s v="안혜연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s v="안혜연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162"/>
    <m/>
    <m/>
    <s v="기업교육2팀"/>
    <s v="고예서"/>
    <s v="기업교육2팀"/>
    <s v="안혜연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  <m/>
  </r>
  <r>
    <n v="163"/>
    <m/>
    <m/>
    <s v="기업교육2팀"/>
    <s v="김나리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  <m/>
  </r>
  <r>
    <n v="164"/>
    <m/>
    <m/>
    <s v="기업교육2팀"/>
    <s v="안혜연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  <m/>
  </r>
  <r>
    <n v="166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s v="안혜연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s v="안혜연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169"/>
    <m/>
    <m/>
    <s v="기업교육2팀"/>
    <s v="안혜연"/>
    <s v="기업교육2팀"/>
    <s v="안혜연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s v="안혜연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s v="안혜연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72"/>
    <m/>
    <m/>
    <m/>
    <m/>
    <s v="기업교육2팀"/>
    <s v="안혜연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  <m/>
  </r>
  <r>
    <n v="173"/>
    <m/>
    <m/>
    <m/>
    <m/>
    <s v="기업교육2팀"/>
    <s v="안혜연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s v="안혜연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s v="안혜연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s v="안혜연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177"/>
    <m/>
    <m/>
    <s v="기업교육2팀"/>
    <s v="안혜연"/>
    <s v="기업교육2팀"/>
    <s v="안혜연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178"/>
    <m/>
    <m/>
    <s v="기업교육2팀"/>
    <s v="안혜연"/>
    <s v="기업교육2팀"/>
    <s v="안혜연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79"/>
    <m/>
    <m/>
    <s v="기업교육2팀"/>
    <s v="안혜연"/>
    <s v="기업교육2팀"/>
    <s v="안혜연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s v="안혜연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s v="안혜연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82"/>
    <m/>
    <m/>
    <s v="기업교육2팀"/>
    <s v="김나리"/>
    <s v="기업교육2팀"/>
    <s v="안혜연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s v="안혜연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  <m/>
  </r>
  <r>
    <n v="184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  <m/>
  </r>
  <r>
    <n v="185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  <m/>
  </r>
  <r>
    <n v="186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89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  <m/>
  </r>
  <r>
    <n v="190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1"/>
    <m/>
    <m/>
    <s v="기업교육2팀"/>
    <s v="안혜연"/>
    <s v="기업교육2팀"/>
    <s v="안혜연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s v="안혜연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93"/>
    <m/>
    <m/>
    <s v="기업교육2팀"/>
    <s v="김나리"/>
    <s v="기업교육2팀"/>
    <s v="안혜연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94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  <m/>
  </r>
  <r>
    <n v="195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196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  <m/>
  </r>
  <r>
    <n v="197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  <m/>
  </r>
  <r>
    <n v="198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  <m/>
  </r>
  <r>
    <n v="199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s v="안혜연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  <m/>
  </r>
  <r>
    <n v="203"/>
    <m/>
    <m/>
    <s v="기업교육2팀"/>
    <s v="김나리"/>
    <s v="기업교육2팀"/>
    <s v="안혜연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204"/>
    <m/>
    <m/>
    <s v="기업교육2팀"/>
    <s v="김나리"/>
    <s v="기업교육2팀"/>
    <s v="안혜연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05"/>
    <m/>
    <m/>
    <s v="기업교육2팀"/>
    <s v="김나리"/>
    <s v="기업교육2팀"/>
    <s v="안혜연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s v="안혜연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07"/>
    <m/>
    <m/>
    <s v="기업교육2팀"/>
    <s v="김나리"/>
    <s v="기업교육2팀"/>
    <s v="안혜연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208"/>
    <m/>
    <m/>
    <s v="기업교육2팀"/>
    <s v="김나리"/>
    <s v="기업교육2팀"/>
    <s v="안혜연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s v="안혜연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  <m/>
  </r>
  <r>
    <n v="210"/>
    <m/>
    <m/>
    <s v="기업교육2팀"/>
    <s v="김나리"/>
    <s v="기업교육2팀"/>
    <s v="안혜연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211"/>
    <m/>
    <m/>
    <s v="기업교육4팀"/>
    <s v="김성경"/>
    <s v="기업교육2팀"/>
    <s v="안혜연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12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  <m/>
  </r>
  <r>
    <n v="213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214"/>
    <m/>
    <m/>
    <s v="기업교육2팀"/>
    <s v="안혜연"/>
    <s v="기업교육2팀"/>
    <s v="안혜연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  <m/>
  </r>
  <r>
    <n v="217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  <m/>
  </r>
  <r>
    <n v="219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s v="안혜연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s v="안혜연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s v="안혜연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23"/>
    <m/>
    <m/>
    <s v="기업교육2팀"/>
    <s v="장윤오"/>
    <s v="기업교육2팀"/>
    <s v="안혜연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s v="안혜연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s v="안혜연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s v="안혜연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27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  <m/>
  </r>
  <r>
    <n v="228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29"/>
    <m/>
    <m/>
    <m/>
    <m/>
    <s v="기업교육2팀"/>
    <s v="안혜연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s v="안혜연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231"/>
    <m/>
    <m/>
    <s v="기업교육2팀"/>
    <s v="안혜연"/>
    <s v="기업교육2팀"/>
    <s v="안혜연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s v="안혜연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  <m/>
  </r>
  <r>
    <n v="233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</r>
  <r>
    <n v="236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  <m/>
  </r>
  <r>
    <n v="237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38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  <m/>
  </r>
  <r>
    <n v="239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241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  <m/>
  </r>
  <r>
    <n v="242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s v="안혜연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244"/>
    <m/>
    <m/>
    <s v="기업교육2팀"/>
    <s v="안혜연"/>
    <s v="기업교육2팀"/>
    <s v="안혜연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  <m/>
  </r>
  <r>
    <n v="245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  <m/>
  </r>
  <r>
    <n v="247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49"/>
    <m/>
    <m/>
    <s v="기업교육2팀"/>
    <s v="장윤오"/>
    <s v="기업교육2팀"/>
    <s v="안혜연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250"/>
    <m/>
    <m/>
    <s v="기업교육2팀"/>
    <s v="장윤오"/>
    <s v="기업교육2팀"/>
    <s v="안혜연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251"/>
    <m/>
    <m/>
    <s v="기업교육2팀"/>
    <s v="장윤오"/>
    <s v="기업교육2팀"/>
    <s v="안혜연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52"/>
    <m/>
    <m/>
    <s v="기업교육2팀"/>
    <s v="장윤오"/>
    <s v="기업교육2팀"/>
    <s v="안혜연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s v="안혜연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s v="안혜연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55"/>
    <m/>
    <m/>
    <s v="기업교육2팀"/>
    <s v="안혜연"/>
    <s v="기업교육2팀"/>
    <s v="안혜연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256"/>
    <m/>
    <m/>
    <s v="기업교육2팀"/>
    <s v="안혜연"/>
    <s v="기업교육2팀"/>
    <s v="안혜연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  <m/>
  </r>
  <r>
    <n v="257"/>
    <m/>
    <m/>
    <s v="기업교육2팀"/>
    <s v="안혜연"/>
    <s v="기업교육2팀"/>
    <s v="안혜연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s v="안혜연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59"/>
    <m/>
    <m/>
    <s v="기업교육2팀"/>
    <s v="김나리"/>
    <s v="기업교육2팀"/>
    <s v="안혜연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260"/>
    <m/>
    <m/>
    <s v="기업교육2팀"/>
    <s v="김나리"/>
    <s v="기업교육2팀"/>
    <s v="안혜연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1"/>
    <m/>
    <m/>
    <s v="기업교육2팀"/>
    <s v="김나리"/>
    <s v="기업교육2팀"/>
    <s v="안혜연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  <m/>
  </r>
  <r>
    <n v="262"/>
    <m/>
    <m/>
    <s v="기업교육2팀"/>
    <s v="김나리"/>
    <s v="기업교육2팀"/>
    <s v="안혜연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  <m/>
  </r>
  <r>
    <n v="263"/>
    <m/>
    <m/>
    <s v="기업교육2팀"/>
    <s v="김나리"/>
    <s v="기업교육2팀"/>
    <s v="안혜연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  <m/>
  </r>
  <r>
    <n v="265"/>
    <m/>
    <m/>
    <s v="기업교육2팀"/>
    <s v="김나리"/>
    <s v="기업교육2팀"/>
    <s v="안혜연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  <m/>
  </r>
  <r>
    <n v="266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  <m/>
  </r>
  <r>
    <n v="267"/>
    <m/>
    <m/>
    <s v="기업교육2팀"/>
    <s v="김나리"/>
    <s v="기업교육2팀"/>
    <s v="안혜연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  <m/>
  </r>
  <r>
    <n v="269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s v="안혜연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s v="안혜연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75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s v="안혜연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s v="안혜연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s v="안혜연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s v="안혜연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  <m/>
  </r>
  <r>
    <n v="282"/>
    <m/>
    <m/>
    <s v="기업교육2팀"/>
    <s v="안혜연"/>
    <s v="기업교육2팀"/>
    <s v="안혜연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  <m/>
  </r>
  <r>
    <n v="283"/>
    <m/>
    <m/>
    <s v="기업교육2팀"/>
    <s v="안혜연"/>
    <s v="기업교육2팀"/>
    <s v="안혜연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s v="이종혁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  <m/>
  </r>
  <r>
    <n v="286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  <m/>
  </r>
  <r>
    <n v="287"/>
    <m/>
    <m/>
    <s v="기업교육2팀"/>
    <s v="이종혁"/>
    <s v="기업교육2팀"/>
    <s v="이종혁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s v="이종혁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  <m/>
  </r>
  <r>
    <n v="289"/>
    <m/>
    <m/>
    <s v="기업교육2팀"/>
    <s v="이종혁"/>
    <s v="기업교육2팀"/>
    <s v="이종혁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s v="이종혁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s v="이종혁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2"/>
    <m/>
    <m/>
    <s v="기업교육2팀"/>
    <s v="이종혁"/>
    <s v="기업교육2팀"/>
    <s v="이종혁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s v="이종혁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s v="이종혁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95"/>
    <m/>
    <m/>
    <s v="기업교육2팀"/>
    <s v="황재연"/>
    <s v="기업교육2팀"/>
    <s v="이종혁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96"/>
    <m/>
    <m/>
    <s v="기업교육2팀"/>
    <s v="장윤오"/>
    <s v="기업교육2팀"/>
    <s v="이종혁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7"/>
    <m/>
    <m/>
    <s v="기업교육2팀"/>
    <s v="장윤오"/>
    <s v="기업교육2팀"/>
    <s v="이종혁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s v="이종혁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9"/>
    <m/>
    <m/>
    <s v="기업교육2팀"/>
    <s v="이종혁"/>
    <s v="기업교육2팀"/>
    <s v="이종혁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s v="이종혁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  <m/>
  </r>
  <r>
    <n v="301"/>
    <m/>
    <m/>
    <s v="기업교육2팀"/>
    <s v="이종혁"/>
    <s v="기업교육2팀"/>
    <s v="이종혁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303"/>
    <m/>
    <m/>
    <s v="기업교육2팀"/>
    <s v="이종혁"/>
    <s v="기업교육2팀"/>
    <s v="이종혁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04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s v="이종혁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s v="이종혁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s v="이종혁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  <m/>
  </r>
  <r>
    <n v="308"/>
    <m/>
    <m/>
    <s v="기업교육2팀"/>
    <s v="이종혁"/>
    <s v="기업교육2팀"/>
    <s v="이종혁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09"/>
    <m/>
    <m/>
    <s v="기업교육2팀"/>
    <s v="이종혁"/>
    <s v="기업교육2팀"/>
    <s v="이종혁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0"/>
    <m/>
    <m/>
    <s v="기업교육2팀"/>
    <s v="이종혁"/>
    <s v="기업교육2팀"/>
    <s v="이종혁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  <m/>
  </r>
  <r>
    <n v="311"/>
    <m/>
    <m/>
    <s v="기업교육2팀"/>
    <s v="장윤오"/>
    <s v="기업교육2팀"/>
    <s v="이종혁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312"/>
    <m/>
    <m/>
    <s v="기업교육2팀"/>
    <s v="장윤오"/>
    <s v="기업교육2팀"/>
    <s v="이종혁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3"/>
    <m/>
    <m/>
    <s v="기업교육2팀"/>
    <s v="서동윤"/>
    <s v="기업교육2팀"/>
    <s v="이종혁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14"/>
    <m/>
    <m/>
    <s v="기업교육2팀"/>
    <s v="황재연"/>
    <s v="기업교육2팀"/>
    <s v="이종혁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15"/>
    <m/>
    <m/>
    <m/>
    <m/>
    <s v="기업교육2팀"/>
    <s v="이종혁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s v="이종혁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7"/>
    <m/>
    <m/>
    <s v="기업교육2팀"/>
    <s v="이종혁"/>
    <s v="기업교육2팀"/>
    <s v="이종혁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  <m/>
  </r>
  <r>
    <n v="318"/>
    <m/>
    <m/>
    <s v="기업교육2팀"/>
    <s v="이종혁"/>
    <s v="기업교육2팀"/>
    <s v="이종혁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s v="이종혁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320"/>
    <m/>
    <m/>
    <s v="기업교육2팀"/>
    <s v="이종혁"/>
    <s v="기업교육2팀"/>
    <s v="이종혁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21"/>
    <m/>
    <m/>
    <s v="기업교육2팀"/>
    <s v="장윤오"/>
    <s v="기업교육2팀"/>
    <s v="이종혁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  <m/>
  </r>
  <r>
    <n v="322"/>
    <m/>
    <m/>
    <s v="기업교육2팀"/>
    <s v="장윤오"/>
    <s v="기업교육2팀"/>
    <s v="이종혁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s v="이종혁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  <m/>
  </r>
  <r>
    <n v="324"/>
    <m/>
    <m/>
    <s v="기업교육2팀"/>
    <s v="이종혁"/>
    <s v="기업교육2팀"/>
    <s v="이종혁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  <m/>
  </r>
  <r>
    <n v="325"/>
    <m/>
    <m/>
    <s v="기업교육2팀"/>
    <s v="이종혁"/>
    <s v="기업교육2팀"/>
    <s v="이종혁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  <m/>
  </r>
  <r>
    <n v="326"/>
    <m/>
    <m/>
    <s v="기업교육2팀"/>
    <s v="이종혁"/>
    <s v="기업교육2팀"/>
    <s v="이종혁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s v="이종혁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s v="이종혁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s v="이종혁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30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  <m/>
  </r>
  <r>
    <n v="331"/>
    <m/>
    <m/>
    <s v="기업교육2팀"/>
    <s v="고예서"/>
    <s v="기업교육2팀"/>
    <s v="이종혁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s v="이종혁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s v="이종혁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5"/>
    <m/>
    <m/>
    <s v="기업교육3팀"/>
    <s v="최영기"/>
    <s v="기업교육2팀"/>
    <s v="이종혁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6"/>
    <m/>
    <m/>
    <s v="기업교육2팀"/>
    <s v="이종혁"/>
    <s v="기업교육2팀"/>
    <s v="이종혁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37"/>
    <m/>
    <m/>
    <s v="기업교육2팀"/>
    <s v="고예서"/>
    <s v="기업교육2팀"/>
    <s v="이종혁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s v="이종혁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39"/>
    <m/>
    <m/>
    <s v="기업교육2팀"/>
    <s v="장윤오"/>
    <s v="기업교육2팀"/>
    <s v="이종혁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  <m/>
  </r>
  <r>
    <n v="340"/>
    <m/>
    <m/>
    <s v="기업교육2팀"/>
    <s v="이종혁"/>
    <s v="기업교육2팀"/>
    <s v="이종혁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1"/>
    <m/>
    <m/>
    <s v="기업교육2팀"/>
    <s v="이종혁"/>
    <s v="기업교육2팀"/>
    <s v="이종혁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  <m/>
  </r>
  <r>
    <n v="342"/>
    <m/>
    <m/>
    <s v="기업교육2팀"/>
    <s v="이종혁"/>
    <s v="기업교육2팀"/>
    <s v="이종혁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43"/>
    <m/>
    <m/>
    <s v="기업교육2팀"/>
    <s v="이종혁"/>
    <s v="기업교육2팀"/>
    <s v="이종혁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  <m/>
  </r>
  <r>
    <n v="344"/>
    <m/>
    <m/>
    <m/>
    <m/>
    <s v="기업교육2팀"/>
    <s v="이종혁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s v="이종혁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  <m/>
  </r>
  <r>
    <n v="346"/>
    <m/>
    <m/>
    <m/>
    <m/>
    <s v="기업교육2팀"/>
    <s v="이종혁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s v="이종혁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  <m/>
  </r>
  <r>
    <n v="348"/>
    <m/>
    <m/>
    <s v="기업교육2팀"/>
    <s v="이종혁"/>
    <s v="기업교육2팀"/>
    <s v="이종혁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  <m/>
  </r>
  <r>
    <n v="349"/>
    <m/>
    <m/>
    <s v="기업교육2팀"/>
    <s v="이종혁"/>
    <s v="기업교육2팀"/>
    <s v="이종혁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s v="이종혁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  <m/>
  </r>
  <r>
    <n v="351"/>
    <m/>
    <m/>
    <s v="기업교육2팀"/>
    <s v="장윤오"/>
    <s v="기업교육2팀"/>
    <s v="이종혁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  <m/>
  </r>
  <r>
    <n v="352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  <m/>
  </r>
  <r>
    <n v="353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  <m/>
  </r>
  <r>
    <n v="354"/>
    <m/>
    <m/>
    <s v="기업교육2팀"/>
    <s v="이종혁"/>
    <s v="기업교육2팀"/>
    <s v="이종혁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355"/>
    <m/>
    <m/>
    <s v="기업교육2팀"/>
    <s v="고예서"/>
    <s v="기업교육2팀"/>
    <s v="이종혁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6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  <m/>
  </r>
  <r>
    <n v="357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  <m/>
  </r>
  <r>
    <n v="358"/>
    <m/>
    <m/>
    <s v="기업교육2팀"/>
    <s v="고예서"/>
    <s v="기업교육2팀"/>
    <s v="이종혁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s v="이종혁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  <m/>
  </r>
  <r>
    <n v="360"/>
    <m/>
    <m/>
    <s v="기업교육2팀"/>
    <s v="이종혁"/>
    <s v="기업교육2팀"/>
    <s v="이종혁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  <m/>
  </r>
  <r>
    <n v="361"/>
    <m/>
    <m/>
    <s v="기업교육2팀"/>
    <s v="이종혁"/>
    <s v="기업교육2팀"/>
    <s v="이종혁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s v="이종혁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63"/>
    <m/>
    <m/>
    <s v="기업교육2팀"/>
    <s v="이종혁"/>
    <s v="기업교육2팀"/>
    <s v="이종혁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4"/>
    <m/>
    <m/>
    <s v="기업교육2팀"/>
    <s v="이종혁"/>
    <s v="기업교육2팀"/>
    <s v="이종혁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  <m/>
  </r>
  <r>
    <n v="365"/>
    <m/>
    <m/>
    <s v="기업교육2팀"/>
    <s v="이종혁"/>
    <s v="기업교육2팀"/>
    <s v="이종혁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366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  <m/>
  </r>
  <r>
    <n v="367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8"/>
    <m/>
    <m/>
    <s v="기업교육2팀"/>
    <s v="황재연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369"/>
    <m/>
    <m/>
    <s v="기업교육2팀"/>
    <s v="이종혁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  <m/>
  </r>
  <r>
    <n v="370"/>
    <m/>
    <m/>
    <s v="기업교육2팀"/>
    <s v="이종혁"/>
    <s v="기업교육2팀"/>
    <s v="이종혁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  <m/>
  </r>
  <r>
    <n v="371"/>
    <m/>
    <m/>
    <m/>
    <m/>
    <s v="기업교육2팀"/>
    <s v="이종혁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s v="이종혁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s v="이종혁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s v="이종혁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  <m/>
  </r>
  <r>
    <n v="375"/>
    <m/>
    <m/>
    <s v="기업교육3팀"/>
    <s v="박민우"/>
    <s v="기업교육2팀"/>
    <s v="이종혁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s v="이종혁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  <m/>
  </r>
  <r>
    <n v="377"/>
    <m/>
    <m/>
    <s v="기업교육2팀"/>
    <s v="이종혁"/>
    <s v="기업교육2팀"/>
    <s v="이종혁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  <m/>
  </r>
  <r>
    <n v="378"/>
    <m/>
    <m/>
    <s v="기업교육2팀"/>
    <s v="이종혁"/>
    <s v="기업교육2팀"/>
    <s v="이종혁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  <m/>
  </r>
  <r>
    <n v="379"/>
    <m/>
    <m/>
    <s v="기업교육2팀"/>
    <s v="장윤오"/>
    <s v="기업교육2팀"/>
    <s v="이종혁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  <m/>
  </r>
  <r>
    <n v="380"/>
    <m/>
    <m/>
    <s v="기업교육2팀"/>
    <s v="황재연"/>
    <s v="기업교육2팀"/>
    <s v="이종혁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381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  <m/>
  </r>
  <r>
    <n v="382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s v="박혜원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s v="박혜원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s v="박혜원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388"/>
    <m/>
    <m/>
    <s v="기업교육2팀"/>
    <s v="김나리"/>
    <s v="기업교육2팀"/>
    <s v="박혜원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  <m/>
  </r>
  <r>
    <n v="389"/>
    <m/>
    <m/>
    <s v="기업교육2팀"/>
    <s v="김나리"/>
    <s v="기업교육2팀"/>
    <s v="박혜원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  <m/>
  </r>
  <r>
    <n v="390"/>
    <m/>
    <m/>
    <s v="기업교육2팀"/>
    <s v="김나리"/>
    <s v="기업교육2팀"/>
    <s v="박혜원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91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  <m/>
  </r>
  <r>
    <n v="392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  <m/>
  </r>
  <r>
    <n v="393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  <m/>
  </r>
  <r>
    <n v="394"/>
    <m/>
    <m/>
    <s v="기업교육2팀"/>
    <s v="박혜원"/>
    <s v="기업교육2팀"/>
    <s v="박혜원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  <m/>
  </r>
  <r>
    <n v="395"/>
    <m/>
    <m/>
    <s v="기업교육2팀"/>
    <s v="박혜원"/>
    <s v="기업교육2팀"/>
    <s v="박혜원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s v="박혜원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  <m/>
  </r>
  <r>
    <n v="397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s v="박혜원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s v="박혜원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  <m/>
  </r>
  <r>
    <n v="401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402"/>
    <m/>
    <m/>
    <s v="기업교육2팀"/>
    <s v="김나리"/>
    <s v="기업교육2팀"/>
    <s v="박혜원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  <m/>
  </r>
  <r>
    <n v="403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  <m/>
  </r>
  <r>
    <n v="404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06"/>
    <m/>
    <m/>
    <s v="기업교육2팀"/>
    <s v="박혜원"/>
    <s v="기업교육2팀"/>
    <s v="박혜원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  <m/>
  </r>
  <r>
    <n v="407"/>
    <m/>
    <m/>
    <s v="기업교육2팀"/>
    <s v="박혜원"/>
    <s v="기업교육2팀"/>
    <s v="박혜원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s v="박혜원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409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11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2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  <m/>
  </r>
  <r>
    <n v="413"/>
    <m/>
    <m/>
    <s v="기업교육2팀"/>
    <s v="박혜원"/>
    <s v="기업교육2팀"/>
    <s v="박혜원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414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5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  <m/>
  </r>
  <r>
    <n v="416"/>
    <m/>
    <m/>
    <s v="기업교육2팀"/>
    <s v="박혜원"/>
    <s v="기업교육2팀"/>
    <s v="박혜원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</r>
  <r>
    <n v="418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  <m/>
  </r>
  <r>
    <n v="419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  <m/>
  </r>
  <r>
    <n v="420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  <m/>
  </r>
  <r>
    <n v="421"/>
    <m/>
    <m/>
    <m/>
    <m/>
    <s v="기업교육2팀"/>
    <s v="박혜원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s v="박혜원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s v="박혜원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24"/>
    <m/>
    <m/>
    <s v="기업교육2팀"/>
    <s v="박혜원"/>
    <s v="기업교육2팀"/>
    <s v="박혜원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425"/>
    <m/>
    <m/>
    <s v="기업교육2팀"/>
    <s v="박혜원"/>
    <s v="기업교육2팀"/>
    <s v="박혜원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  <m/>
  </r>
  <r>
    <n v="426"/>
    <m/>
    <m/>
    <s v="기업교육2팀"/>
    <s v="박혜원"/>
    <s v="기업교육2팀"/>
    <s v="박혜원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427"/>
    <m/>
    <m/>
    <m/>
    <m/>
    <s v="기업교육2팀"/>
    <s v="박혜원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  <m/>
  </r>
  <r>
    <n v="428"/>
    <m/>
    <m/>
    <s v="기업교육2팀"/>
    <s v="박혜원"/>
    <s v="기업교육2팀"/>
    <s v="박혜원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s v="박혜원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431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  <m/>
  </r>
  <r>
    <n v="432"/>
    <m/>
    <m/>
    <s v="기업교육2팀"/>
    <s v="박혜원"/>
    <s v="기업교육2팀"/>
    <s v="박혜원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433"/>
    <m/>
    <m/>
    <s v="기업교육2팀"/>
    <s v="박혜원"/>
    <s v="기업교육2팀"/>
    <s v="박혜원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s v="박혜원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  <m/>
  </r>
  <r>
    <n v="435"/>
    <m/>
    <m/>
    <s v="기업교육2팀"/>
    <s v="고예서"/>
    <s v="기업교육2팀"/>
    <s v="박혜원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s v="박혜원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437"/>
    <m/>
    <m/>
    <s v="기업교육2팀"/>
    <s v="박혜원"/>
    <s v="기업교육2팀"/>
    <s v="박혜원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438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  <m/>
  </r>
  <r>
    <n v="439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s v="박혜원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41"/>
    <m/>
    <m/>
    <s v="기업교육2팀"/>
    <s v="박혜원"/>
    <s v="기업교육2팀"/>
    <s v="박혜원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42"/>
    <m/>
    <m/>
    <s v="기업교육2팀"/>
    <s v="박혜원"/>
    <s v="기업교육2팀"/>
    <s v="박혜원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443"/>
    <m/>
    <m/>
    <s v="기업교육2팀"/>
    <s v="박혜원"/>
    <s v="기업교육2팀"/>
    <s v="박혜원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  <s v="잔금50%"/>
  </r>
  <r>
    <n v="445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447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  <m/>
  </r>
  <r>
    <n v="448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  <m/>
  </r>
  <r>
    <n v="449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452"/>
    <m/>
    <m/>
    <s v="기업교육2팀"/>
    <s v="박혜원"/>
    <s v="기업교육2팀"/>
    <s v="박혜원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  <m/>
  </r>
  <r>
    <n v="453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s v="박혜원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  <m/>
  </r>
  <r>
    <n v="455"/>
    <m/>
    <m/>
    <s v="기업교육2팀"/>
    <s v="고예서"/>
    <s v="기업교육2팀"/>
    <s v="최다경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s v="최다경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  <m/>
  </r>
  <r>
    <n v="459"/>
    <m/>
    <m/>
    <s v="기업교육2팀"/>
    <s v="고예서"/>
    <s v="기업교육2팀"/>
    <s v="최다경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s v="최다경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  <m/>
  </r>
  <r>
    <n v="461"/>
    <m/>
    <m/>
    <s v="기업교육2팀"/>
    <s v="고예서"/>
    <s v="기업교육2팀"/>
    <s v="최다경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62"/>
    <m/>
    <m/>
    <s v="기업교육2팀"/>
    <s v="고예서"/>
    <s v="기업교육2팀"/>
    <s v="최다경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464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s v="최다경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  <m/>
  </r>
  <r>
    <n v="466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s v="최다경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  <m/>
  </r>
  <r>
    <n v="469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  <m/>
  </r>
  <r>
    <n v="470"/>
    <m/>
    <m/>
    <s v="기업교육2팀"/>
    <s v="장윤오"/>
    <s v="기업교육2팀"/>
    <s v="최다경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  <s v="(27년 1월 발행 가능성 有)"/>
  </r>
  <r>
    <n v="471"/>
    <m/>
    <m/>
    <s v="기업교육2팀"/>
    <s v="고예서"/>
    <s v="기업교육2팀"/>
    <s v="최다경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s v="최다경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  <m/>
  </r>
  <r>
    <n v="475"/>
    <m/>
    <m/>
    <s v="기업교육2팀"/>
    <s v="고예서"/>
    <s v="기업교육2팀"/>
    <s v="최다경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s v="최다경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77"/>
    <m/>
    <m/>
    <s v="기업교육2팀"/>
    <s v="황재연"/>
    <s v="기업교육2팀"/>
    <s v="최다경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8"/>
    <m/>
    <m/>
    <s v="기업교육2팀"/>
    <s v="황재연"/>
    <s v="기업교육2팀"/>
    <s v="최다경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9"/>
    <m/>
    <m/>
    <s v="기업교육2팀"/>
    <s v="장윤오"/>
    <s v="기업교육2팀"/>
    <s v="최다경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  <m/>
  </r>
  <r>
    <n v="480"/>
    <m/>
    <m/>
    <m/>
    <m/>
    <s v="기업교육2팀"/>
    <s v="최다경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s v="최다경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s v="최다경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  <m/>
  </r>
  <r>
    <n v="483"/>
    <m/>
    <m/>
    <s v="기업교육2팀"/>
    <s v="장윤오"/>
    <s v="기업교육2팀"/>
    <s v="최다경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484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s v="최다경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87"/>
    <m/>
    <m/>
    <s v="기업교육2팀"/>
    <s v="고예서"/>
    <s v="기업교육2팀"/>
    <s v="최다경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  <m/>
  </r>
  <r>
    <n v="489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  <m/>
  </r>
  <r>
    <n v="490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  <m/>
  </r>
  <r>
    <n v="491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  <m/>
  </r>
  <r>
    <n v="492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93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94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5"/>
    <m/>
    <m/>
    <s v="기업교육2팀"/>
    <s v="김나리"/>
    <s v="기업교육2팀"/>
    <s v="최다경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496"/>
    <m/>
    <m/>
    <s v="기업교육2팀"/>
    <s v="김나리"/>
    <s v="기업교육2팀"/>
    <s v="최다경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  <m/>
  </r>
  <r>
    <n v="497"/>
    <m/>
    <m/>
    <s v="기업교육2팀"/>
    <s v="김나리"/>
    <s v="기업교육2팀"/>
    <s v="최다경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s v="최다경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  <m/>
  </r>
  <r>
    <n v="499"/>
    <m/>
    <m/>
    <s v="기업교육2팀"/>
    <s v="고예서"/>
    <s v="기업교육2팀"/>
    <s v="최다경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s v="최다경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s v="최다경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  <m/>
  </r>
  <r>
    <n v="502"/>
    <m/>
    <m/>
    <s v="기업교육2팀"/>
    <s v="고예서"/>
    <s v="기업교육2팀"/>
    <s v="최다경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03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  <m/>
  </r>
  <r>
    <n v="504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6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  <m/>
  </r>
  <r>
    <n v="507"/>
    <m/>
    <m/>
    <s v="기업교육2팀"/>
    <s v="고예서"/>
    <s v="기업교육2팀"/>
    <s v="최다경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  <m/>
  </r>
  <r>
    <n v="508"/>
    <m/>
    <m/>
    <s v="기업교육2팀"/>
    <s v="고예서"/>
    <s v="기업교육2팀"/>
    <s v="최다경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s v="최다경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s v="최다경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  <m/>
  </r>
  <r>
    <n v="511"/>
    <m/>
    <m/>
    <s v="기업교육2팀"/>
    <s v="고예서"/>
    <s v="기업교육2팀"/>
    <s v="최다경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512"/>
    <m/>
    <m/>
    <s v="기업교육2팀"/>
    <s v="고예서"/>
    <s v="기업교육2팀"/>
    <s v="최다경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  <m/>
  </r>
  <r>
    <n v="513"/>
    <m/>
    <m/>
    <m/>
    <m/>
    <s v="기업교육2팀"/>
    <s v="최다경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  <m/>
  </r>
  <r>
    <n v="515"/>
    <m/>
    <m/>
    <s v="기업교육2팀"/>
    <s v="장윤오"/>
    <s v="기업교육2팀"/>
    <s v="최다경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17"/>
    <m/>
    <m/>
    <s v="기업교육2팀"/>
    <s v="장윤오"/>
    <s v="기업교육2팀"/>
    <s v="최다경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518"/>
    <m/>
    <m/>
    <m/>
    <m/>
    <s v="기업교육2팀"/>
    <s v="최다경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s v="최다경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  <m/>
  </r>
  <r>
    <n v="521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22"/>
    <m/>
    <m/>
    <s v="기업교육2팀"/>
    <s v="장윤오"/>
    <s v="기업교육2팀"/>
    <s v="최다경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  <m/>
  </r>
  <r>
    <n v="523"/>
    <m/>
    <m/>
    <m/>
    <m/>
    <s v="기업교육2팀"/>
    <s v="신우섭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  <m/>
  </r>
  <r>
    <n v="524"/>
    <m/>
    <m/>
    <s v="기업교육2팀"/>
    <s v="장윤오"/>
    <s v="기업교육2팀"/>
    <s v="신우섭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  <m/>
  </r>
  <r>
    <n v="525"/>
    <m/>
    <m/>
    <s v="기업교육2팀"/>
    <s v="장윤오"/>
    <s v="기업교육2팀"/>
    <s v="신우섭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26"/>
    <m/>
    <m/>
    <s v="기업교육2팀"/>
    <s v="장윤오"/>
    <s v="기업교육2팀"/>
    <s v="신우섭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2팀"/>
    <s v="장윤오"/>
    <s v="기업교육2팀"/>
    <s v="신우섭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28"/>
    <m/>
    <m/>
    <s v="기업교육2팀"/>
    <s v="장윤오"/>
    <s v="기업교육2팀"/>
    <s v="신우섭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529"/>
    <m/>
    <m/>
    <s v="기업교육2팀"/>
    <s v="장윤오"/>
    <s v="기업교육2팀"/>
    <s v="신우섭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s v="신우섭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s v="신우섭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  <s v="4.0억 확정 추가"/>
  </r>
  <r>
    <n v="532"/>
    <m/>
    <m/>
    <m/>
    <m/>
    <s v="기업교육2팀"/>
    <s v="신우섭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  <m/>
  </r>
  <r>
    <n v="534"/>
    <m/>
    <m/>
    <s v="기업교육2팀"/>
    <s v="장윤오"/>
    <s v="기업교육2팀"/>
    <s v="신우섭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  <m/>
  </r>
  <r>
    <n v="535"/>
    <m/>
    <m/>
    <s v="기업교육2팀"/>
    <s v="장윤오"/>
    <s v="기업교육2팀"/>
    <s v="신우섭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s v="신우섭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s v="신우섭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  <m/>
  </r>
  <r>
    <n v="538"/>
    <m/>
    <m/>
    <s v="기업교육2팀"/>
    <s v="장윤오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  <m/>
  </r>
  <r>
    <n v="539"/>
    <m/>
    <m/>
    <s v="기업교육2팀"/>
    <s v="안혜연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0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s v="신우섭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42"/>
    <m/>
    <m/>
    <s v="기업교육2팀"/>
    <s v="장윤오"/>
    <s v="기업교육2팀"/>
    <s v="신우섭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  <m/>
  </r>
  <r>
    <n v="543"/>
    <m/>
    <m/>
    <s v="기업교육2팀"/>
    <s v="장윤오"/>
    <s v="기업교육2팀"/>
    <s v="신우섭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s v="신우섭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s v="박재은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  <m/>
  </r>
  <r>
    <n v="548"/>
    <m/>
    <m/>
    <s v="기업교육2팀"/>
    <s v="박혜원"/>
    <s v="기업교육2팀"/>
    <s v="박재은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  <m/>
  </r>
  <r>
    <n v="549"/>
    <m/>
    <m/>
    <s v="기업교육2팀"/>
    <s v="박혜원"/>
    <s v="기업교육2팀"/>
    <s v="박재은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550"/>
    <m/>
    <m/>
    <s v="기업교육2팀"/>
    <s v="신우섭"/>
    <s v="기업교육2팀"/>
    <s v="박재은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51"/>
    <m/>
    <m/>
    <m/>
    <m/>
    <s v="기업교육2팀"/>
    <s v="박재은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s v="박재은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  <m/>
  </r>
  <r>
    <n v="555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556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s v="박재은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s v="박재은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9"/>
    <m/>
    <m/>
    <s v="기업교육2팀"/>
    <s v="박혜원"/>
    <s v="기업교육2팀"/>
    <s v="박재은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0"/>
    <m/>
    <m/>
    <s v="기업교육2팀"/>
    <s v="박혜원"/>
    <s v="기업교육2팀"/>
    <s v="박재은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1"/>
    <m/>
    <m/>
    <s v="기업교육2팀"/>
    <s v="박혜원"/>
    <s v="기업교육2팀"/>
    <s v="박재은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  <m/>
  </r>
  <r>
    <n v="562"/>
    <m/>
    <m/>
    <s v="기업교육2팀"/>
    <s v="박혜원"/>
    <s v="기업교육2팀"/>
    <s v="박재은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  <m/>
  </r>
  <r>
    <n v="563"/>
    <m/>
    <m/>
    <s v="기업교육2팀"/>
    <s v="안혜연"/>
    <s v="기업교육2팀"/>
    <s v="박재은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64"/>
    <m/>
    <m/>
    <s v="기업교육2팀"/>
    <s v="장윤오"/>
    <s v="기업교육2팀"/>
    <s v="박재은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s v="박재은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  <m/>
  </r>
  <r>
    <n v="568"/>
    <m/>
    <m/>
    <s v="기업교육2팀"/>
    <s v="박혜원"/>
    <s v="기업교육2팀"/>
    <s v="박재은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s v="박재은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s v="박재은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  <m/>
  </r>
  <r>
    <n v="571"/>
    <m/>
    <m/>
    <s v="기업교육2팀"/>
    <s v="박혜원"/>
    <s v="기업교육2팀"/>
    <s v="박재은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  <m/>
  </r>
  <r>
    <n v="572"/>
    <m/>
    <m/>
    <s v="기업교육2팀"/>
    <s v="박혜원"/>
    <s v="기업교육2팀"/>
    <s v="박재은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73"/>
    <m/>
    <m/>
    <s v="기업교육2팀"/>
    <s v="박혜원"/>
    <s v="기업교육2팀"/>
    <s v="박재은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74"/>
    <m/>
    <m/>
    <s v="기업교육2팀"/>
    <s v="박혜원"/>
    <s v="기업교육2팀"/>
    <s v="박재은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  <m/>
  </r>
  <r>
    <n v="576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77"/>
    <m/>
    <m/>
    <s v="기업교육2팀"/>
    <s v="박혜원"/>
    <s v="기업교육2팀"/>
    <s v="박재은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s v="박재은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  <m/>
  </r>
  <r>
    <n v="579"/>
    <m/>
    <m/>
    <s v="기업교육2팀"/>
    <s v="안혜연"/>
    <s v="기업교육2팀"/>
    <s v="박재은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  <m/>
  </r>
  <r>
    <n v="581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  <m/>
  </r>
  <r>
    <n v="582"/>
    <m/>
    <m/>
    <s v="기업교육2팀"/>
    <s v="안혜연"/>
    <s v="기업교육2팀"/>
    <s v="박재은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s v="박재은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s v="박재은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585"/>
    <m/>
    <m/>
    <s v="기업교육2팀"/>
    <s v="이종혁"/>
    <s v="기업교육2팀"/>
    <s v="박재은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86"/>
    <m/>
    <m/>
    <s v="기업교육2팀"/>
    <s v="박혜원"/>
    <s v="기업교육2팀"/>
    <s v="박재은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  <m/>
  </r>
  <r>
    <n v="587"/>
    <m/>
    <m/>
    <s v="기업교육2팀"/>
    <s v="박혜원"/>
    <s v="기업교육2팀"/>
    <s v="박재은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s v="박재은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589"/>
    <m/>
    <m/>
    <s v="기업교육2팀"/>
    <s v="안혜연"/>
    <s v="기업교육2팀"/>
    <s v="박재은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  <m/>
  </r>
  <r>
    <n v="590"/>
    <m/>
    <m/>
    <s v="기업교육2팀"/>
    <s v="안혜연"/>
    <s v="기업교육2팀"/>
    <s v="박재은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91"/>
    <m/>
    <m/>
    <s v="기업교육2팀"/>
    <s v="이종혁"/>
    <s v="기업교육2팀"/>
    <s v="박재은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2"/>
    <m/>
    <m/>
    <s v="기업교육2팀"/>
    <s v="이종혁"/>
    <s v="기업교육2팀"/>
    <s v="박재은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s v="박재은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594"/>
    <m/>
    <m/>
    <s v="기업교육2팀"/>
    <s v="박혜원"/>
    <s v="기업교육2팀"/>
    <s v="박재은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595"/>
    <m/>
    <m/>
    <s v="기업교육2팀"/>
    <s v="박혜원"/>
    <s v="기업교육2팀"/>
    <s v="박재은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  <m/>
  </r>
  <r>
    <n v="598"/>
    <m/>
    <m/>
    <m/>
    <m/>
    <s v="기업교육2팀"/>
    <s v="박재은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s v="박재은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600"/>
    <m/>
    <m/>
    <s v="기업교육2팀"/>
    <s v="안혜연"/>
    <s v="기업교육2팀"/>
    <s v="박재은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1"/>
    <m/>
    <m/>
    <s v="기업교육2팀"/>
    <s v="안혜연"/>
    <s v="기업교육2팀"/>
    <s v="박재은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2"/>
    <m/>
    <m/>
    <m/>
    <m/>
    <s v="기업교육2팀"/>
    <s v="박재은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s v="박재은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s v="박재은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s v="박재은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  <m/>
  </r>
  <r>
    <n v="606"/>
    <m/>
    <m/>
    <s v="기업교육2팀"/>
    <s v="박혜원"/>
    <s v="기업교육2팀"/>
    <s v="박재은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09"/>
    <m/>
    <m/>
    <s v="기업교육2팀"/>
    <s v="박혜원"/>
    <s v="기업교육2팀"/>
    <s v="박재은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  <m/>
  </r>
  <r>
    <n v="610"/>
    <m/>
    <m/>
    <s v="기업교육2팀"/>
    <s v="안혜연"/>
    <s v="기업교육2팀"/>
    <s v="박재은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  <m/>
  </r>
  <r>
    <n v="611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612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  <m/>
  </r>
  <r>
    <n v="613"/>
    <m/>
    <m/>
    <s v="기업교육2팀"/>
    <s v="박혜원"/>
    <s v="기업교육2팀"/>
    <s v="박재은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s v="박재은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16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7"/>
    <m/>
    <m/>
    <s v="기업교육2팀"/>
    <s v="황재연"/>
    <s v="기업교육2팀"/>
    <s v="박재은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8"/>
    <m/>
    <m/>
    <s v="기업교육2팀"/>
    <s v="황재연"/>
    <s v="기업교육2팀"/>
    <s v="박재은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619"/>
    <m/>
    <m/>
    <s v="기업교육2팀"/>
    <s v="안혜연"/>
    <s v="기업교육2팀"/>
    <s v="박재은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  <m/>
  </r>
  <r>
    <n v="620"/>
    <m/>
    <m/>
    <s v="기업교육2팀"/>
    <s v="박혜원"/>
    <s v="기업교육2팀"/>
    <s v="박재은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s v="박재은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s v="박재은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  <m/>
  </r>
  <r>
    <n v="623"/>
    <m/>
    <m/>
    <m/>
    <m/>
    <s v="기업교육2팀"/>
    <s v="송준호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s v="송준호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  <m/>
  </r>
  <r>
    <n v="625"/>
    <m/>
    <m/>
    <s v="기업교육2팀"/>
    <s v="서동윤"/>
    <s v="기업교육2팀"/>
    <s v="송준호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  <m/>
  </r>
  <r>
    <n v="626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627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s v="송준호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  <m/>
  </r>
  <r>
    <n v="630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  <m/>
  </r>
  <r>
    <n v="631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632"/>
    <m/>
    <m/>
    <s v="기업교육2팀"/>
    <s v="이종혁"/>
    <s v="기업교육2팀"/>
    <s v="송준호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s v="송준호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  <m/>
  </r>
  <r>
    <n v="635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37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s v="송준호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  <m/>
  </r>
  <r>
    <n v="640"/>
    <m/>
    <m/>
    <s v="기업교육2팀"/>
    <s v="황재연"/>
    <s v="기업교육2팀"/>
    <s v="송준호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1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  <m/>
  </r>
  <r>
    <n v="642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43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4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s v="송준호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646"/>
    <m/>
    <m/>
    <s v="기업교육2팀"/>
    <s v="서동윤"/>
    <s v="기업교육2팀"/>
    <s v="송준호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7"/>
    <m/>
    <m/>
    <s v="기업교육2팀"/>
    <s v="서동윤"/>
    <s v="기업교육2팀"/>
    <s v="송준호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648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s v="송준호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  <m/>
  </r>
  <r>
    <n v="650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651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  <m/>
  </r>
  <r>
    <n v="652"/>
    <m/>
    <m/>
    <s v="기업교육2팀"/>
    <s v="서동윤"/>
    <s v="기업교육2팀"/>
    <s v="송준호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3"/>
    <m/>
    <m/>
    <s v="기업교육2팀"/>
    <s v="김나리"/>
    <s v="기업교육2팀"/>
    <s v="송준호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  <m/>
  </r>
  <r>
    <n v="654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55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656"/>
    <m/>
    <m/>
    <s v="기업교육2팀"/>
    <s v="김나리"/>
    <s v="기업교육2팀"/>
    <s v="송준호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s v="송준호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s v="송준호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  <m/>
  </r>
  <r>
    <n v="659"/>
    <m/>
    <m/>
    <s v="기업교육2팀"/>
    <s v="고예서"/>
    <s v="기업교육2팀"/>
    <s v="송준호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61"/>
    <m/>
    <m/>
    <s v="기업교육2팀"/>
    <s v="고예서"/>
    <s v="기업교육2팀"/>
    <s v="송준호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  <m/>
  </r>
  <r>
    <n v="662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663"/>
    <m/>
    <m/>
    <m/>
    <m/>
    <s v="기업교육2팀"/>
    <s v="송준호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s v="송준호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s v="송준호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  <m/>
  </r>
  <r>
    <n v="666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70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s v="송준호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  <m/>
  </r>
  <r>
    <n v="674"/>
    <m/>
    <m/>
    <m/>
    <m/>
    <s v="기업교육2팀"/>
    <s v="송준호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  <m/>
  </r>
  <r>
    <n v="675"/>
    <m/>
    <m/>
    <m/>
    <m/>
    <s v="기업교육2팀"/>
    <s v="송준호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  <m/>
  </r>
  <r>
    <n v="676"/>
    <m/>
    <m/>
    <m/>
    <m/>
    <s v="기업교육2팀"/>
    <s v="송준호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s v="송준호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  <m/>
  </r>
  <r>
    <n v="682"/>
    <m/>
    <m/>
    <s v="기업교육2팀"/>
    <s v="서동윤"/>
    <s v="기업교육2팀"/>
    <s v="송준호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83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84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685"/>
    <m/>
    <m/>
    <s v="기업교육2팀"/>
    <s v="고예서"/>
    <s v="기업교육2팀"/>
    <s v="송준호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86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  <m/>
  </r>
  <r>
    <n v="688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  <m/>
  </r>
  <r>
    <n v="690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  <m/>
  </r>
  <r>
    <n v="691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92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93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  <m/>
  </r>
  <r>
    <n v="694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  <m/>
  </r>
  <r>
    <n v="695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  <m/>
  </r>
  <r>
    <n v="696"/>
    <m/>
    <m/>
    <s v="기업교육2팀"/>
    <s v="김나리"/>
    <s v="기업교육2팀"/>
    <s v="송준호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  <m/>
  </r>
  <r>
    <n v="697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98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  <m/>
  </r>
  <r>
    <n v="699"/>
    <m/>
    <m/>
    <s v="기업교육2팀"/>
    <s v="안혜연"/>
    <s v="기업교육2팀"/>
    <s v="송준호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s v="송준호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s v="송준호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  <m/>
  </r>
  <r>
    <n v="703"/>
    <m/>
    <m/>
    <s v="기업교육2팀"/>
    <s v="안혜연"/>
    <s v="기업교육2팀"/>
    <s v="송준호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  <m/>
  </r>
  <r>
    <n v="704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s v="이관"/>
    <m/>
    <m/>
    <s v="기업교육1팀"/>
    <s v="이태원"/>
    <s v="FS2팀"/>
    <s v="최상근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x v="0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</r>
  <r>
    <n v="2"/>
    <m/>
    <m/>
    <s v="기업교육2팀"/>
    <s v="서동윤"/>
    <s v="기업교육2팀"/>
    <x v="0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x v="0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4"/>
    <m/>
    <m/>
    <s v="기업교육2팀"/>
    <s v="서동윤"/>
    <s v="기업교육2팀"/>
    <x v="0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</r>
  <r>
    <n v="5"/>
    <m/>
    <m/>
    <s v="기업교육2팀"/>
    <s v="서동윤"/>
    <s v="기업교육2팀"/>
    <x v="0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</r>
  <r>
    <n v="6"/>
    <m/>
    <m/>
    <s v="기업교육2팀"/>
    <s v="서동윤"/>
    <s v="기업교육2팀"/>
    <x v="0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x v="0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</r>
  <r>
    <n v="8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9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0"/>
    <m/>
    <m/>
    <s v="기업교육2팀"/>
    <s v="서동윤"/>
    <s v="기업교육2팀"/>
    <x v="0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</r>
  <r>
    <n v="11"/>
    <m/>
    <m/>
    <s v="기업교육2팀"/>
    <s v="서동윤"/>
    <s v="기업교육2팀"/>
    <x v="0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</r>
  <r>
    <n v="12"/>
    <m/>
    <m/>
    <s v="기업교육2팀"/>
    <s v="서동윤"/>
    <s v="기업교육2팀"/>
    <x v="0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"/>
    <m/>
    <m/>
    <s v="기업교육2팀"/>
    <s v="서동윤"/>
    <s v="기업교육2팀"/>
    <x v="0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14"/>
    <m/>
    <m/>
    <s v="기업교육2팀"/>
    <s v="서동윤"/>
    <s v="기업교육2팀"/>
    <x v="0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5"/>
    <m/>
    <m/>
    <s v="기업교육2팀"/>
    <s v="서동윤"/>
    <s v="기업교육2팀"/>
    <x v="0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</r>
  <r>
    <n v="16"/>
    <m/>
    <m/>
    <s v="기업교육2팀"/>
    <s v="서동윤"/>
    <s v="기업교육2팀"/>
    <x v="0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7"/>
    <m/>
    <m/>
    <s v="기업교육2팀"/>
    <s v="서동윤"/>
    <s v="기업교육2팀"/>
    <x v="0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18"/>
    <m/>
    <m/>
    <s v="기업교육2팀"/>
    <s v="서동윤"/>
    <s v="기업교육2팀"/>
    <x v="0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</r>
  <r>
    <n v="19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</r>
  <r>
    <n v="20"/>
    <m/>
    <m/>
    <s v="기업교육2팀"/>
    <s v="서동윤"/>
    <s v="기업교육2팀"/>
    <x v="0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1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22"/>
    <m/>
    <m/>
    <s v="기업교육2팀"/>
    <s v="서동윤"/>
    <s v="기업교육2팀"/>
    <x v="0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23"/>
    <m/>
    <m/>
    <s v="기업교육2팀"/>
    <s v="서동윤"/>
    <s v="기업교육2팀"/>
    <x v="0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</r>
  <r>
    <n v="24"/>
    <m/>
    <m/>
    <s v="기업교육2팀"/>
    <s v="서동윤"/>
    <s v="기업교육2팀"/>
    <x v="0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</r>
  <r>
    <n v="25"/>
    <m/>
    <m/>
    <m/>
    <m/>
    <s v="기업교육2팀"/>
    <x v="0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</r>
  <r>
    <n v="26"/>
    <m/>
    <m/>
    <s v="기업교육2팀"/>
    <s v="서동윤"/>
    <s v="기업교육2팀"/>
    <x v="0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</r>
  <r>
    <n v="27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</r>
  <r>
    <n v="28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</r>
  <r>
    <n v="29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0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x v="0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32"/>
    <m/>
    <m/>
    <s v="기업교육2팀"/>
    <s v="서동윤"/>
    <s v="기업교육2팀"/>
    <x v="0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33"/>
    <m/>
    <m/>
    <m/>
    <m/>
    <s v="기업교육2팀"/>
    <x v="0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</r>
  <r>
    <n v="35"/>
    <m/>
    <m/>
    <s v="기업교육2팀"/>
    <s v="장윤오"/>
    <s v="기업교육2팀"/>
    <x v="0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</r>
  <r>
    <n v="37"/>
    <m/>
    <m/>
    <m/>
    <m/>
    <s v="기업교육2팀"/>
    <x v="0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</r>
  <r>
    <n v="39"/>
    <m/>
    <m/>
    <s v="기업교육2팀"/>
    <s v="장윤오"/>
    <s v="기업교육2팀"/>
    <x v="0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x v="0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</r>
  <r>
    <n v="41"/>
    <m/>
    <m/>
    <s v="기업교육2팀"/>
    <s v="서동윤"/>
    <s v="기업교육2팀"/>
    <x v="0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42"/>
    <m/>
    <m/>
    <s v="기업교육2팀"/>
    <s v="서동윤"/>
    <s v="기업교육2팀"/>
    <x v="0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x v="0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x v="0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x v="0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x v="0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</r>
  <r>
    <n v="47"/>
    <m/>
    <m/>
    <s v="기업교육2팀"/>
    <s v="서동윤"/>
    <s v="기업교육2팀"/>
    <x v="0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</r>
  <r>
    <n v="49"/>
    <m/>
    <m/>
    <s v="기업교육2팀"/>
    <s v="서동윤"/>
    <s v="기업교육2팀"/>
    <x v="0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x v="0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</r>
  <r>
    <n v="52"/>
    <m/>
    <m/>
    <s v="기업교육2팀"/>
    <s v="서동윤"/>
    <s v="기업교육2팀"/>
    <x v="0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3"/>
    <m/>
    <m/>
    <s v="기업교육2팀"/>
    <s v="서동윤"/>
    <s v="기업교육2팀"/>
    <x v="0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x v="0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</r>
  <r>
    <n v="55"/>
    <m/>
    <m/>
    <s v="기업교육2팀"/>
    <s v="서동윤"/>
    <s v="기업교육2팀"/>
    <x v="0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"/>
    <m/>
    <m/>
    <s v="기업교육2팀"/>
    <s v="서동윤"/>
    <s v="기업교육2팀"/>
    <x v="0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7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</r>
  <r>
    <n v="58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9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60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1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</r>
  <r>
    <n v="63"/>
    <m/>
    <m/>
    <s v="기업교육3팀"/>
    <s v="박민우"/>
    <s v="기업교육2팀"/>
    <x v="1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</r>
  <r>
    <n v="64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</r>
  <r>
    <n v="65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</r>
  <r>
    <n v="67"/>
    <m/>
    <m/>
    <m/>
    <m/>
    <s v="기업교육2팀"/>
    <x v="1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</r>
  <r>
    <n v="69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</r>
  <r>
    <n v="70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</r>
  <r>
    <n v="71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</r>
  <r>
    <n v="72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</r>
  <r>
    <n v="73"/>
    <m/>
    <m/>
    <s v="기업교육2팀"/>
    <s v="장윤오"/>
    <s v="기업교육2팀"/>
    <x v="1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x v="1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76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7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8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79"/>
    <m/>
    <m/>
    <s v="기업교육3팀"/>
    <s v="박민우"/>
    <s v="기업교육2팀"/>
    <x v="1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80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81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</r>
  <r>
    <n v="83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</r>
  <r>
    <n v="84"/>
    <m/>
    <m/>
    <s v="기업교육3팀"/>
    <s v="박민우"/>
    <s v="기업교육2팀"/>
    <x v="1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85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</r>
  <r>
    <n v="86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x v="1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88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</r>
  <r>
    <n v="89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</r>
  <r>
    <n v="90"/>
    <m/>
    <m/>
    <s v="기업교육2팀"/>
    <s v="김나리"/>
    <s v="기업교육2팀"/>
    <x v="1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x v="1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</r>
  <r>
    <n v="92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</r>
  <r>
    <n v="93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</r>
  <r>
    <n v="94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95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96"/>
    <m/>
    <m/>
    <s v="기업교육3팀"/>
    <s v="박민우"/>
    <s v="기업교육2팀"/>
    <x v="1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</r>
  <r>
    <n v="97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8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</r>
  <r>
    <n v="99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</r>
  <r>
    <n v="100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1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</r>
  <r>
    <n v="102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</r>
  <r>
    <n v="103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</r>
  <r>
    <n v="105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</r>
  <r>
    <n v="106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7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8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</r>
  <r>
    <n v="109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x v="1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</r>
  <r>
    <n v="111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x v="1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</r>
  <r>
    <n v="113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</r>
  <r>
    <n v="114"/>
    <m/>
    <m/>
    <s v="기업교육2팀"/>
    <s v="황재연"/>
    <s v="기업교육2팀"/>
    <x v="1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x v="1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</r>
  <r>
    <n v="116"/>
    <m/>
    <m/>
    <s v="기업교육3팀"/>
    <s v="박민우"/>
    <s v="기업교육2팀"/>
    <x v="1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</r>
  <r>
    <n v="117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19"/>
    <m/>
    <m/>
    <m/>
    <m/>
    <s v="기업교육2팀"/>
    <x v="1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</r>
  <r>
    <n v="120"/>
    <m/>
    <m/>
    <s v="기업교육3팀"/>
    <s v="박민우"/>
    <s v="기업교육2팀"/>
    <x v="1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</r>
  <r>
    <n v="121"/>
    <m/>
    <m/>
    <s v="기업교육3팀"/>
    <s v="박민우"/>
    <s v="기업교육2팀"/>
    <x v="1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x v="1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</r>
  <r>
    <n v="123"/>
    <m/>
    <m/>
    <s v="기업교육3팀"/>
    <s v="박민우"/>
    <s v="기업교육2팀"/>
    <x v="1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</r>
  <r>
    <n v="124"/>
    <m/>
    <m/>
    <s v="기업교육2팀"/>
    <s v="황재연"/>
    <s v="기업교육2팀"/>
    <x v="1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5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6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7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</r>
  <r>
    <n v="128"/>
    <m/>
    <m/>
    <s v="기업교육3팀"/>
    <s v="박민우"/>
    <s v="기업교육2팀"/>
    <x v="1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0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1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</r>
  <r>
    <n v="132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</r>
  <r>
    <n v="135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36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</r>
  <r>
    <n v="137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</r>
  <r>
    <n v="140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141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142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3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4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47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</r>
  <r>
    <n v="148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</r>
  <r>
    <n v="149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0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x v="1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</r>
  <r>
    <n v="152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53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4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5"/>
    <m/>
    <m/>
    <s v="기업교육3팀"/>
    <s v="박민우"/>
    <s v="기업교육2팀"/>
    <x v="1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</r>
  <r>
    <n v="156"/>
    <m/>
    <m/>
    <s v="기업교육2팀"/>
    <s v="안혜연"/>
    <s v="기업교육2팀"/>
    <x v="2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57"/>
    <m/>
    <m/>
    <s v="기업교육2팀"/>
    <s v="안혜연"/>
    <s v="기업교육2팀"/>
    <x v="2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</r>
  <r>
    <n v="160"/>
    <m/>
    <m/>
    <s v="기업교육2팀"/>
    <s v="고예서"/>
    <s v="기업교육2팀"/>
    <x v="2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x v="2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162"/>
    <m/>
    <m/>
    <s v="기업교육2팀"/>
    <s v="고예서"/>
    <s v="기업교육2팀"/>
    <x v="2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</r>
  <r>
    <n v="163"/>
    <m/>
    <m/>
    <s v="기업교육2팀"/>
    <s v="김나리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</r>
  <r>
    <n v="164"/>
    <m/>
    <m/>
    <s v="기업교육2팀"/>
    <s v="안혜연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</r>
  <r>
    <n v="166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x v="2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x v="2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169"/>
    <m/>
    <m/>
    <s v="기업교육2팀"/>
    <s v="안혜연"/>
    <s v="기업교육2팀"/>
    <x v="2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x v="2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x v="2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72"/>
    <m/>
    <m/>
    <m/>
    <m/>
    <s v="기업교육2팀"/>
    <x v="2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</r>
  <r>
    <n v="173"/>
    <m/>
    <m/>
    <m/>
    <m/>
    <s v="기업교육2팀"/>
    <x v="2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x v="2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x v="2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x v="2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177"/>
    <m/>
    <m/>
    <s v="기업교육2팀"/>
    <s v="안혜연"/>
    <s v="기업교육2팀"/>
    <x v="2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178"/>
    <m/>
    <m/>
    <s v="기업교육2팀"/>
    <s v="안혜연"/>
    <s v="기업교육2팀"/>
    <x v="2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179"/>
    <m/>
    <m/>
    <s v="기업교육2팀"/>
    <s v="안혜연"/>
    <s v="기업교육2팀"/>
    <x v="2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x v="2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x v="2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82"/>
    <m/>
    <m/>
    <s v="기업교육2팀"/>
    <s v="김나리"/>
    <s v="기업교육2팀"/>
    <x v="2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x v="2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</r>
  <r>
    <n v="184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</r>
  <r>
    <n v="185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</r>
  <r>
    <n v="186"/>
    <m/>
    <m/>
    <s v="기업교육2팀"/>
    <s v="장윤오"/>
    <s v="기업교육2팀"/>
    <x v="2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x v="2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89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</r>
  <r>
    <n v="190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91"/>
    <m/>
    <m/>
    <s v="기업교육2팀"/>
    <s v="안혜연"/>
    <s v="기업교육2팀"/>
    <x v="2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x v="2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93"/>
    <m/>
    <m/>
    <s v="기업교육2팀"/>
    <s v="김나리"/>
    <s v="기업교육2팀"/>
    <x v="2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194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</r>
  <r>
    <n v="195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196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</r>
  <r>
    <n v="197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</r>
  <r>
    <n v="198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</r>
  <r>
    <n v="199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x v="2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</r>
  <r>
    <n v="203"/>
    <m/>
    <m/>
    <s v="기업교육2팀"/>
    <s v="김나리"/>
    <s v="기업교육2팀"/>
    <x v="2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</r>
  <r>
    <n v="204"/>
    <m/>
    <m/>
    <s v="기업교육2팀"/>
    <s v="김나리"/>
    <s v="기업교육2팀"/>
    <x v="2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05"/>
    <m/>
    <m/>
    <s v="기업교육2팀"/>
    <s v="김나리"/>
    <s v="기업교육2팀"/>
    <x v="2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x v="2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07"/>
    <m/>
    <m/>
    <s v="기업교육2팀"/>
    <s v="김나리"/>
    <s v="기업교육2팀"/>
    <x v="2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</r>
  <r>
    <n v="208"/>
    <m/>
    <m/>
    <s v="기업교육2팀"/>
    <s v="김나리"/>
    <s v="기업교육2팀"/>
    <x v="2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x v="2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</r>
  <r>
    <n v="210"/>
    <m/>
    <m/>
    <s v="기업교육2팀"/>
    <s v="김나리"/>
    <s v="기업교육2팀"/>
    <x v="2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211"/>
    <m/>
    <m/>
    <s v="기업교육4팀"/>
    <s v="김성경"/>
    <s v="기업교육2팀"/>
    <x v="2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12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</r>
  <r>
    <n v="213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214"/>
    <m/>
    <m/>
    <s v="기업교육2팀"/>
    <s v="안혜연"/>
    <s v="기업교육2팀"/>
    <x v="2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</r>
  <r>
    <n v="217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</r>
  <r>
    <n v="219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x v="2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x v="2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x v="2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23"/>
    <m/>
    <m/>
    <s v="기업교육2팀"/>
    <s v="장윤오"/>
    <s v="기업교육2팀"/>
    <x v="2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x v="2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x v="2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x v="2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27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</r>
  <r>
    <n v="228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29"/>
    <m/>
    <m/>
    <m/>
    <m/>
    <s v="기업교육2팀"/>
    <x v="2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x v="2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231"/>
    <m/>
    <m/>
    <s v="기업교육2팀"/>
    <s v="안혜연"/>
    <s v="기업교육2팀"/>
    <x v="2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x v="2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</r>
  <r>
    <n v="233"/>
    <m/>
    <m/>
    <s v="기업교육2팀"/>
    <s v="고예서"/>
    <s v="기업교육2팀"/>
    <x v="2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x v="2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x v="2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</r>
  <r>
    <n v="236"/>
    <m/>
    <m/>
    <s v="기업교육2팀"/>
    <s v="고예서"/>
    <s v="기업교육2팀"/>
    <x v="2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</r>
  <r>
    <n v="237"/>
    <m/>
    <m/>
    <s v="기업교육2팀"/>
    <s v="고예서"/>
    <s v="기업교육2팀"/>
    <x v="2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38"/>
    <m/>
    <m/>
    <s v="기업교육2팀"/>
    <s v="고예서"/>
    <s v="기업교육2팀"/>
    <x v="2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</r>
  <r>
    <n v="239"/>
    <m/>
    <m/>
    <s v="기업교육2팀"/>
    <s v="고예서"/>
    <s v="기업교육2팀"/>
    <x v="2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x v="2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</r>
  <r>
    <n v="241"/>
    <m/>
    <m/>
    <s v="기업교육2팀"/>
    <s v="고예서"/>
    <s v="기업교육2팀"/>
    <x v="2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</r>
  <r>
    <n v="242"/>
    <m/>
    <m/>
    <s v="기업교육2팀"/>
    <s v="고예서"/>
    <s v="기업교육2팀"/>
    <x v="2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x v="2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</r>
  <r>
    <n v="244"/>
    <m/>
    <m/>
    <s v="기업교육2팀"/>
    <s v="안혜연"/>
    <s v="기업교육2팀"/>
    <x v="2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</r>
  <r>
    <n v="245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</r>
  <r>
    <n v="247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49"/>
    <m/>
    <m/>
    <s v="기업교육2팀"/>
    <s v="장윤오"/>
    <s v="기업교육2팀"/>
    <x v="2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250"/>
    <m/>
    <m/>
    <s v="기업교육2팀"/>
    <s v="장윤오"/>
    <s v="기업교육2팀"/>
    <x v="2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251"/>
    <m/>
    <m/>
    <s v="기업교육2팀"/>
    <s v="장윤오"/>
    <s v="기업교육2팀"/>
    <x v="2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52"/>
    <m/>
    <m/>
    <s v="기업교육2팀"/>
    <s v="장윤오"/>
    <s v="기업교육2팀"/>
    <x v="2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x v="2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x v="2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255"/>
    <m/>
    <m/>
    <s v="기업교육2팀"/>
    <s v="안혜연"/>
    <s v="기업교육2팀"/>
    <x v="2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</r>
  <r>
    <n v="256"/>
    <m/>
    <m/>
    <s v="기업교육2팀"/>
    <s v="안혜연"/>
    <s v="기업교육2팀"/>
    <x v="2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</r>
  <r>
    <n v="257"/>
    <m/>
    <m/>
    <s v="기업교육2팀"/>
    <s v="안혜연"/>
    <s v="기업교육2팀"/>
    <x v="2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x v="2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59"/>
    <m/>
    <m/>
    <s v="기업교육2팀"/>
    <s v="김나리"/>
    <s v="기업교육2팀"/>
    <x v="2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</r>
  <r>
    <n v="260"/>
    <m/>
    <m/>
    <s v="기업교육2팀"/>
    <s v="김나리"/>
    <s v="기업교육2팀"/>
    <x v="2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1"/>
    <m/>
    <m/>
    <s v="기업교육2팀"/>
    <s v="김나리"/>
    <s v="기업교육2팀"/>
    <x v="2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</r>
  <r>
    <n v="262"/>
    <m/>
    <m/>
    <s v="기업교육2팀"/>
    <s v="김나리"/>
    <s v="기업교육2팀"/>
    <x v="2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</r>
  <r>
    <n v="263"/>
    <m/>
    <m/>
    <s v="기업교육2팀"/>
    <s v="김나리"/>
    <s v="기업교육2팀"/>
    <x v="2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</r>
  <r>
    <n v="265"/>
    <m/>
    <m/>
    <s v="기업교육2팀"/>
    <s v="김나리"/>
    <s v="기업교육2팀"/>
    <x v="2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</r>
  <r>
    <n v="266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</r>
  <r>
    <n v="267"/>
    <m/>
    <m/>
    <s v="기업교육2팀"/>
    <s v="김나리"/>
    <s v="기업교육2팀"/>
    <x v="2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</r>
  <r>
    <n v="269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x v="2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x v="2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75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x v="2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x v="2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x v="2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x v="2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x v="2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x v="2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</r>
  <r>
    <n v="282"/>
    <m/>
    <m/>
    <s v="기업교육2팀"/>
    <s v="안혜연"/>
    <s v="기업교육2팀"/>
    <x v="2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</r>
  <r>
    <n v="283"/>
    <m/>
    <m/>
    <s v="기업교육2팀"/>
    <s v="안혜연"/>
    <s v="기업교육2팀"/>
    <x v="2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x v="3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</r>
  <r>
    <n v="286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</r>
  <r>
    <n v="287"/>
    <m/>
    <m/>
    <s v="기업교육2팀"/>
    <s v="이종혁"/>
    <s v="기업교육2팀"/>
    <x v="3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x v="3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</r>
  <r>
    <n v="289"/>
    <m/>
    <m/>
    <s v="기업교육2팀"/>
    <s v="이종혁"/>
    <s v="기업교육2팀"/>
    <x v="3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x v="3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x v="3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2"/>
    <m/>
    <m/>
    <s v="기업교육2팀"/>
    <s v="이종혁"/>
    <s v="기업교육2팀"/>
    <x v="3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x v="3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x v="3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95"/>
    <m/>
    <m/>
    <s v="기업교육2팀"/>
    <s v="황재연"/>
    <s v="기업교육2팀"/>
    <x v="3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96"/>
    <m/>
    <m/>
    <s v="기업교육2팀"/>
    <s v="장윤오"/>
    <s v="기업교육2팀"/>
    <x v="3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97"/>
    <m/>
    <m/>
    <s v="기업교육2팀"/>
    <s v="장윤오"/>
    <s v="기업교육2팀"/>
    <x v="3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x v="3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9"/>
    <m/>
    <m/>
    <s v="기업교육2팀"/>
    <s v="이종혁"/>
    <s v="기업교육2팀"/>
    <x v="3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x v="3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</r>
  <r>
    <n v="301"/>
    <m/>
    <m/>
    <s v="기업교육2팀"/>
    <s v="이종혁"/>
    <s v="기업교육2팀"/>
    <x v="3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303"/>
    <m/>
    <m/>
    <s v="기업교육2팀"/>
    <s v="이종혁"/>
    <s v="기업교육2팀"/>
    <x v="3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</r>
  <r>
    <n v="304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x v="3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x v="3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x v="3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</r>
  <r>
    <n v="308"/>
    <m/>
    <m/>
    <s v="기업교육2팀"/>
    <s v="이종혁"/>
    <s v="기업교육2팀"/>
    <x v="3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309"/>
    <m/>
    <m/>
    <s v="기업교육2팀"/>
    <s v="이종혁"/>
    <s v="기업교육2팀"/>
    <x v="3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0"/>
    <m/>
    <m/>
    <s v="기업교육2팀"/>
    <s v="이종혁"/>
    <s v="기업교육2팀"/>
    <x v="3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</r>
  <r>
    <n v="311"/>
    <m/>
    <m/>
    <s v="기업교육2팀"/>
    <s v="장윤오"/>
    <s v="기업교육2팀"/>
    <x v="3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312"/>
    <m/>
    <m/>
    <s v="기업교육2팀"/>
    <s v="장윤오"/>
    <s v="기업교육2팀"/>
    <x v="3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3"/>
    <m/>
    <m/>
    <s v="기업교육2팀"/>
    <s v="서동윤"/>
    <s v="기업교육2팀"/>
    <x v="3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14"/>
    <m/>
    <m/>
    <s v="기업교육2팀"/>
    <s v="황재연"/>
    <s v="기업교육2팀"/>
    <x v="3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15"/>
    <m/>
    <m/>
    <m/>
    <m/>
    <s v="기업교육2팀"/>
    <x v="3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x v="3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7"/>
    <m/>
    <m/>
    <s v="기업교육2팀"/>
    <s v="이종혁"/>
    <s v="기업교육2팀"/>
    <x v="3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</r>
  <r>
    <n v="318"/>
    <m/>
    <m/>
    <s v="기업교육2팀"/>
    <s v="이종혁"/>
    <s v="기업교육2팀"/>
    <x v="3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x v="3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320"/>
    <m/>
    <m/>
    <s v="기업교육2팀"/>
    <s v="이종혁"/>
    <s v="기업교육2팀"/>
    <x v="3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21"/>
    <m/>
    <m/>
    <s v="기업교육2팀"/>
    <s v="장윤오"/>
    <s v="기업교육2팀"/>
    <x v="3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</r>
  <r>
    <n v="322"/>
    <m/>
    <m/>
    <s v="기업교육2팀"/>
    <s v="장윤오"/>
    <s v="기업교육2팀"/>
    <x v="3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x v="3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</r>
  <r>
    <n v="324"/>
    <m/>
    <m/>
    <s v="기업교육2팀"/>
    <s v="이종혁"/>
    <s v="기업교육2팀"/>
    <x v="3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</r>
  <r>
    <n v="325"/>
    <m/>
    <m/>
    <s v="기업교육2팀"/>
    <s v="이종혁"/>
    <s v="기업교육2팀"/>
    <x v="3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</r>
  <r>
    <n v="326"/>
    <m/>
    <m/>
    <s v="기업교육2팀"/>
    <s v="이종혁"/>
    <s v="기업교육2팀"/>
    <x v="3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x v="3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x v="3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x v="3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30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</r>
  <r>
    <n v="331"/>
    <m/>
    <m/>
    <s v="기업교육2팀"/>
    <s v="고예서"/>
    <s v="기업교육2팀"/>
    <x v="3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x v="3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x v="3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5"/>
    <m/>
    <m/>
    <s v="기업교육3팀"/>
    <s v="최영기"/>
    <s v="기업교육2팀"/>
    <x v="3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6"/>
    <m/>
    <m/>
    <s v="기업교육2팀"/>
    <s v="이종혁"/>
    <s v="기업교육2팀"/>
    <x v="3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37"/>
    <m/>
    <m/>
    <s v="기업교육2팀"/>
    <s v="고예서"/>
    <s v="기업교육2팀"/>
    <x v="3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x v="3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39"/>
    <m/>
    <m/>
    <s v="기업교육2팀"/>
    <s v="장윤오"/>
    <s v="기업교육2팀"/>
    <x v="3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</r>
  <r>
    <n v="340"/>
    <m/>
    <m/>
    <s v="기업교육2팀"/>
    <s v="이종혁"/>
    <s v="기업교육2팀"/>
    <x v="3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1"/>
    <m/>
    <m/>
    <s v="기업교육2팀"/>
    <s v="이종혁"/>
    <s v="기업교육2팀"/>
    <x v="3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</r>
  <r>
    <n v="342"/>
    <m/>
    <m/>
    <s v="기업교육2팀"/>
    <s v="이종혁"/>
    <s v="기업교육2팀"/>
    <x v="3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343"/>
    <m/>
    <m/>
    <s v="기업교육2팀"/>
    <s v="이종혁"/>
    <s v="기업교육2팀"/>
    <x v="3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</r>
  <r>
    <n v="344"/>
    <m/>
    <m/>
    <m/>
    <m/>
    <s v="기업교육2팀"/>
    <x v="3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x v="3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</r>
  <r>
    <n v="346"/>
    <m/>
    <m/>
    <m/>
    <m/>
    <s v="기업교육2팀"/>
    <x v="3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x v="3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</r>
  <r>
    <n v="348"/>
    <m/>
    <m/>
    <s v="기업교육2팀"/>
    <s v="이종혁"/>
    <s v="기업교육2팀"/>
    <x v="3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</r>
  <r>
    <n v="349"/>
    <m/>
    <m/>
    <s v="기업교육2팀"/>
    <s v="이종혁"/>
    <s v="기업교육2팀"/>
    <x v="3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x v="3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</r>
  <r>
    <n v="351"/>
    <m/>
    <m/>
    <s v="기업교육2팀"/>
    <s v="장윤오"/>
    <s v="기업교육2팀"/>
    <x v="3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</r>
  <r>
    <n v="352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</r>
  <r>
    <n v="353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</r>
  <r>
    <n v="354"/>
    <m/>
    <m/>
    <s v="기업교육2팀"/>
    <s v="이종혁"/>
    <s v="기업교육2팀"/>
    <x v="3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</r>
  <r>
    <n v="355"/>
    <m/>
    <m/>
    <s v="기업교육2팀"/>
    <s v="고예서"/>
    <s v="기업교육2팀"/>
    <x v="3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56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</r>
  <r>
    <n v="357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</r>
  <r>
    <n v="358"/>
    <m/>
    <m/>
    <s v="기업교육2팀"/>
    <s v="고예서"/>
    <s v="기업교육2팀"/>
    <x v="3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x v="3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</r>
  <r>
    <n v="360"/>
    <m/>
    <m/>
    <s v="기업교육2팀"/>
    <s v="이종혁"/>
    <s v="기업교육2팀"/>
    <x v="3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</r>
  <r>
    <n v="361"/>
    <m/>
    <m/>
    <s v="기업교육2팀"/>
    <s v="이종혁"/>
    <s v="기업교육2팀"/>
    <x v="3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x v="3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63"/>
    <m/>
    <m/>
    <s v="기업교육2팀"/>
    <s v="이종혁"/>
    <s v="기업교육2팀"/>
    <x v="3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4"/>
    <m/>
    <m/>
    <s v="기업교육2팀"/>
    <s v="이종혁"/>
    <s v="기업교육2팀"/>
    <x v="3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</r>
  <r>
    <n v="365"/>
    <m/>
    <m/>
    <s v="기업교육2팀"/>
    <s v="이종혁"/>
    <s v="기업교육2팀"/>
    <x v="3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</r>
  <r>
    <n v="366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</r>
  <r>
    <n v="367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8"/>
    <m/>
    <m/>
    <s v="기업교육2팀"/>
    <s v="황재연"/>
    <s v="기업교육2팀"/>
    <x v="3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369"/>
    <m/>
    <m/>
    <s v="기업교육2팀"/>
    <s v="이종혁"/>
    <s v="기업교육2팀"/>
    <x v="3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</r>
  <r>
    <n v="370"/>
    <m/>
    <m/>
    <s v="기업교육2팀"/>
    <s v="이종혁"/>
    <s v="기업교육2팀"/>
    <x v="3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</r>
  <r>
    <n v="371"/>
    <m/>
    <m/>
    <m/>
    <m/>
    <s v="기업교육2팀"/>
    <x v="3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x v="3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x v="3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x v="3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</r>
  <r>
    <n v="375"/>
    <m/>
    <m/>
    <s v="기업교육3팀"/>
    <s v="박민우"/>
    <s v="기업교육2팀"/>
    <x v="3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x v="3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</r>
  <r>
    <n v="377"/>
    <m/>
    <m/>
    <s v="기업교육2팀"/>
    <s v="이종혁"/>
    <s v="기업교육2팀"/>
    <x v="3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</r>
  <r>
    <n v="378"/>
    <m/>
    <m/>
    <s v="기업교육2팀"/>
    <s v="이종혁"/>
    <s v="기업교육2팀"/>
    <x v="3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</r>
  <r>
    <n v="379"/>
    <m/>
    <m/>
    <s v="기업교육2팀"/>
    <s v="장윤오"/>
    <s v="기업교육2팀"/>
    <x v="3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</r>
  <r>
    <n v="380"/>
    <m/>
    <m/>
    <s v="기업교육2팀"/>
    <s v="황재연"/>
    <s v="기업교육2팀"/>
    <x v="3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381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</r>
  <r>
    <n v="382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x v="4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x v="4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x v="4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388"/>
    <m/>
    <m/>
    <s v="기업교육2팀"/>
    <s v="김나리"/>
    <s v="기업교육2팀"/>
    <x v="4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</r>
  <r>
    <n v="389"/>
    <m/>
    <m/>
    <s v="기업교육2팀"/>
    <s v="김나리"/>
    <s v="기업교육2팀"/>
    <x v="4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</r>
  <r>
    <n v="390"/>
    <m/>
    <m/>
    <s v="기업교육2팀"/>
    <s v="김나리"/>
    <s v="기업교육2팀"/>
    <x v="4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91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</r>
  <r>
    <n v="392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</r>
  <r>
    <n v="393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</r>
  <r>
    <n v="394"/>
    <m/>
    <m/>
    <s v="기업교육2팀"/>
    <s v="박혜원"/>
    <s v="기업교육2팀"/>
    <x v="4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</r>
  <r>
    <n v="395"/>
    <m/>
    <m/>
    <s v="기업교육2팀"/>
    <s v="박혜원"/>
    <s v="기업교육2팀"/>
    <x v="4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x v="4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</r>
  <r>
    <n v="397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x v="4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x v="4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</r>
  <r>
    <n v="401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402"/>
    <m/>
    <m/>
    <s v="기업교육2팀"/>
    <s v="김나리"/>
    <s v="기업교육2팀"/>
    <x v="4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</r>
  <r>
    <n v="403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</r>
  <r>
    <n v="404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06"/>
    <m/>
    <m/>
    <s v="기업교육2팀"/>
    <s v="박혜원"/>
    <s v="기업교육2팀"/>
    <x v="4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</r>
  <r>
    <n v="407"/>
    <m/>
    <m/>
    <s v="기업교육2팀"/>
    <s v="박혜원"/>
    <s v="기업교육2팀"/>
    <x v="4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x v="4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09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x v="4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11"/>
    <m/>
    <m/>
    <s v="기업교육2팀"/>
    <s v="박혜원"/>
    <s v="기업교육2팀"/>
    <x v="4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2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</r>
  <r>
    <n v="413"/>
    <m/>
    <m/>
    <s v="기업교육2팀"/>
    <s v="박혜원"/>
    <s v="기업교육2팀"/>
    <x v="4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414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5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</r>
  <r>
    <n v="416"/>
    <m/>
    <m/>
    <s v="기업교육2팀"/>
    <s v="박혜원"/>
    <s v="기업교육2팀"/>
    <x v="4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</r>
  <r>
    <n v="418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</r>
  <r>
    <n v="419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</r>
  <r>
    <n v="420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</r>
  <r>
    <n v="421"/>
    <m/>
    <m/>
    <m/>
    <m/>
    <s v="기업교육2팀"/>
    <x v="4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x v="4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x v="4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24"/>
    <m/>
    <m/>
    <s v="기업교육2팀"/>
    <s v="박혜원"/>
    <s v="기업교육2팀"/>
    <x v="4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425"/>
    <m/>
    <m/>
    <s v="기업교육2팀"/>
    <s v="박혜원"/>
    <s v="기업교육2팀"/>
    <x v="4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</r>
  <r>
    <n v="426"/>
    <m/>
    <m/>
    <s v="기업교육2팀"/>
    <s v="박혜원"/>
    <s v="기업교육2팀"/>
    <x v="4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</r>
  <r>
    <n v="427"/>
    <m/>
    <m/>
    <m/>
    <m/>
    <s v="기업교육2팀"/>
    <x v="4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</r>
  <r>
    <n v="428"/>
    <m/>
    <m/>
    <s v="기업교육2팀"/>
    <s v="박혜원"/>
    <s v="기업교육2팀"/>
    <x v="4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x v="4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x v="4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431"/>
    <m/>
    <m/>
    <s v="기업교육2팀"/>
    <s v="황재연"/>
    <s v="기업교육2팀"/>
    <x v="4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</r>
  <r>
    <n v="432"/>
    <m/>
    <m/>
    <s v="기업교육2팀"/>
    <s v="박혜원"/>
    <s v="기업교육2팀"/>
    <x v="4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433"/>
    <m/>
    <m/>
    <s v="기업교육2팀"/>
    <s v="박혜원"/>
    <s v="기업교육2팀"/>
    <x v="4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x v="4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</r>
  <r>
    <n v="435"/>
    <m/>
    <m/>
    <s v="기업교육2팀"/>
    <s v="고예서"/>
    <s v="기업교육2팀"/>
    <x v="4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x v="4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</r>
  <r>
    <n v="437"/>
    <m/>
    <m/>
    <s v="기업교육2팀"/>
    <s v="박혜원"/>
    <s v="기업교육2팀"/>
    <x v="4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438"/>
    <m/>
    <m/>
    <s v="기업교육2팀"/>
    <s v="박혜원"/>
    <s v="기업교육2팀"/>
    <x v="4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</r>
  <r>
    <n v="439"/>
    <m/>
    <m/>
    <s v="기업교육2팀"/>
    <s v="박혜원"/>
    <s v="기업교육2팀"/>
    <x v="4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x v="4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41"/>
    <m/>
    <m/>
    <s v="기업교육2팀"/>
    <s v="박혜원"/>
    <s v="기업교육2팀"/>
    <x v="4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</r>
  <r>
    <n v="442"/>
    <m/>
    <m/>
    <s v="기업교육2팀"/>
    <s v="박혜원"/>
    <s v="기업교육2팀"/>
    <x v="4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</r>
  <r>
    <n v="443"/>
    <m/>
    <m/>
    <s v="기업교육2팀"/>
    <s v="박혜원"/>
    <s v="기업교육2팀"/>
    <x v="4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x v="4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</r>
  <r>
    <n v="445"/>
    <m/>
    <m/>
    <s v="기업교육2팀"/>
    <s v="박혜원"/>
    <s v="기업교육2팀"/>
    <x v="4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x v="4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</r>
  <r>
    <n v="447"/>
    <m/>
    <m/>
    <s v="기업교육2팀"/>
    <s v="박혜원"/>
    <s v="기업교육2팀"/>
    <x v="4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</r>
  <r>
    <n v="448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</r>
  <r>
    <n v="449"/>
    <m/>
    <m/>
    <s v="기업교육2팀"/>
    <s v="박혜원"/>
    <s v="기업교육2팀"/>
    <x v="4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</r>
  <r>
    <n v="452"/>
    <m/>
    <m/>
    <s v="기업교육2팀"/>
    <s v="박혜원"/>
    <s v="기업교육2팀"/>
    <x v="4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</r>
  <r>
    <n v="453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x v="4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</r>
  <r>
    <n v="455"/>
    <m/>
    <m/>
    <s v="기업교육2팀"/>
    <s v="고예서"/>
    <s v="기업교육2팀"/>
    <x v="5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x v="5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</r>
  <r>
    <n v="459"/>
    <m/>
    <m/>
    <s v="기업교육2팀"/>
    <s v="고예서"/>
    <s v="기업교육2팀"/>
    <x v="5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x v="5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</r>
  <r>
    <n v="461"/>
    <m/>
    <m/>
    <s v="기업교육2팀"/>
    <s v="고예서"/>
    <s v="기업교육2팀"/>
    <x v="5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62"/>
    <m/>
    <m/>
    <s v="기업교육2팀"/>
    <s v="고예서"/>
    <s v="기업교육2팀"/>
    <x v="5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x v="5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464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x v="5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</r>
  <r>
    <n v="466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x v="5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</r>
  <r>
    <n v="469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</r>
  <r>
    <n v="470"/>
    <m/>
    <m/>
    <s v="기업교육2팀"/>
    <s v="장윤오"/>
    <s v="기업교육2팀"/>
    <x v="5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</r>
  <r>
    <n v="471"/>
    <m/>
    <m/>
    <s v="기업교육2팀"/>
    <s v="고예서"/>
    <s v="기업교육2팀"/>
    <x v="5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x v="5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</r>
  <r>
    <n v="475"/>
    <m/>
    <m/>
    <s v="기업교육2팀"/>
    <s v="고예서"/>
    <s v="기업교육2팀"/>
    <x v="5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x v="5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77"/>
    <m/>
    <m/>
    <s v="기업교육2팀"/>
    <s v="황재연"/>
    <s v="기업교육2팀"/>
    <x v="5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8"/>
    <m/>
    <m/>
    <s v="기업교육2팀"/>
    <s v="황재연"/>
    <s v="기업교육2팀"/>
    <x v="5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9"/>
    <m/>
    <m/>
    <s v="기업교육2팀"/>
    <s v="장윤오"/>
    <s v="기업교육2팀"/>
    <x v="5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</r>
  <r>
    <n v="480"/>
    <m/>
    <m/>
    <m/>
    <m/>
    <s v="기업교육2팀"/>
    <x v="5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x v="5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x v="5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</r>
  <r>
    <n v="483"/>
    <m/>
    <m/>
    <s v="기업교육2팀"/>
    <s v="장윤오"/>
    <s v="기업교육2팀"/>
    <x v="5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484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x v="5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87"/>
    <m/>
    <m/>
    <s v="기업교육2팀"/>
    <s v="고예서"/>
    <s v="기업교육2팀"/>
    <x v="5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</r>
  <r>
    <n v="489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</r>
  <r>
    <n v="490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</r>
  <r>
    <n v="491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</r>
  <r>
    <n v="492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493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94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495"/>
    <m/>
    <m/>
    <s v="기업교육2팀"/>
    <s v="김나리"/>
    <s v="기업교육2팀"/>
    <x v="5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496"/>
    <m/>
    <m/>
    <s v="기업교육2팀"/>
    <s v="김나리"/>
    <s v="기업교육2팀"/>
    <x v="5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</r>
  <r>
    <n v="497"/>
    <m/>
    <m/>
    <s v="기업교육2팀"/>
    <s v="김나리"/>
    <s v="기업교육2팀"/>
    <x v="5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x v="5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</r>
  <r>
    <n v="499"/>
    <m/>
    <m/>
    <s v="기업교육2팀"/>
    <s v="고예서"/>
    <s v="기업교육2팀"/>
    <x v="5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x v="5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x v="5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</r>
  <r>
    <n v="502"/>
    <m/>
    <m/>
    <s v="기업교육2팀"/>
    <s v="고예서"/>
    <s v="기업교육2팀"/>
    <x v="5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03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</r>
  <r>
    <n v="504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6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</r>
  <r>
    <n v="507"/>
    <m/>
    <m/>
    <s v="기업교육2팀"/>
    <s v="고예서"/>
    <s v="기업교육2팀"/>
    <x v="5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</r>
  <r>
    <n v="508"/>
    <m/>
    <m/>
    <s v="기업교육2팀"/>
    <s v="고예서"/>
    <s v="기업교육2팀"/>
    <x v="5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x v="5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x v="5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</r>
  <r>
    <n v="511"/>
    <m/>
    <m/>
    <s v="기업교육2팀"/>
    <s v="고예서"/>
    <s v="기업교육2팀"/>
    <x v="5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512"/>
    <m/>
    <m/>
    <s v="기업교육2팀"/>
    <s v="고예서"/>
    <s v="기업교육2팀"/>
    <x v="5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</r>
  <r>
    <n v="513"/>
    <m/>
    <m/>
    <m/>
    <m/>
    <s v="기업교육2팀"/>
    <x v="5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</r>
  <r>
    <n v="515"/>
    <m/>
    <m/>
    <s v="기업교육2팀"/>
    <s v="장윤오"/>
    <s v="기업교육2팀"/>
    <x v="5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17"/>
    <m/>
    <m/>
    <s v="기업교육2팀"/>
    <s v="장윤오"/>
    <s v="기업교육2팀"/>
    <x v="5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518"/>
    <m/>
    <m/>
    <m/>
    <m/>
    <s v="기업교육2팀"/>
    <x v="5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x v="5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</r>
  <r>
    <n v="521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22"/>
    <m/>
    <m/>
    <s v="기업교육2팀"/>
    <s v="장윤오"/>
    <s v="기업교육2팀"/>
    <x v="5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</r>
  <r>
    <n v="523"/>
    <m/>
    <m/>
    <m/>
    <m/>
    <s v="기업교육2팀"/>
    <x v="6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</r>
  <r>
    <n v="524"/>
    <m/>
    <m/>
    <s v="기업교육2팀"/>
    <s v="장윤오"/>
    <s v="기업교육2팀"/>
    <x v="6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</r>
  <r>
    <n v="525"/>
    <m/>
    <m/>
    <s v="기업교육2팀"/>
    <s v="장윤오"/>
    <s v="기업교육2팀"/>
    <x v="6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26"/>
    <m/>
    <m/>
    <s v="기업교육2팀"/>
    <s v="장윤오"/>
    <s v="기업교육2팀"/>
    <x v="6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2팀"/>
    <s v="장윤오"/>
    <s v="기업교육2팀"/>
    <x v="6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28"/>
    <m/>
    <m/>
    <s v="기업교육2팀"/>
    <s v="장윤오"/>
    <s v="기업교육2팀"/>
    <x v="6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</r>
  <r>
    <n v="529"/>
    <m/>
    <m/>
    <s v="기업교육2팀"/>
    <s v="장윤오"/>
    <s v="기업교육2팀"/>
    <x v="6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x v="6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x v="6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</r>
  <r>
    <n v="532"/>
    <m/>
    <m/>
    <m/>
    <m/>
    <s v="기업교육2팀"/>
    <x v="6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x v="6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</r>
  <r>
    <n v="534"/>
    <m/>
    <m/>
    <s v="기업교육2팀"/>
    <s v="장윤오"/>
    <s v="기업교육2팀"/>
    <x v="6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</r>
  <r>
    <n v="535"/>
    <m/>
    <m/>
    <s v="기업교육2팀"/>
    <s v="장윤오"/>
    <s v="기업교육2팀"/>
    <x v="6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x v="6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x v="6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</r>
  <r>
    <n v="538"/>
    <m/>
    <m/>
    <s v="기업교육2팀"/>
    <s v="장윤오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</r>
  <r>
    <n v="539"/>
    <m/>
    <m/>
    <s v="기업교육2팀"/>
    <s v="안혜연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40"/>
    <m/>
    <m/>
    <s v="기업교육2팀"/>
    <s v="장윤오"/>
    <s v="기업교육2팀"/>
    <x v="6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x v="6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42"/>
    <m/>
    <m/>
    <s v="기업교육2팀"/>
    <s v="장윤오"/>
    <s v="기업교육2팀"/>
    <x v="6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</r>
  <r>
    <n v="543"/>
    <m/>
    <m/>
    <s v="기업교육2팀"/>
    <s v="장윤오"/>
    <s v="기업교육2팀"/>
    <x v="6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x v="6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x v="6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x v="6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x v="7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</r>
  <r>
    <n v="548"/>
    <m/>
    <m/>
    <s v="기업교육2팀"/>
    <s v="박혜원"/>
    <s v="기업교육2팀"/>
    <x v="7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</r>
  <r>
    <n v="549"/>
    <m/>
    <m/>
    <s v="기업교육2팀"/>
    <s v="박혜원"/>
    <s v="기업교육2팀"/>
    <x v="7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550"/>
    <m/>
    <m/>
    <s v="기업교육2팀"/>
    <s v="신우섭"/>
    <s v="기업교육2팀"/>
    <x v="7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51"/>
    <m/>
    <m/>
    <m/>
    <m/>
    <s v="기업교육2팀"/>
    <x v="7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x v="7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</r>
  <r>
    <n v="555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</r>
  <r>
    <n v="556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x v="7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x v="7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59"/>
    <m/>
    <m/>
    <s v="기업교육2팀"/>
    <s v="박혜원"/>
    <s v="기업교육2팀"/>
    <x v="7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0"/>
    <m/>
    <m/>
    <s v="기업교육2팀"/>
    <s v="박혜원"/>
    <s v="기업교육2팀"/>
    <x v="7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1"/>
    <m/>
    <m/>
    <s v="기업교육2팀"/>
    <s v="박혜원"/>
    <s v="기업교육2팀"/>
    <x v="7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</r>
  <r>
    <n v="562"/>
    <m/>
    <m/>
    <s v="기업교육2팀"/>
    <s v="박혜원"/>
    <s v="기업교육2팀"/>
    <x v="7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</r>
  <r>
    <n v="563"/>
    <m/>
    <m/>
    <s v="기업교육2팀"/>
    <s v="안혜연"/>
    <s v="기업교육2팀"/>
    <x v="7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564"/>
    <m/>
    <m/>
    <s v="기업교육2팀"/>
    <s v="장윤오"/>
    <s v="기업교육2팀"/>
    <x v="7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x v="7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x v="7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x v="7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</r>
  <r>
    <n v="568"/>
    <m/>
    <m/>
    <s v="기업교육2팀"/>
    <s v="박혜원"/>
    <s v="기업교육2팀"/>
    <x v="7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x v="7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x v="7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</r>
  <r>
    <n v="571"/>
    <m/>
    <m/>
    <s v="기업교육2팀"/>
    <s v="박혜원"/>
    <s v="기업교육2팀"/>
    <x v="7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</r>
  <r>
    <n v="572"/>
    <m/>
    <m/>
    <s v="기업교육2팀"/>
    <s v="박혜원"/>
    <s v="기업교육2팀"/>
    <x v="7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573"/>
    <m/>
    <m/>
    <s v="기업교육2팀"/>
    <s v="박혜원"/>
    <s v="기업교육2팀"/>
    <x v="7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574"/>
    <m/>
    <m/>
    <s v="기업교육2팀"/>
    <s v="박혜원"/>
    <s v="기업교육2팀"/>
    <x v="7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</r>
  <r>
    <n v="576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77"/>
    <m/>
    <m/>
    <s v="기업교육2팀"/>
    <s v="박혜원"/>
    <s v="기업교육2팀"/>
    <x v="7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x v="7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</r>
  <r>
    <n v="579"/>
    <m/>
    <m/>
    <s v="기업교육2팀"/>
    <s v="안혜연"/>
    <s v="기업교육2팀"/>
    <x v="7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</r>
  <r>
    <n v="581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</r>
  <r>
    <n v="582"/>
    <m/>
    <m/>
    <s v="기업교육2팀"/>
    <s v="안혜연"/>
    <s v="기업교육2팀"/>
    <x v="7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x v="7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x v="7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585"/>
    <m/>
    <m/>
    <s v="기업교육2팀"/>
    <s v="이종혁"/>
    <s v="기업교육2팀"/>
    <x v="7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86"/>
    <m/>
    <m/>
    <s v="기업교육2팀"/>
    <s v="박혜원"/>
    <s v="기업교육2팀"/>
    <x v="7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</r>
  <r>
    <n v="587"/>
    <m/>
    <m/>
    <s v="기업교육2팀"/>
    <s v="박혜원"/>
    <s v="기업교육2팀"/>
    <x v="7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x v="7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589"/>
    <m/>
    <m/>
    <s v="기업교육2팀"/>
    <s v="안혜연"/>
    <s v="기업교육2팀"/>
    <x v="7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</r>
  <r>
    <n v="590"/>
    <m/>
    <m/>
    <s v="기업교육2팀"/>
    <s v="안혜연"/>
    <s v="기업교육2팀"/>
    <x v="7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91"/>
    <m/>
    <m/>
    <s v="기업교육2팀"/>
    <s v="이종혁"/>
    <s v="기업교육2팀"/>
    <x v="7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2"/>
    <m/>
    <m/>
    <s v="기업교육2팀"/>
    <s v="이종혁"/>
    <s v="기업교육2팀"/>
    <x v="7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x v="7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594"/>
    <m/>
    <m/>
    <s v="기업교육2팀"/>
    <s v="박혜원"/>
    <s v="기업교육2팀"/>
    <x v="7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595"/>
    <m/>
    <m/>
    <s v="기업교육2팀"/>
    <s v="박혜원"/>
    <s v="기업교육2팀"/>
    <x v="7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</r>
  <r>
    <n v="598"/>
    <m/>
    <m/>
    <m/>
    <m/>
    <s v="기업교육2팀"/>
    <x v="7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x v="7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600"/>
    <m/>
    <m/>
    <s v="기업교육2팀"/>
    <s v="안혜연"/>
    <s v="기업교육2팀"/>
    <x v="7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</r>
  <r>
    <n v="601"/>
    <m/>
    <m/>
    <s v="기업교육2팀"/>
    <s v="안혜연"/>
    <s v="기업교육2팀"/>
    <x v="7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</r>
  <r>
    <n v="602"/>
    <m/>
    <m/>
    <m/>
    <m/>
    <s v="기업교육2팀"/>
    <x v="7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x v="7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x v="7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x v="7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</r>
  <r>
    <n v="606"/>
    <m/>
    <m/>
    <s v="기업교육2팀"/>
    <s v="박혜원"/>
    <s v="기업교육2팀"/>
    <x v="7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09"/>
    <m/>
    <m/>
    <s v="기업교육2팀"/>
    <s v="박혜원"/>
    <s v="기업교육2팀"/>
    <x v="7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</r>
  <r>
    <n v="610"/>
    <m/>
    <m/>
    <s v="기업교육2팀"/>
    <s v="안혜연"/>
    <s v="기업교육2팀"/>
    <x v="7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</r>
  <r>
    <n v="611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612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</r>
  <r>
    <n v="613"/>
    <m/>
    <m/>
    <s v="기업교육2팀"/>
    <s v="박혜원"/>
    <s v="기업교육2팀"/>
    <x v="7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x v="7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</r>
  <r>
    <n v="616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7"/>
    <m/>
    <m/>
    <s v="기업교육2팀"/>
    <s v="황재연"/>
    <s v="기업교육2팀"/>
    <x v="7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8"/>
    <m/>
    <m/>
    <s v="기업교육2팀"/>
    <s v="황재연"/>
    <s v="기업교육2팀"/>
    <x v="7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619"/>
    <m/>
    <m/>
    <s v="기업교육2팀"/>
    <s v="안혜연"/>
    <s v="기업교육2팀"/>
    <x v="7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</r>
  <r>
    <n v="620"/>
    <m/>
    <m/>
    <s v="기업교육2팀"/>
    <s v="박혜원"/>
    <s v="기업교육2팀"/>
    <x v="7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x v="7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x v="7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</r>
  <r>
    <n v="623"/>
    <m/>
    <m/>
    <m/>
    <m/>
    <s v="기업교육2팀"/>
    <x v="8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x v="8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</r>
  <r>
    <n v="625"/>
    <m/>
    <m/>
    <s v="기업교육2팀"/>
    <s v="서동윤"/>
    <s v="기업교육2팀"/>
    <x v="8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</r>
  <r>
    <n v="626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627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x v="8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</r>
  <r>
    <n v="630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</r>
  <r>
    <n v="631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632"/>
    <m/>
    <m/>
    <s v="기업교육2팀"/>
    <s v="이종혁"/>
    <s v="기업교육2팀"/>
    <x v="8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x v="8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x v="8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</r>
  <r>
    <n v="635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37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x v="8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</r>
  <r>
    <n v="640"/>
    <m/>
    <m/>
    <s v="기업교육2팀"/>
    <s v="황재연"/>
    <s v="기업교육2팀"/>
    <x v="8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1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</r>
  <r>
    <n v="642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43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4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x v="8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</r>
  <r>
    <n v="646"/>
    <m/>
    <m/>
    <s v="기업교육2팀"/>
    <s v="서동윤"/>
    <s v="기업교육2팀"/>
    <x v="8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7"/>
    <m/>
    <m/>
    <s v="기업교육2팀"/>
    <s v="서동윤"/>
    <s v="기업교육2팀"/>
    <x v="8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648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x v="8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</r>
  <r>
    <n v="650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651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</r>
  <r>
    <n v="652"/>
    <m/>
    <m/>
    <s v="기업교육2팀"/>
    <s v="서동윤"/>
    <s v="기업교육2팀"/>
    <x v="8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653"/>
    <m/>
    <m/>
    <s v="기업교육2팀"/>
    <s v="김나리"/>
    <s v="기업교육2팀"/>
    <x v="8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</r>
  <r>
    <n v="654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655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</r>
  <r>
    <n v="656"/>
    <m/>
    <m/>
    <s v="기업교육2팀"/>
    <s v="김나리"/>
    <s v="기업교육2팀"/>
    <x v="8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x v="8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x v="8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</r>
  <r>
    <n v="659"/>
    <m/>
    <m/>
    <s v="기업교육2팀"/>
    <s v="고예서"/>
    <s v="기업교육2팀"/>
    <x v="8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661"/>
    <m/>
    <m/>
    <s v="기업교육2팀"/>
    <s v="고예서"/>
    <s v="기업교육2팀"/>
    <x v="8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</r>
  <r>
    <n v="662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663"/>
    <m/>
    <m/>
    <m/>
    <m/>
    <s v="기업교육2팀"/>
    <x v="8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x v="8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x v="8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</r>
  <r>
    <n v="666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70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x v="8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</r>
  <r>
    <n v="674"/>
    <m/>
    <m/>
    <m/>
    <m/>
    <s v="기업교육2팀"/>
    <x v="8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</r>
  <r>
    <n v="675"/>
    <m/>
    <m/>
    <m/>
    <m/>
    <s v="기업교육2팀"/>
    <x v="8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</r>
  <r>
    <n v="676"/>
    <m/>
    <m/>
    <m/>
    <m/>
    <s v="기업교육2팀"/>
    <x v="8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x v="8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</r>
  <r>
    <n v="682"/>
    <m/>
    <m/>
    <s v="기업교육2팀"/>
    <s v="서동윤"/>
    <s v="기업교육2팀"/>
    <x v="8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83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684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685"/>
    <m/>
    <m/>
    <s v="기업교육2팀"/>
    <s v="고예서"/>
    <s v="기업교육2팀"/>
    <x v="8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</r>
  <r>
    <n v="686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</r>
  <r>
    <n v="688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</r>
  <r>
    <n v="690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</r>
  <r>
    <n v="691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692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93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</r>
  <r>
    <n v="694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</r>
  <r>
    <n v="695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</r>
  <r>
    <n v="696"/>
    <m/>
    <m/>
    <s v="기업교육2팀"/>
    <s v="김나리"/>
    <s v="기업교육2팀"/>
    <x v="8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</r>
  <r>
    <n v="697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98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</r>
  <r>
    <n v="699"/>
    <m/>
    <m/>
    <s v="기업교육2팀"/>
    <s v="안혜연"/>
    <s v="기업교육2팀"/>
    <x v="8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x v="8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x v="8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</r>
  <r>
    <n v="703"/>
    <m/>
    <m/>
    <s v="기업교육2팀"/>
    <s v="안혜연"/>
    <s v="기업교육2팀"/>
    <x v="8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</r>
  <r>
    <n v="704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s v="이관"/>
    <m/>
    <m/>
    <s v="기업교육1팀"/>
    <s v="이태원"/>
    <s v="FS2팀"/>
    <x v="9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4" firstHeaderRow="1" firstDataRow="2" firstDataCol="1"/>
  <pivotFields count="68">
    <pivotField showAll="0"/>
    <pivotField axis="axisRow" showAll="0">
      <items count="15">
        <item x="0"/>
        <item x="1"/>
        <item x="4"/>
        <item x="5"/>
        <item x="3"/>
        <item x="2"/>
        <item m="1" x="13"/>
        <item x="7"/>
        <item x="6"/>
        <item x="8"/>
        <item x="10"/>
        <item x="9"/>
        <item m="1" x="12"/>
        <item x="11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Col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합계 : 25년 예상매출합계" fld="13" baseField="0" baseItem="0"/>
  </dataFields>
  <formats count="6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1" type="button" dataOnly="0" labelOnly="1" outline="0" axis="axisCol" fieldPosition="0"/>
    </format>
    <format dxfId="12">
      <pivotArea dataOnly="0" labelOnly="1" fieldPosition="0">
        <references count="1">
          <reference field="11" count="0"/>
        </references>
      </pivotArea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N50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>
      <items count="25">
        <item x="1"/>
        <item x="0"/>
        <item x="6"/>
        <item x="9"/>
        <item m="1" x="22"/>
        <item x="5"/>
        <item x="2"/>
        <item x="4"/>
        <item x="10"/>
        <item x="12"/>
        <item x="17"/>
        <item x="3"/>
        <item x="15"/>
        <item x="19"/>
        <item x="20"/>
        <item x="13"/>
        <item x="8"/>
        <item x="11"/>
        <item x="18"/>
        <item x="7"/>
        <item x="14"/>
        <item m="1" x="23"/>
        <item m="1" x="21"/>
        <item x="16"/>
        <item t="default"/>
      </items>
    </pivotField>
    <pivotField showAll="0"/>
    <pivotField showAll="0"/>
    <pivotField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8"/>
  </rowFields>
  <rowItems count="2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8" baseItem="0"/>
    <dataField name="합계 : 2월 매출" fld="22" baseField="8" baseItem="0"/>
    <dataField name="합계 : 3월 매출" fld="26" baseField="8" baseItem="2"/>
    <dataField name="합계 : 4월 매출" fld="30" baseField="8" baseItem="11"/>
    <dataField name="합계 : 5월 매출" fld="34" baseField="8" baseItem="8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7"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1" type="button" dataOnly="0" labelOnly="1" outline="0"/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11" baseItem="0"/>
    <dataField name="합계 : 2월 매출" fld="22" baseField="11" baseItem="0"/>
    <dataField name="합계 : 3월 매출" fld="26" baseField="11" baseItem="0"/>
    <dataField name="합계 : 4월 매출" fld="30" baseField="11" baseItem="1"/>
    <dataField name="합계 : 5월 매출" fld="34" baseField="11" baseItem="0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8"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1" type="button" dataOnly="0" labelOnly="1" outline="0" axis="axisRow" fieldPosition="0"/>
    </format>
    <format dxfId="26">
      <pivotArea dataOnly="0" labelOnly="1" fieldPosition="0">
        <references count="1">
          <reference field="11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0:E21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7"/>
        <item x="8"/>
        <item x="6"/>
        <item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41"/>
  </dataFields>
  <formats count="2"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6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1"/>
    <dataField name="합계 : 2월 마감" fld="35" baseField="21" baseItem="0"/>
    <dataField name="합계 : 3월 마감" fld="38" baseField="25" baseItem="0"/>
    <dataField name="합계 : 4월 예상" fld="40" baseField="19" baseItem="1"/>
    <dataField name="합계 : 5월 예상" fld="42" baseField="19" baseItem="1"/>
    <dataField name="합계 : 6월 예상" fld="44" baseField="19" baseItem="1"/>
    <dataField name="합계 : 7월 예상" fld="46" baseField="19" baseItem="1"/>
    <dataField name="합계 : 8월 예상" fld="48" baseField="19" baseItem="1"/>
    <dataField name="합계 : 9월 예상" fld="50" baseField="19" baseItem="1"/>
    <dataField name="합계 : 10월 예상" fld="52" baseField="19" baseItem="1"/>
    <dataField name="합계 : 11월 예상" fld="54" baseField="19" baseItem="1"/>
    <dataField name="합계 : 12월 예상" fld="56" baseField="19" baseItem="1"/>
    <dataField name="합계 : 26년 예상매출합계" fld="28" baseField="0" baseItem="0"/>
  </dataFields>
  <formats count="3">
    <format dxfId="5">
      <pivotArea collapsedLevelsAreSubtotals="1" fieldPosition="0">
        <references count="2">
          <reference field="4294967294" count="1" selected="0">
            <x v="9"/>
          </reference>
          <reference field="25" count="1">
            <x v="2"/>
          </reference>
        </references>
      </pivotArea>
    </format>
    <format dxfId="4">
      <pivotArea collapsedLevelsAreSubtotals="1" fieldPosition="0">
        <references count="1">
          <reference field="25" count="0"/>
        </references>
      </pivotArea>
    </format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D22" sqref="D21:D22"/>
    </sheetView>
  </sheetViews>
  <sheetFormatPr defaultRowHeight="17.399999999999999" x14ac:dyDescent="0.4"/>
  <cols>
    <col min="1" max="1" width="35.69921875" style="50" customWidth="1"/>
    <col min="2" max="10" width="13.69921875" style="49" customWidth="1"/>
    <col min="11" max="11" width="15" style="49" customWidth="1"/>
    <col min="12" max="12" width="15" style="49" bestFit="1" customWidth="1"/>
    <col min="13" max="13" width="15" style="49" customWidth="1"/>
    <col min="14" max="14" width="22.69921875" style="49" bestFit="1" customWidth="1"/>
  </cols>
  <sheetData>
    <row r="3" spans="1:14" x14ac:dyDescent="0.4">
      <c r="A3" s="209" t="s">
        <v>316</v>
      </c>
      <c r="B3" s="210" t="s">
        <v>546</v>
      </c>
      <c r="C3" s="210" t="s">
        <v>576</v>
      </c>
      <c r="D3" s="210" t="s">
        <v>608</v>
      </c>
      <c r="E3" s="210" t="s">
        <v>619</v>
      </c>
      <c r="F3" s="210" t="s">
        <v>631</v>
      </c>
      <c r="G3" s="211" t="s">
        <v>331</v>
      </c>
      <c r="H3" s="211" t="s">
        <v>332</v>
      </c>
      <c r="I3" s="211" t="s">
        <v>334</v>
      </c>
      <c r="J3" s="211" t="s">
        <v>333</v>
      </c>
      <c r="K3" s="211" t="s">
        <v>335</v>
      </c>
      <c r="L3" s="211" t="s">
        <v>336</v>
      </c>
      <c r="M3" s="211" t="s">
        <v>337</v>
      </c>
      <c r="N3" s="211" t="s">
        <v>318</v>
      </c>
    </row>
    <row r="4" spans="1:14" x14ac:dyDescent="0.4">
      <c r="A4" s="212" t="s">
        <v>28</v>
      </c>
      <c r="B4" s="211">
        <v>1009223077</v>
      </c>
      <c r="C4" s="211">
        <v>1449153117.636364</v>
      </c>
      <c r="D4" s="211">
        <v>1669310079</v>
      </c>
      <c r="E4" s="211">
        <v>1879105295</v>
      </c>
      <c r="F4" s="211">
        <v>1325392654</v>
      </c>
      <c r="G4" s="211">
        <v>2223704189</v>
      </c>
      <c r="H4" s="211">
        <v>1827137680</v>
      </c>
      <c r="I4" s="211">
        <v>1226539500</v>
      </c>
      <c r="J4" s="211">
        <v>1371159194</v>
      </c>
      <c r="K4" s="211">
        <v>1641133700</v>
      </c>
      <c r="L4" s="211">
        <v>1358625458</v>
      </c>
      <c r="M4" s="211">
        <v>4438251067.363636</v>
      </c>
      <c r="N4" s="211">
        <v>21418735011</v>
      </c>
    </row>
    <row r="5" spans="1:14" x14ac:dyDescent="0.4">
      <c r="A5" s="212" t="s">
        <v>25</v>
      </c>
      <c r="B5" s="211"/>
      <c r="C5" s="211"/>
      <c r="D5" s="211"/>
      <c r="E5" s="211"/>
      <c r="F5" s="211"/>
      <c r="G5" s="211">
        <v>0</v>
      </c>
      <c r="H5" s="211">
        <v>912800000</v>
      </c>
      <c r="I5" s="211">
        <v>327300000</v>
      </c>
      <c r="J5" s="211">
        <v>456300000</v>
      </c>
      <c r="K5" s="211">
        <v>616300000</v>
      </c>
      <c r="L5" s="211">
        <v>534300000</v>
      </c>
      <c r="M5" s="211">
        <v>1517574000</v>
      </c>
      <c r="N5" s="211">
        <v>4364574000</v>
      </c>
    </row>
    <row r="6" spans="1:14" x14ac:dyDescent="0.4">
      <c r="A6" s="212" t="s">
        <v>26</v>
      </c>
      <c r="B6" s="211"/>
      <c r="C6" s="211"/>
      <c r="D6" s="211"/>
      <c r="E6" s="211"/>
      <c r="F6" s="211"/>
      <c r="G6" s="211"/>
      <c r="H6" s="211">
        <v>1321000000</v>
      </c>
      <c r="I6" s="211">
        <v>20000000</v>
      </c>
      <c r="J6" s="211">
        <v>214000000</v>
      </c>
      <c r="K6" s="211">
        <v>155000000</v>
      </c>
      <c r="L6" s="211">
        <v>134000000</v>
      </c>
      <c r="M6" s="211">
        <v>2352000000</v>
      </c>
      <c r="N6" s="211">
        <v>4196000000</v>
      </c>
    </row>
    <row r="7" spans="1:14" x14ac:dyDescent="0.4">
      <c r="A7" s="212" t="s">
        <v>317</v>
      </c>
      <c r="B7" s="211">
        <v>1009223077</v>
      </c>
      <c r="C7" s="211">
        <v>1449153117.636364</v>
      </c>
      <c r="D7" s="211">
        <v>1669310079</v>
      </c>
      <c r="E7" s="211">
        <v>1879105295</v>
      </c>
      <c r="F7" s="211">
        <v>1325392654</v>
      </c>
      <c r="G7" s="211">
        <v>2223704189</v>
      </c>
      <c r="H7" s="211">
        <v>4060937680</v>
      </c>
      <c r="I7" s="211">
        <v>1573839500</v>
      </c>
      <c r="J7" s="211">
        <v>2041459194</v>
      </c>
      <c r="K7" s="211">
        <v>2412433700</v>
      </c>
      <c r="L7" s="211">
        <v>2026925458</v>
      </c>
      <c r="M7" s="211">
        <v>8307825067.363636</v>
      </c>
      <c r="N7" s="211">
        <v>29979309011</v>
      </c>
    </row>
    <row r="11" spans="1:14" x14ac:dyDescent="0.4">
      <c r="A11" s="209" t="s">
        <v>318</v>
      </c>
      <c r="B11" s="209" t="s">
        <v>359</v>
      </c>
      <c r="C11" s="210"/>
      <c r="D11" s="210"/>
      <c r="E11" s="210"/>
      <c r="F11"/>
      <c r="G11"/>
      <c r="H11"/>
      <c r="I11"/>
      <c r="J11"/>
      <c r="K11"/>
      <c r="L11"/>
      <c r="M11"/>
      <c r="N11"/>
    </row>
    <row r="12" spans="1:14" x14ac:dyDescent="0.4">
      <c r="A12" s="209" t="s">
        <v>316</v>
      </c>
      <c r="B12" s="210" t="s">
        <v>28</v>
      </c>
      <c r="C12" s="210" t="s">
        <v>25</v>
      </c>
      <c r="D12" s="210" t="s">
        <v>26</v>
      </c>
      <c r="E12" s="210" t="s">
        <v>317</v>
      </c>
      <c r="F12"/>
      <c r="G12"/>
      <c r="H12"/>
      <c r="J12"/>
      <c r="K12"/>
      <c r="L12"/>
      <c r="M12"/>
      <c r="N12"/>
    </row>
    <row r="13" spans="1:14" x14ac:dyDescent="0.4">
      <c r="A13" s="212" t="s">
        <v>276</v>
      </c>
      <c r="B13" s="211">
        <v>3418283692</v>
      </c>
      <c r="C13" s="211">
        <v>484000000</v>
      </c>
      <c r="D13" s="211">
        <v>1227000000</v>
      </c>
      <c r="E13" s="211">
        <v>5129283692</v>
      </c>
      <c r="F13"/>
      <c r="G13"/>
      <c r="H13"/>
      <c r="I13"/>
      <c r="J13"/>
      <c r="K13"/>
      <c r="L13"/>
      <c r="M13"/>
      <c r="N13"/>
    </row>
    <row r="14" spans="1:14" x14ac:dyDescent="0.4">
      <c r="A14" s="212" t="s">
        <v>138</v>
      </c>
      <c r="B14" s="211">
        <v>3660528965</v>
      </c>
      <c r="C14" s="211">
        <v>52000000</v>
      </c>
      <c r="D14" s="211">
        <v>891000000</v>
      </c>
      <c r="E14" s="211">
        <v>4603528965</v>
      </c>
      <c r="F14"/>
      <c r="G14"/>
      <c r="H14"/>
      <c r="I14"/>
      <c r="J14"/>
      <c r="K14"/>
      <c r="L14"/>
      <c r="M14"/>
      <c r="N14"/>
    </row>
    <row r="15" spans="1:14" x14ac:dyDescent="0.4">
      <c r="A15" s="212" t="s">
        <v>184</v>
      </c>
      <c r="B15" s="211">
        <v>3058385606</v>
      </c>
      <c r="C15" s="211">
        <v>202000000</v>
      </c>
      <c r="D15" s="211">
        <v>198000000</v>
      </c>
      <c r="E15" s="211">
        <v>3458385606</v>
      </c>
      <c r="F15"/>
      <c r="G15"/>
      <c r="H15"/>
      <c r="I15"/>
      <c r="J15"/>
      <c r="K15"/>
      <c r="L15"/>
      <c r="M15"/>
      <c r="N15"/>
    </row>
    <row r="16" spans="1:14" x14ac:dyDescent="0.4">
      <c r="A16" s="212" t="s">
        <v>193</v>
      </c>
      <c r="B16" s="211">
        <v>1979052594.636364</v>
      </c>
      <c r="C16" s="211">
        <v>463000000</v>
      </c>
      <c r="D16" s="211">
        <v>542000000</v>
      </c>
      <c r="E16" s="211">
        <v>2984052594.636364</v>
      </c>
    </row>
    <row r="17" spans="1:14" x14ac:dyDescent="0.4">
      <c r="A17" s="212" t="s">
        <v>196</v>
      </c>
      <c r="B17" s="211">
        <v>1837290781</v>
      </c>
      <c r="C17" s="211">
        <v>470374000</v>
      </c>
      <c r="D17" s="211">
        <v>12000000</v>
      </c>
      <c r="E17" s="211">
        <v>2319664781</v>
      </c>
    </row>
    <row r="18" spans="1:14" x14ac:dyDescent="0.4">
      <c r="A18" s="212" t="s">
        <v>102</v>
      </c>
      <c r="B18" s="211">
        <v>1765268100</v>
      </c>
      <c r="C18" s="211">
        <v>1806000000</v>
      </c>
      <c r="D18" s="211">
        <v>909000000</v>
      </c>
      <c r="E18" s="211">
        <v>4480268100</v>
      </c>
      <c r="I18"/>
    </row>
    <row r="19" spans="1:14" x14ac:dyDescent="0.4">
      <c r="A19" s="212" t="s">
        <v>229</v>
      </c>
      <c r="B19" s="211">
        <v>1729632803</v>
      </c>
      <c r="C19" s="211">
        <v>568200000</v>
      </c>
      <c r="D19" s="211">
        <v>85000000</v>
      </c>
      <c r="E19" s="211">
        <v>2382832803</v>
      </c>
    </row>
    <row r="20" spans="1:14" x14ac:dyDescent="0.4">
      <c r="A20" s="212" t="s">
        <v>235</v>
      </c>
      <c r="B20" s="211">
        <v>1753069277</v>
      </c>
      <c r="C20" s="211">
        <v>171000000</v>
      </c>
      <c r="D20" s="211">
        <v>80000000</v>
      </c>
      <c r="E20" s="211">
        <v>2004069277</v>
      </c>
    </row>
    <row r="21" spans="1:14" x14ac:dyDescent="0.4">
      <c r="A21" s="212" t="s">
        <v>249</v>
      </c>
      <c r="B21" s="211">
        <v>1563067952.3636365</v>
      </c>
      <c r="C21" s="211">
        <v>148000000</v>
      </c>
      <c r="D21" s="211">
        <v>252000000</v>
      </c>
      <c r="E21" s="211">
        <v>1963067952.3636365</v>
      </c>
    </row>
    <row r="22" spans="1:14" x14ac:dyDescent="0.4">
      <c r="A22" s="212" t="s">
        <v>535</v>
      </c>
      <c r="B22" s="211">
        <v>449544500</v>
      </c>
      <c r="C22" s="211"/>
      <c r="D22" s="211"/>
      <c r="E22" s="211">
        <v>449544500</v>
      </c>
    </row>
    <row r="23" spans="1:14" x14ac:dyDescent="0.4">
      <c r="A23" s="212" t="s">
        <v>622</v>
      </c>
      <c r="B23" s="211">
        <v>204610740</v>
      </c>
      <c r="C23" s="211">
        <v>0</v>
      </c>
      <c r="D23" s="211">
        <v>0</v>
      </c>
      <c r="E23" s="211">
        <v>204610740</v>
      </c>
    </row>
    <row r="24" spans="1:14" x14ac:dyDescent="0.4">
      <c r="A24" s="212" t="s">
        <v>317</v>
      </c>
      <c r="B24" s="211">
        <v>21418735011</v>
      </c>
      <c r="C24" s="211">
        <v>4364574000</v>
      </c>
      <c r="D24" s="211">
        <v>4196000000</v>
      </c>
      <c r="E24" s="211">
        <v>29979309011</v>
      </c>
    </row>
    <row r="25" spans="1:14" x14ac:dyDescent="0.4">
      <c r="A25"/>
      <c r="B25"/>
      <c r="C25"/>
      <c r="D25"/>
      <c r="E25"/>
    </row>
    <row r="28" spans="1:14" x14ac:dyDescent="0.4">
      <c r="A28" s="209" t="s">
        <v>316</v>
      </c>
      <c r="B28" s="210" t="s">
        <v>546</v>
      </c>
      <c r="C28" s="210" t="s">
        <v>576</v>
      </c>
      <c r="D28" s="210" t="s">
        <v>608</v>
      </c>
      <c r="E28" s="210" t="s">
        <v>619</v>
      </c>
      <c r="F28" s="210" t="s">
        <v>631</v>
      </c>
      <c r="G28" s="211" t="s">
        <v>331</v>
      </c>
      <c r="H28" s="211" t="s">
        <v>332</v>
      </c>
      <c r="I28" s="211" t="s">
        <v>334</v>
      </c>
      <c r="J28" s="211" t="s">
        <v>333</v>
      </c>
      <c r="K28" s="211" t="s">
        <v>335</v>
      </c>
      <c r="L28" s="211" t="s">
        <v>336</v>
      </c>
      <c r="M28" s="211" t="s">
        <v>337</v>
      </c>
      <c r="N28" s="211" t="s">
        <v>318</v>
      </c>
    </row>
    <row r="29" spans="1:14" x14ac:dyDescent="0.4">
      <c r="A29" s="212" t="s">
        <v>29</v>
      </c>
      <c r="B29" s="211">
        <v>426953424</v>
      </c>
      <c r="C29" s="211">
        <v>533740782</v>
      </c>
      <c r="D29" s="211">
        <v>968332944</v>
      </c>
      <c r="E29" s="211">
        <v>1155147031</v>
      </c>
      <c r="F29" s="211">
        <v>976258545</v>
      </c>
      <c r="G29" s="211">
        <v>1498751514</v>
      </c>
      <c r="H29" s="211">
        <v>1276562600</v>
      </c>
      <c r="I29" s="211">
        <v>945900000</v>
      </c>
      <c r="J29" s="211">
        <v>1182111694</v>
      </c>
      <c r="K29" s="211">
        <v>1059838800</v>
      </c>
      <c r="L29" s="211">
        <v>1135327800</v>
      </c>
      <c r="M29" s="211">
        <v>2575919129</v>
      </c>
      <c r="N29" s="211">
        <v>13734844263</v>
      </c>
    </row>
    <row r="30" spans="1:14" x14ac:dyDescent="0.4">
      <c r="A30" s="212" t="s">
        <v>20</v>
      </c>
      <c r="B30" s="211">
        <v>87249760</v>
      </c>
      <c r="C30" s="211">
        <v>128278610</v>
      </c>
      <c r="D30" s="211">
        <v>157797950</v>
      </c>
      <c r="E30" s="211">
        <v>119957838</v>
      </c>
      <c r="F30" s="211">
        <v>104770890</v>
      </c>
      <c r="G30" s="211">
        <v>400398930</v>
      </c>
      <c r="H30" s="211">
        <v>290826080</v>
      </c>
      <c r="I30" s="211">
        <v>93300000</v>
      </c>
      <c r="J30" s="211">
        <v>175300000</v>
      </c>
      <c r="K30" s="211">
        <v>154424900</v>
      </c>
      <c r="L30" s="211">
        <v>256702000</v>
      </c>
      <c r="M30" s="211">
        <v>2338558170</v>
      </c>
      <c r="N30" s="211">
        <v>4307565128</v>
      </c>
    </row>
    <row r="31" spans="1:14" x14ac:dyDescent="0.4">
      <c r="A31" s="212" t="s">
        <v>31</v>
      </c>
      <c r="B31" s="211">
        <v>29088500</v>
      </c>
      <c r="C31" s="211">
        <v>43065500</v>
      </c>
      <c r="D31" s="211">
        <v>37680000</v>
      </c>
      <c r="E31" s="211">
        <v>18592300</v>
      </c>
      <c r="F31" s="211">
        <v>37483609</v>
      </c>
      <c r="G31" s="211">
        <v>54719560</v>
      </c>
      <c r="H31" s="211">
        <v>119474000</v>
      </c>
      <c r="I31" s="211">
        <v>19068500</v>
      </c>
      <c r="J31" s="211">
        <v>143622500</v>
      </c>
      <c r="K31" s="211">
        <v>74650000</v>
      </c>
      <c r="L31" s="211">
        <v>73280000</v>
      </c>
      <c r="M31" s="211">
        <v>630350000</v>
      </c>
      <c r="N31" s="211">
        <v>1281074469</v>
      </c>
    </row>
    <row r="32" spans="1:14" x14ac:dyDescent="0.4">
      <c r="A32" s="212" t="s">
        <v>38</v>
      </c>
      <c r="B32" s="211">
        <v>13766900</v>
      </c>
      <c r="C32" s="211">
        <v>15490000</v>
      </c>
      <c r="D32" s="211">
        <v>32600000</v>
      </c>
      <c r="E32" s="211">
        <v>47192000</v>
      </c>
      <c r="F32" s="211">
        <v>2500001</v>
      </c>
      <c r="G32" s="211">
        <v>41022001</v>
      </c>
      <c r="H32" s="211">
        <v>43500000</v>
      </c>
      <c r="I32" s="211">
        <v>36000000</v>
      </c>
      <c r="J32" s="211">
        <v>15500000</v>
      </c>
      <c r="K32" s="211">
        <v>2500000</v>
      </c>
      <c r="L32" s="211">
        <v>35000000</v>
      </c>
      <c r="M32" s="211">
        <v>210500000</v>
      </c>
      <c r="N32" s="211">
        <v>495570902</v>
      </c>
    </row>
    <row r="33" spans="1:14" x14ac:dyDescent="0.4">
      <c r="A33" s="212" t="s">
        <v>341</v>
      </c>
      <c r="B33" s="211">
        <v>13722727</v>
      </c>
      <c r="C33" s="211"/>
      <c r="D33" s="211"/>
      <c r="E33" s="211"/>
      <c r="F33" s="211">
        <v>4400000</v>
      </c>
      <c r="G33" s="211">
        <v>0</v>
      </c>
      <c r="H33" s="211">
        <v>280000000</v>
      </c>
      <c r="I33" s="211">
        <v>47000000</v>
      </c>
      <c r="J33" s="211"/>
      <c r="K33" s="211">
        <v>60000000</v>
      </c>
      <c r="L33" s="211">
        <v>100000000</v>
      </c>
      <c r="M33" s="211">
        <v>323000000</v>
      </c>
      <c r="N33" s="211">
        <v>828122727</v>
      </c>
    </row>
    <row r="34" spans="1:14" x14ac:dyDescent="0.4">
      <c r="A34" s="212" t="s">
        <v>340</v>
      </c>
      <c r="B34" s="211">
        <v>8600000</v>
      </c>
      <c r="C34" s="211">
        <v>10280000</v>
      </c>
      <c r="D34" s="211">
        <v>72486821</v>
      </c>
      <c r="E34" s="211">
        <v>195718136</v>
      </c>
      <c r="F34" s="211">
        <v>118616364</v>
      </c>
      <c r="G34" s="211">
        <v>567068363</v>
      </c>
      <c r="H34" s="211">
        <v>482600000</v>
      </c>
      <c r="I34" s="211">
        <v>471000000</v>
      </c>
      <c r="J34" s="211">
        <v>428500000</v>
      </c>
      <c r="K34" s="211">
        <v>744500000</v>
      </c>
      <c r="L34" s="211">
        <v>513467818</v>
      </c>
      <c r="M34" s="211">
        <v>3426477273.3636365</v>
      </c>
      <c r="N34" s="211">
        <v>7039314775.363636</v>
      </c>
    </row>
    <row r="35" spans="1:14" x14ac:dyDescent="0.4">
      <c r="A35" s="212" t="s">
        <v>349</v>
      </c>
      <c r="B35" s="211">
        <v>251637204</v>
      </c>
      <c r="C35" s="211">
        <v>2600000</v>
      </c>
      <c r="D35" s="211">
        <v>26840000</v>
      </c>
      <c r="E35" s="211">
        <v>54231900</v>
      </c>
      <c r="F35" s="211">
        <v>48484515</v>
      </c>
      <c r="G35" s="211">
        <v>46460000</v>
      </c>
      <c r="H35" s="211">
        <v>188300000</v>
      </c>
      <c r="I35" s="211">
        <v>5000000</v>
      </c>
      <c r="J35" s="211">
        <v>45000000</v>
      </c>
      <c r="K35" s="211">
        <v>30000000</v>
      </c>
      <c r="L35" s="211">
        <v>9230000</v>
      </c>
      <c r="M35" s="211">
        <v>1093204099</v>
      </c>
      <c r="N35" s="211">
        <v>1800987718</v>
      </c>
    </row>
    <row r="36" spans="1:14" x14ac:dyDescent="0.4">
      <c r="A36" s="212" t="s">
        <v>342</v>
      </c>
      <c r="B36" s="211"/>
      <c r="C36" s="211"/>
      <c r="D36" s="211">
        <v>34000000</v>
      </c>
      <c r="E36" s="211">
        <v>2585420</v>
      </c>
      <c r="F36" s="211">
        <v>700000</v>
      </c>
      <c r="G36" s="211">
        <v>280000</v>
      </c>
      <c r="H36" s="211">
        <v>22500000</v>
      </c>
      <c r="I36" s="211"/>
      <c r="J36" s="211">
        <v>3000000</v>
      </c>
      <c r="K36" s="211"/>
      <c r="L36" s="211"/>
      <c r="M36" s="211">
        <v>49094760</v>
      </c>
      <c r="N36" s="211">
        <v>112160180</v>
      </c>
    </row>
    <row r="37" spans="1:14" x14ac:dyDescent="0.4">
      <c r="A37" s="212" t="s">
        <v>345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>
        <v>20000000</v>
      </c>
      <c r="L37" s="211"/>
      <c r="M37" s="211">
        <v>6000000</v>
      </c>
      <c r="N37" s="211">
        <v>26000000</v>
      </c>
    </row>
    <row r="38" spans="1:14" x14ac:dyDescent="0.4">
      <c r="A38" s="212" t="s">
        <v>348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>
        <v>30000000</v>
      </c>
      <c r="N38" s="211">
        <v>30000000</v>
      </c>
    </row>
    <row r="39" spans="1:14" x14ac:dyDescent="0.4">
      <c r="A39" s="212" t="s">
        <v>221</v>
      </c>
      <c r="B39" s="211">
        <v>54545455</v>
      </c>
      <c r="C39" s="211">
        <v>308513636</v>
      </c>
      <c r="D39" s="211">
        <v>42650000</v>
      </c>
      <c r="E39" s="211">
        <v>141000000</v>
      </c>
      <c r="F39" s="211">
        <v>3000000</v>
      </c>
      <c r="G39" s="211">
        <v>84309091</v>
      </c>
      <c r="H39" s="211">
        <v>1177500000</v>
      </c>
      <c r="I39" s="211">
        <v>60000000</v>
      </c>
      <c r="J39" s="211">
        <v>155000000</v>
      </c>
      <c r="K39" s="211">
        <v>127000000</v>
      </c>
      <c r="L39" s="211">
        <v>167000000</v>
      </c>
      <c r="M39" s="211">
        <v>1305463636</v>
      </c>
      <c r="N39" s="211">
        <v>3625981818</v>
      </c>
    </row>
    <row r="40" spans="1:14" x14ac:dyDescent="0.4">
      <c r="A40" s="212" t="s">
        <v>339</v>
      </c>
      <c r="B40" s="211">
        <v>28000000</v>
      </c>
      <c r="C40" s="211"/>
      <c r="D40" s="211">
        <v>35500000</v>
      </c>
      <c r="E40" s="211"/>
      <c r="F40" s="211">
        <v>12506000</v>
      </c>
      <c r="G40" s="211">
        <v>37413760</v>
      </c>
      <c r="H40" s="211">
        <v>30000000</v>
      </c>
      <c r="I40" s="211"/>
      <c r="J40" s="211">
        <v>11750000</v>
      </c>
      <c r="K40" s="211"/>
      <c r="L40" s="211">
        <v>30000000</v>
      </c>
      <c r="M40" s="211">
        <v>78750000</v>
      </c>
      <c r="N40" s="211">
        <v>263919760</v>
      </c>
    </row>
    <row r="41" spans="1:14" x14ac:dyDescent="0.4">
      <c r="A41" s="212" t="s">
        <v>343</v>
      </c>
      <c r="B41" s="211"/>
      <c r="C41" s="211">
        <v>1875000</v>
      </c>
      <c r="D41" s="211"/>
      <c r="E41" s="211"/>
      <c r="F41" s="211"/>
      <c r="G41" s="211">
        <v>1875000</v>
      </c>
      <c r="H41" s="211">
        <v>1875000</v>
      </c>
      <c r="I41" s="211">
        <v>1875000</v>
      </c>
      <c r="J41" s="211">
        <v>1875000</v>
      </c>
      <c r="K41" s="211">
        <v>1875000</v>
      </c>
      <c r="L41" s="211">
        <v>1875000</v>
      </c>
      <c r="M41" s="211">
        <v>1000000</v>
      </c>
      <c r="N41" s="211">
        <v>14125000</v>
      </c>
    </row>
    <row r="42" spans="1:14" x14ac:dyDescent="0.4">
      <c r="A42" s="212" t="s">
        <v>344</v>
      </c>
      <c r="B42" s="211">
        <v>2168040</v>
      </c>
      <c r="C42" s="211">
        <v>343643323.63636398</v>
      </c>
      <c r="D42" s="211">
        <v>253636364</v>
      </c>
      <c r="E42" s="211"/>
      <c r="F42" s="211"/>
      <c r="G42" s="211"/>
      <c r="H42" s="211"/>
      <c r="I42" s="211"/>
      <c r="J42" s="211"/>
      <c r="K42" s="211"/>
      <c r="L42" s="211"/>
      <c r="M42" s="211">
        <v>170000000</v>
      </c>
      <c r="N42" s="211">
        <v>769447727.63636398</v>
      </c>
    </row>
    <row r="43" spans="1:14" x14ac:dyDescent="0.4">
      <c r="A43" s="212" t="s">
        <v>347</v>
      </c>
      <c r="B43" s="211">
        <v>16108000</v>
      </c>
      <c r="C43" s="211">
        <v>10808000</v>
      </c>
      <c r="D43" s="211">
        <v>7786000</v>
      </c>
      <c r="E43" s="211">
        <v>8566000</v>
      </c>
      <c r="F43" s="211">
        <v>11020000</v>
      </c>
      <c r="G43" s="211">
        <v>9774000</v>
      </c>
      <c r="H43" s="211">
        <v>199300000</v>
      </c>
      <c r="I43" s="211">
        <v>68196000</v>
      </c>
      <c r="J43" s="211">
        <v>8300000</v>
      </c>
      <c r="K43" s="211">
        <v>138300000</v>
      </c>
      <c r="L43" s="211">
        <v>4300000</v>
      </c>
      <c r="M43" s="211">
        <v>29600000</v>
      </c>
      <c r="N43" s="211">
        <v>512058000</v>
      </c>
    </row>
    <row r="44" spans="1:14" x14ac:dyDescent="0.4">
      <c r="A44" s="212" t="s">
        <v>350</v>
      </c>
      <c r="B44" s="211"/>
      <c r="C44" s="211"/>
      <c r="D44" s="211"/>
      <c r="E44" s="211"/>
      <c r="F44" s="211"/>
      <c r="G44" s="211"/>
      <c r="H44" s="211">
        <v>10000000</v>
      </c>
      <c r="I44" s="211">
        <v>40000000</v>
      </c>
      <c r="J44" s="211"/>
      <c r="K44" s="211"/>
      <c r="L44" s="211"/>
      <c r="M44" s="211">
        <v>50000000</v>
      </c>
      <c r="N44" s="211">
        <v>100000000</v>
      </c>
    </row>
    <row r="45" spans="1:14" x14ac:dyDescent="0.4">
      <c r="A45" s="212" t="s">
        <v>346</v>
      </c>
      <c r="B45" s="211"/>
      <c r="C45" s="211"/>
      <c r="D45" s="211"/>
      <c r="E45" s="211"/>
      <c r="F45" s="211"/>
      <c r="G45" s="211"/>
      <c r="H45" s="211"/>
      <c r="I45" s="211"/>
      <c r="J45" s="211">
        <v>5000000</v>
      </c>
      <c r="K45" s="211">
        <v>5000000</v>
      </c>
      <c r="L45" s="211"/>
      <c r="M45" s="211"/>
      <c r="N45" s="211">
        <v>10000000</v>
      </c>
    </row>
    <row r="46" spans="1:14" x14ac:dyDescent="0.4">
      <c r="A46" s="212" t="s">
        <v>338</v>
      </c>
      <c r="B46" s="211">
        <v>77383067</v>
      </c>
      <c r="C46" s="211">
        <v>50858266</v>
      </c>
      <c r="D46" s="211">
        <v>0</v>
      </c>
      <c r="E46" s="211">
        <v>134910670</v>
      </c>
      <c r="F46" s="211">
        <v>1718730</v>
      </c>
      <c r="G46" s="211">
        <v>1631970</v>
      </c>
      <c r="H46" s="211">
        <v>102000000</v>
      </c>
      <c r="I46" s="211">
        <v>2000000</v>
      </c>
      <c r="J46" s="211">
        <v>94000000</v>
      </c>
      <c r="K46" s="211">
        <v>150845000</v>
      </c>
      <c r="L46" s="211">
        <v>2000000</v>
      </c>
      <c r="M46" s="211">
        <v>14000000</v>
      </c>
      <c r="N46" s="211">
        <v>631347703</v>
      </c>
    </row>
    <row r="47" spans="1:14" x14ac:dyDescent="0.4">
      <c r="A47" s="212" t="s">
        <v>161</v>
      </c>
      <c r="B47" s="211"/>
      <c r="C47" s="211"/>
      <c r="D47" s="211"/>
      <c r="E47" s="211"/>
      <c r="F47" s="211"/>
      <c r="G47" s="211"/>
      <c r="H47" s="211"/>
      <c r="I47" s="211"/>
      <c r="J47" s="211">
        <v>56000000</v>
      </c>
      <c r="K47" s="211"/>
      <c r="L47" s="211"/>
      <c r="M47" s="211"/>
      <c r="N47" s="211">
        <v>56000000</v>
      </c>
    </row>
    <row r="48" spans="1:14" x14ac:dyDescent="0.4">
      <c r="A48" s="212" t="s">
        <v>563</v>
      </c>
      <c r="B48" s="211"/>
      <c r="C48" s="211"/>
      <c r="D48" s="211"/>
      <c r="E48" s="211">
        <v>1204000</v>
      </c>
      <c r="F48" s="211">
        <v>3934000</v>
      </c>
      <c r="G48" s="211"/>
      <c r="H48" s="211"/>
      <c r="I48" s="211"/>
      <c r="J48" s="211"/>
      <c r="K48" s="211"/>
      <c r="L48" s="211"/>
      <c r="M48" s="211">
        <v>51908000</v>
      </c>
      <c r="N48" s="211">
        <v>57046000</v>
      </c>
    </row>
    <row r="49" spans="1:14" x14ac:dyDescent="0.4">
      <c r="A49" s="212" t="s">
        <v>632</v>
      </c>
      <c r="B49" s="211"/>
      <c r="C49" s="211"/>
      <c r="D49" s="211"/>
      <c r="E49" s="211"/>
      <c r="F49" s="211"/>
      <c r="G49" s="211">
        <v>1500000</v>
      </c>
      <c r="H49" s="211"/>
      <c r="I49" s="211"/>
      <c r="J49" s="211"/>
      <c r="K49" s="211">
        <v>2000000</v>
      </c>
      <c r="L49" s="211"/>
      <c r="M49" s="211">
        <v>34500000</v>
      </c>
      <c r="N49" s="211">
        <v>38000000</v>
      </c>
    </row>
    <row r="50" spans="1:14" x14ac:dyDescent="0.4">
      <c r="A50" s="212" t="s">
        <v>317</v>
      </c>
      <c r="B50" s="211">
        <v>1009223077</v>
      </c>
      <c r="C50" s="211">
        <v>1449153117.636364</v>
      </c>
      <c r="D50" s="211">
        <v>1669310079</v>
      </c>
      <c r="E50" s="211">
        <v>1879105295</v>
      </c>
      <c r="F50" s="211">
        <v>1325392654</v>
      </c>
      <c r="G50" s="211">
        <v>2745204189</v>
      </c>
      <c r="H50" s="211">
        <v>4224437680</v>
      </c>
      <c r="I50" s="211">
        <v>1789339500</v>
      </c>
      <c r="J50" s="211">
        <v>2324959194</v>
      </c>
      <c r="K50" s="211">
        <v>2570933700</v>
      </c>
      <c r="L50" s="211">
        <v>2328182618</v>
      </c>
      <c r="M50" s="211">
        <v>12418325067.363636</v>
      </c>
      <c r="N50" s="211">
        <v>35733566171</v>
      </c>
    </row>
    <row r="51" spans="1:14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27"/>
  <sheetViews>
    <sheetView showGridLines="0" tabSelected="1" topLeftCell="A20" zoomScale="80" zoomScaleNormal="80" workbookViewId="0">
      <selection activeCell="G554" sqref="G554"/>
    </sheetView>
  </sheetViews>
  <sheetFormatPr defaultColWidth="4.3984375" defaultRowHeight="17.399999999999999" outlineLevelRow="1" outlineLevelCol="1" x14ac:dyDescent="0.4"/>
  <cols>
    <col min="1" max="1" width="8.8984375" style="1" customWidth="1"/>
    <col min="2" max="4" width="11.69921875" style="5" hidden="1" customWidth="1" outlineLevel="1"/>
    <col min="5" max="5" width="11.69921875" style="6" hidden="1" customWidth="1" outlineLevel="1"/>
    <col min="6" max="6" width="11.69921875" style="6" customWidth="1" collapsed="1"/>
    <col min="7" max="7" width="11.69921875" style="6" customWidth="1"/>
    <col min="8" max="8" width="11.69921875" style="6" hidden="1" customWidth="1" outlineLevel="1"/>
    <col min="9" max="9" width="11.69921875" style="6" customWidth="1" collapsed="1"/>
    <col min="10" max="10" width="28.69921875" style="184" customWidth="1"/>
    <col min="11" max="12" width="9.69921875" style="184" hidden="1" customWidth="1" outlineLevel="1"/>
    <col min="13" max="13" width="9.69921875" style="184" customWidth="1" collapsed="1"/>
    <col min="14" max="14" width="19" style="184" hidden="1" customWidth="1" outlineLevel="1"/>
    <col min="15" max="16" width="8.8984375" style="183" hidden="1" customWidth="1" outlineLevel="1"/>
    <col min="17" max="17" width="31.19921875" style="183" hidden="1" customWidth="1" outlineLevel="1"/>
    <col min="18" max="18" width="24.5" style="183" hidden="1" customWidth="1" outlineLevel="1"/>
    <col min="19" max="19" width="31.19921875" style="183" customWidth="1" collapsed="1"/>
    <col min="20" max="20" width="17.69921875" style="183" hidden="1" customWidth="1" outlineLevel="1"/>
    <col min="21" max="22" width="18.09765625" style="185" hidden="1" customWidth="1" outlineLevel="1"/>
    <col min="23" max="23" width="18.09765625" style="185" customWidth="1" collapsed="1"/>
    <col min="24" max="24" width="18.09765625" style="185" hidden="1" customWidth="1" outlineLevel="1"/>
    <col min="25" max="25" width="14.69921875" style="183" hidden="1" customWidth="1" outlineLevel="1"/>
    <col min="26" max="26" width="15.69921875" style="2" customWidth="1" collapsed="1"/>
    <col min="27" max="28" width="15.69921875" style="2" hidden="1" customWidth="1" outlineLevel="1"/>
    <col min="29" max="29" width="14.69921875" style="14" customWidth="1" collapsed="1"/>
    <col min="30" max="30" width="14.69921875" style="14" customWidth="1"/>
    <col min="31" max="31" width="14.19921875" style="14" customWidth="1"/>
    <col min="32" max="32" width="16.8984375" style="4" hidden="1" customWidth="1" outlineLevel="1"/>
    <col min="33" max="33" width="16.8984375" style="4" customWidth="1" collapsed="1"/>
    <col min="34" max="35" width="16.8984375" style="4" hidden="1" customWidth="1" outlineLevel="1"/>
    <col min="36" max="36" width="16.8984375" style="4" customWidth="1" collapsed="1"/>
    <col min="37" max="37" width="16.8984375" style="4" hidden="1" customWidth="1" outlineLevel="1"/>
    <col min="38" max="38" width="15" style="4" hidden="1" customWidth="1" outlineLevel="1"/>
    <col min="39" max="39" width="15" style="4" customWidth="1" collapsed="1"/>
    <col min="40" max="40" width="16.8984375" style="4" hidden="1" customWidth="1" outlineLevel="1"/>
    <col min="41" max="41" width="15" style="4" customWidth="1" collapsed="1"/>
    <col min="42" max="42" width="16.8984375" style="4" customWidth="1"/>
    <col min="43" max="43" width="15" style="4" customWidth="1"/>
    <col min="44" max="44" width="16.8984375" style="4" customWidth="1"/>
    <col min="45" max="45" width="15.09765625" style="4" customWidth="1"/>
    <col min="46" max="46" width="16.8984375" style="4" customWidth="1"/>
    <col min="47" max="47" width="15" style="4" customWidth="1"/>
    <col min="48" max="48" width="16.8984375" style="4" customWidth="1"/>
    <col min="49" max="49" width="15" style="4" customWidth="1"/>
    <col min="50" max="50" width="16.8984375" style="4" customWidth="1"/>
    <col min="51" max="51" width="15" style="4" customWidth="1"/>
    <col min="52" max="52" width="16.8984375" style="4" customWidth="1"/>
    <col min="53" max="53" width="15" style="4" customWidth="1"/>
    <col min="54" max="54" width="16.8984375" style="4" customWidth="1"/>
    <col min="55" max="57" width="15" style="4" customWidth="1"/>
    <col min="58" max="58" width="16.8984375" style="4" customWidth="1"/>
    <col min="59" max="59" width="8.69921875" style="195" customWidth="1"/>
    <col min="60" max="16384" width="4.3984375" style="195"/>
  </cols>
  <sheetData>
    <row r="1" spans="1:58" x14ac:dyDescent="0.4"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 t="s">
        <v>720</v>
      </c>
      <c r="AS1" s="261"/>
      <c r="AT1" s="261" t="s">
        <v>720</v>
      </c>
      <c r="AU1" s="261"/>
      <c r="AV1" s="261" t="s">
        <v>720</v>
      </c>
      <c r="AW1" s="261"/>
      <c r="AX1" s="261" t="s">
        <v>720</v>
      </c>
      <c r="AY1" s="261"/>
      <c r="AZ1" s="261" t="s">
        <v>720</v>
      </c>
      <c r="BA1" s="261"/>
      <c r="BB1" s="261" t="s">
        <v>720</v>
      </c>
      <c r="BC1" s="261"/>
      <c r="BD1" s="261"/>
      <c r="BE1" s="261"/>
      <c r="BF1" s="261" t="s">
        <v>720</v>
      </c>
    </row>
    <row r="2" spans="1:58" ht="27.6" hidden="1" outlineLevel="1" x14ac:dyDescent="0.4">
      <c r="D2" s="328" t="s">
        <v>440</v>
      </c>
      <c r="E2" s="328"/>
      <c r="F2" s="328"/>
      <c r="G2" s="328"/>
      <c r="H2" s="328"/>
      <c r="I2" s="328"/>
      <c r="J2" s="328"/>
      <c r="K2" s="328"/>
      <c r="L2" s="328"/>
      <c r="M2" s="328"/>
      <c r="N2" s="183"/>
      <c r="O2" s="184"/>
      <c r="T2" s="266"/>
      <c r="Y2" s="46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</row>
    <row r="3" spans="1:58" ht="18.75" hidden="1" customHeight="1" outlineLevel="1" x14ac:dyDescent="0.4">
      <c r="D3" s="317" t="s">
        <v>638</v>
      </c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9"/>
      <c r="S3" s="239"/>
      <c r="T3" s="266"/>
      <c r="W3" s="186" t="s">
        <v>352</v>
      </c>
      <c r="Z3" s="186" t="s">
        <v>353</v>
      </c>
      <c r="AA3" s="41"/>
      <c r="AB3" s="41"/>
      <c r="AC3" s="41" t="s">
        <v>354</v>
      </c>
      <c r="AD3" s="41" t="s">
        <v>355</v>
      </c>
      <c r="AE3" s="41" t="s">
        <v>356</v>
      </c>
      <c r="AH3" s="262"/>
      <c r="AI3" s="261"/>
      <c r="AJ3" s="261"/>
      <c r="AK3" s="262"/>
      <c r="AL3" s="261"/>
      <c r="AM3" s="261"/>
      <c r="AN3" s="262"/>
      <c r="AO3" s="261"/>
      <c r="AP3" s="262"/>
      <c r="AQ3" s="261"/>
      <c r="AR3" s="262"/>
      <c r="AS3" s="261"/>
      <c r="AT3" s="262"/>
      <c r="AU3" s="261"/>
      <c r="AV3" s="262"/>
      <c r="AW3" s="261"/>
      <c r="AX3" s="262"/>
      <c r="AY3" s="261"/>
      <c r="AZ3" s="262"/>
      <c r="BA3" s="261"/>
      <c r="BB3" s="262"/>
      <c r="BC3" s="261"/>
      <c r="BD3" s="261"/>
      <c r="BE3" s="261"/>
      <c r="BF3" s="262"/>
    </row>
    <row r="4" spans="1:58" ht="22.2" hidden="1" outlineLevel="1" x14ac:dyDescent="0.4">
      <c r="D4" s="320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2"/>
      <c r="S4" s="239"/>
      <c r="T4" s="266"/>
      <c r="W4" s="187" t="s">
        <v>138</v>
      </c>
      <c r="Z4" s="188">
        <v>2873559730</v>
      </c>
      <c r="AA4" s="241"/>
      <c r="AB4" s="241"/>
      <c r="AC4" s="241">
        <f t="shared" ref="AC4:AC15" si="0">SUMIFS($AC$23:$AC$6815,$Z$23:$Z$6815,"01 확정",$G$23:$G$6815,W4)</f>
        <v>2873559730</v>
      </c>
      <c r="AD4" s="42">
        <f t="shared" ref="AD4:AD16" si="1">AC4-Z4</f>
        <v>0</v>
      </c>
      <c r="AE4" s="44"/>
      <c r="AH4" s="263"/>
      <c r="AI4" s="261"/>
      <c r="AJ4" s="261"/>
      <c r="AK4" s="263"/>
      <c r="AL4" s="261"/>
      <c r="AM4" s="261"/>
      <c r="AN4" s="263"/>
      <c r="AO4" s="261"/>
      <c r="AP4" s="263"/>
      <c r="AQ4" s="261"/>
      <c r="AR4" s="263"/>
      <c r="AS4" s="261"/>
      <c r="AT4" s="263"/>
      <c r="AU4" s="261"/>
      <c r="AV4" s="263"/>
      <c r="AW4" s="261"/>
      <c r="AX4" s="263"/>
      <c r="AY4" s="261"/>
      <c r="AZ4" s="263"/>
      <c r="BA4" s="261"/>
      <c r="BB4" s="263"/>
      <c r="BC4" s="261"/>
      <c r="BD4" s="261"/>
      <c r="BE4" s="261"/>
      <c r="BF4" s="263"/>
    </row>
    <row r="5" spans="1:58" ht="22.2" hidden="1" outlineLevel="1" x14ac:dyDescent="0.4">
      <c r="D5" s="320"/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2"/>
      <c r="S5" s="239"/>
      <c r="T5" s="266"/>
      <c r="W5" s="187" t="s">
        <v>159</v>
      </c>
      <c r="Z5" s="188">
        <v>3081839442</v>
      </c>
      <c r="AA5" s="241"/>
      <c r="AB5" s="241"/>
      <c r="AC5" s="241">
        <f t="shared" si="0"/>
        <v>3081839442</v>
      </c>
      <c r="AD5" s="42">
        <f t="shared" si="1"/>
        <v>0</v>
      </c>
      <c r="AE5" s="44"/>
      <c r="AH5" s="263"/>
      <c r="AI5" s="261"/>
      <c r="AJ5" s="261"/>
      <c r="AK5" s="263"/>
      <c r="AL5" s="261"/>
      <c r="AM5" s="261"/>
      <c r="AN5" s="263"/>
      <c r="AO5" s="261"/>
      <c r="AP5" s="263"/>
      <c r="AQ5" s="261"/>
      <c r="AR5" s="263"/>
      <c r="AS5" s="261"/>
      <c r="AT5" s="263"/>
      <c r="AU5" s="261"/>
      <c r="AV5" s="263"/>
      <c r="AW5" s="261"/>
      <c r="AX5" s="263"/>
      <c r="AY5" s="261"/>
      <c r="AZ5" s="263"/>
      <c r="BA5" s="261"/>
      <c r="BB5" s="263"/>
      <c r="BC5" s="261"/>
      <c r="BD5" s="261"/>
      <c r="BE5" s="261"/>
      <c r="BF5" s="263"/>
    </row>
    <row r="6" spans="1:58" ht="22.2" hidden="1" outlineLevel="1" x14ac:dyDescent="0.4">
      <c r="D6" s="320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2"/>
      <c r="S6" s="239"/>
      <c r="T6" s="266"/>
      <c r="W6" s="187" t="s">
        <v>196</v>
      </c>
      <c r="Z6" s="188">
        <v>1625030800</v>
      </c>
      <c r="AA6" s="241"/>
      <c r="AB6" s="241"/>
      <c r="AC6" s="241">
        <f t="shared" si="0"/>
        <v>1625030800</v>
      </c>
      <c r="AD6" s="42">
        <f t="shared" si="1"/>
        <v>0</v>
      </c>
      <c r="AE6" s="44"/>
      <c r="AH6" s="263"/>
      <c r="AI6" s="261"/>
      <c r="AJ6" s="261"/>
      <c r="AK6" s="263"/>
      <c r="AL6" s="261"/>
      <c r="AM6" s="261"/>
      <c r="AN6" s="263"/>
      <c r="AO6" s="261"/>
      <c r="AP6" s="263"/>
      <c r="AQ6" s="261"/>
      <c r="AR6" s="263"/>
      <c r="AS6" s="261"/>
      <c r="AT6" s="263"/>
      <c r="AU6" s="261"/>
      <c r="AV6" s="263"/>
      <c r="AW6" s="261"/>
      <c r="AX6" s="263"/>
      <c r="AY6" s="261"/>
      <c r="AZ6" s="263"/>
      <c r="BA6" s="261"/>
      <c r="BB6" s="263"/>
      <c r="BC6" s="261"/>
      <c r="BD6" s="261"/>
      <c r="BE6" s="261"/>
      <c r="BF6" s="263"/>
    </row>
    <row r="7" spans="1:58" ht="22.2" hidden="1" outlineLevel="1" x14ac:dyDescent="0.4">
      <c r="D7" s="320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2"/>
      <c r="S7" s="239"/>
      <c r="T7" s="266"/>
      <c r="W7" s="187" t="s">
        <v>229</v>
      </c>
      <c r="Z7" s="188">
        <v>2441965819</v>
      </c>
      <c r="AA7" s="241"/>
      <c r="AB7" s="241"/>
      <c r="AC7" s="241">
        <f t="shared" si="0"/>
        <v>2441965819</v>
      </c>
      <c r="AD7" s="42">
        <f t="shared" si="1"/>
        <v>0</v>
      </c>
      <c r="AE7" s="44"/>
      <c r="AH7" s="263"/>
      <c r="AI7" s="261"/>
      <c r="AJ7" s="261"/>
      <c r="AK7" s="263"/>
      <c r="AL7" s="261"/>
      <c r="AM7" s="261"/>
      <c r="AN7" s="263"/>
      <c r="AO7" s="261"/>
      <c r="AP7" s="263"/>
      <c r="AQ7" s="261"/>
      <c r="AR7" s="263"/>
      <c r="AS7" s="261"/>
      <c r="AT7" s="263"/>
      <c r="AU7" s="261"/>
      <c r="AV7" s="263"/>
      <c r="AW7" s="261"/>
      <c r="AX7" s="263"/>
      <c r="AY7" s="261"/>
      <c r="AZ7" s="263"/>
      <c r="BA7" s="261"/>
      <c r="BB7" s="263"/>
      <c r="BC7" s="261"/>
      <c r="BD7" s="261"/>
      <c r="BE7" s="261"/>
      <c r="BF7" s="263"/>
    </row>
    <row r="8" spans="1:58" ht="22.2" hidden="1" outlineLevel="1" x14ac:dyDescent="0.4">
      <c r="D8" s="320"/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2"/>
      <c r="S8" s="239"/>
      <c r="T8" s="266"/>
      <c r="W8" s="187" t="s">
        <v>249</v>
      </c>
      <c r="Z8" s="188">
        <v>1847980836</v>
      </c>
      <c r="AA8" s="241"/>
      <c r="AB8" s="241"/>
      <c r="AC8" s="241">
        <f t="shared" si="0"/>
        <v>1847980836</v>
      </c>
      <c r="AD8" s="42">
        <f t="shared" si="1"/>
        <v>0</v>
      </c>
      <c r="AE8" s="44"/>
      <c r="AH8" s="263"/>
      <c r="AI8" s="261"/>
      <c r="AJ8" s="261"/>
      <c r="AK8" s="263"/>
      <c r="AL8" s="261"/>
      <c r="AM8" s="261"/>
      <c r="AN8" s="263"/>
      <c r="AO8" s="261"/>
      <c r="AP8" s="263"/>
      <c r="AQ8" s="261"/>
      <c r="AR8" s="263"/>
      <c r="AS8" s="261"/>
      <c r="AT8" s="263"/>
      <c r="AU8" s="261"/>
      <c r="AV8" s="263"/>
      <c r="AW8" s="261"/>
      <c r="AX8" s="263"/>
      <c r="AY8" s="261"/>
      <c r="AZ8" s="263"/>
      <c r="BA8" s="261"/>
      <c r="BB8" s="263"/>
      <c r="BC8" s="261"/>
      <c r="BD8" s="261"/>
      <c r="BE8" s="261"/>
      <c r="BF8" s="263"/>
    </row>
    <row r="9" spans="1:58" ht="22.2" hidden="1" outlineLevel="1" x14ac:dyDescent="0.4">
      <c r="D9" s="320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2"/>
      <c r="S9" s="239"/>
      <c r="T9" s="266"/>
      <c r="W9" s="187" t="s">
        <v>689</v>
      </c>
      <c r="Z9" s="188">
        <v>909105673</v>
      </c>
      <c r="AA9" s="241"/>
      <c r="AB9" s="241"/>
      <c r="AC9" s="241">
        <f t="shared" si="0"/>
        <v>909105673</v>
      </c>
      <c r="AD9" s="42">
        <f t="shared" si="1"/>
        <v>0</v>
      </c>
      <c r="AE9" s="44"/>
      <c r="AH9" s="263"/>
      <c r="AI9" s="261"/>
      <c r="AJ9" s="261"/>
      <c r="AK9" s="263"/>
      <c r="AL9" s="261"/>
      <c r="AM9" s="261"/>
      <c r="AN9" s="263"/>
      <c r="AO9" s="261"/>
      <c r="AP9" s="263"/>
      <c r="AQ9" s="261"/>
      <c r="AR9" s="263"/>
      <c r="AS9" s="261"/>
      <c r="AT9" s="263"/>
      <c r="AU9" s="261"/>
      <c r="AV9" s="263"/>
      <c r="AW9" s="261"/>
      <c r="AX9" s="263"/>
      <c r="AY9" s="261"/>
      <c r="AZ9" s="263"/>
      <c r="BA9" s="261"/>
      <c r="BB9" s="263"/>
      <c r="BC9" s="261"/>
      <c r="BD9" s="261"/>
      <c r="BE9" s="261"/>
      <c r="BF9" s="263"/>
    </row>
    <row r="10" spans="1:58" ht="22.2" hidden="1" outlineLevel="1" x14ac:dyDescent="0.4">
      <c r="D10" s="320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2"/>
      <c r="S10" s="239"/>
      <c r="T10" s="266"/>
      <c r="W10" s="187" t="s">
        <v>728</v>
      </c>
      <c r="Z10" s="188">
        <v>230427986</v>
      </c>
      <c r="AA10" s="241"/>
      <c r="AB10" s="241"/>
      <c r="AC10" s="241">
        <f t="shared" si="0"/>
        <v>230427986</v>
      </c>
      <c r="AD10" s="42">
        <f t="shared" si="1"/>
        <v>0</v>
      </c>
      <c r="AE10" s="44"/>
      <c r="AH10" s="263"/>
      <c r="AI10" s="261"/>
      <c r="AJ10" s="261"/>
      <c r="AK10" s="263"/>
      <c r="AL10" s="261"/>
      <c r="AM10" s="261"/>
      <c r="AN10" s="263"/>
      <c r="AO10" s="261"/>
      <c r="AP10" s="263"/>
      <c r="AQ10" s="261"/>
      <c r="AR10" s="263"/>
      <c r="AS10" s="261"/>
      <c r="AT10" s="263"/>
      <c r="AU10" s="261"/>
      <c r="AV10" s="263"/>
      <c r="AW10" s="261"/>
      <c r="AX10" s="263"/>
      <c r="AY10" s="261"/>
      <c r="AZ10" s="263"/>
      <c r="BA10" s="261"/>
      <c r="BB10" s="263"/>
      <c r="BC10" s="261"/>
      <c r="BD10" s="261"/>
      <c r="BE10" s="261"/>
      <c r="BF10" s="263"/>
    </row>
    <row r="11" spans="1:58" ht="22.2" hidden="1" outlineLevel="1" x14ac:dyDescent="0.4">
      <c r="D11" s="320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2"/>
      <c r="S11" s="239"/>
      <c r="T11" s="266"/>
      <c r="W11" s="187" t="s">
        <v>733</v>
      </c>
      <c r="Z11" s="188">
        <v>1497080925</v>
      </c>
      <c r="AA11" s="241"/>
      <c r="AB11" s="241"/>
      <c r="AC11" s="241">
        <f t="shared" si="0"/>
        <v>1497080925</v>
      </c>
      <c r="AD11" s="42">
        <f t="shared" si="1"/>
        <v>0</v>
      </c>
      <c r="AE11" s="44"/>
      <c r="AH11" s="263"/>
      <c r="AI11" s="261"/>
      <c r="AJ11" s="261"/>
      <c r="AK11" s="263"/>
      <c r="AL11" s="261"/>
      <c r="AM11" s="261"/>
      <c r="AN11" s="263"/>
      <c r="AO11" s="261"/>
      <c r="AP11" s="263"/>
      <c r="AQ11" s="261"/>
      <c r="AR11" s="263"/>
      <c r="AS11" s="261"/>
      <c r="AT11" s="263"/>
      <c r="AU11" s="261"/>
      <c r="AV11" s="263"/>
      <c r="AW11" s="261"/>
      <c r="AX11" s="263"/>
      <c r="AY11" s="261"/>
      <c r="AZ11" s="263"/>
      <c r="BA11" s="261"/>
      <c r="BB11" s="263"/>
      <c r="BC11" s="261"/>
      <c r="BD11" s="261"/>
      <c r="BE11" s="261"/>
      <c r="BF11" s="263"/>
    </row>
    <row r="12" spans="1:58" ht="22.2" hidden="1" outlineLevel="1" x14ac:dyDescent="0.4">
      <c r="D12" s="320"/>
      <c r="E12" s="321"/>
      <c r="F12" s="321"/>
      <c r="G12" s="321"/>
      <c r="H12" s="321"/>
      <c r="I12" s="321"/>
      <c r="J12" s="321"/>
      <c r="K12" s="321"/>
      <c r="L12" s="321"/>
      <c r="M12" s="321"/>
      <c r="N12" s="321"/>
      <c r="O12" s="321"/>
      <c r="P12" s="321"/>
      <c r="Q12" s="321"/>
      <c r="R12" s="322"/>
      <c r="S12" s="239"/>
      <c r="T12" s="266"/>
      <c r="W12" s="187" t="s">
        <v>737</v>
      </c>
      <c r="Z12" s="188">
        <v>2018840642</v>
      </c>
      <c r="AA12" s="241"/>
      <c r="AB12" s="241"/>
      <c r="AC12" s="241">
        <f t="shared" si="0"/>
        <v>2019089113</v>
      </c>
      <c r="AD12" s="42">
        <f t="shared" si="1"/>
        <v>248471</v>
      </c>
      <c r="AE12" s="44"/>
      <c r="AH12" s="263"/>
      <c r="AI12" s="261"/>
      <c r="AJ12" s="261"/>
      <c r="AK12" s="263"/>
      <c r="AL12" s="261"/>
      <c r="AM12" s="261"/>
      <c r="AN12" s="263"/>
      <c r="AO12" s="261"/>
      <c r="AP12" s="263"/>
      <c r="AQ12" s="261"/>
      <c r="AR12" s="263"/>
      <c r="AS12" s="261"/>
      <c r="AT12" s="263"/>
      <c r="AU12" s="261"/>
      <c r="AV12" s="263"/>
      <c r="AW12" s="261"/>
      <c r="AX12" s="263"/>
      <c r="AY12" s="261"/>
      <c r="AZ12" s="263"/>
      <c r="BA12" s="261"/>
      <c r="BB12" s="263"/>
      <c r="BC12" s="261"/>
      <c r="BD12" s="261"/>
      <c r="BE12" s="261"/>
      <c r="BF12" s="263"/>
    </row>
    <row r="13" spans="1:58" ht="22.2" hidden="1" outlineLevel="1" x14ac:dyDescent="0.4"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2"/>
      <c r="S13" s="239"/>
      <c r="T13" s="266"/>
      <c r="W13" s="187"/>
      <c r="Z13" s="188">
        <v>0</v>
      </c>
      <c r="AA13" s="241"/>
      <c r="AB13" s="241"/>
      <c r="AC13" s="241">
        <f t="shared" si="0"/>
        <v>0</v>
      </c>
      <c r="AD13" s="42">
        <f t="shared" si="1"/>
        <v>0</v>
      </c>
      <c r="AE13" s="44"/>
      <c r="AH13" s="263"/>
      <c r="AI13" s="261"/>
      <c r="AJ13" s="261"/>
      <c r="AK13" s="263"/>
      <c r="AL13" s="261"/>
      <c r="AM13" s="261"/>
      <c r="AN13" s="263"/>
      <c r="AO13" s="261"/>
      <c r="AP13" s="263"/>
      <c r="AQ13" s="261"/>
      <c r="AR13" s="263"/>
      <c r="AS13" s="261"/>
      <c r="AT13" s="263"/>
      <c r="AU13" s="261"/>
      <c r="AV13" s="263"/>
      <c r="AW13" s="261"/>
      <c r="AX13" s="263"/>
      <c r="AY13" s="261"/>
      <c r="AZ13" s="263"/>
      <c r="BA13" s="261"/>
      <c r="BB13" s="263"/>
      <c r="BC13" s="261"/>
      <c r="BD13" s="261"/>
      <c r="BE13" s="261"/>
      <c r="BF13" s="263"/>
    </row>
    <row r="14" spans="1:58" ht="21.6" hidden="1" customHeight="1" outlineLevel="1" x14ac:dyDescent="0.4">
      <c r="D14" s="323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239"/>
      <c r="T14" s="266"/>
      <c r="W14" s="187"/>
      <c r="Z14" s="188">
        <v>0</v>
      </c>
      <c r="AA14" s="241"/>
      <c r="AB14" s="241"/>
      <c r="AC14" s="241">
        <f t="shared" si="0"/>
        <v>0</v>
      </c>
      <c r="AD14" s="42">
        <f t="shared" si="1"/>
        <v>0</v>
      </c>
      <c r="AE14" s="44"/>
      <c r="AH14" s="263"/>
      <c r="AI14" s="261"/>
      <c r="AJ14" s="261"/>
      <c r="AK14" s="263"/>
      <c r="AL14" s="261"/>
      <c r="AM14" s="261"/>
      <c r="AN14" s="263"/>
      <c r="AO14" s="261"/>
      <c r="AP14" s="263"/>
      <c r="AQ14" s="261"/>
      <c r="AR14" s="263"/>
      <c r="AS14" s="261"/>
      <c r="AT14" s="263"/>
      <c r="AU14" s="261"/>
      <c r="AV14" s="263"/>
      <c r="AW14" s="261"/>
      <c r="AX14" s="263"/>
      <c r="AY14" s="261"/>
      <c r="AZ14" s="263"/>
      <c r="BA14" s="261"/>
      <c r="BB14" s="263"/>
      <c r="BC14" s="261"/>
      <c r="BD14" s="261"/>
      <c r="BE14" s="261"/>
      <c r="BF14" s="263"/>
    </row>
    <row r="15" spans="1:58" ht="21.6" hidden="1" customHeight="1" outlineLevel="1" x14ac:dyDescent="0.4">
      <c r="A15" s="208"/>
      <c r="D15" s="224"/>
      <c r="E15" s="224"/>
      <c r="F15" s="237"/>
      <c r="G15" s="237"/>
      <c r="H15" s="306"/>
      <c r="I15" s="249"/>
      <c r="J15" s="224"/>
      <c r="K15" s="270"/>
      <c r="L15" s="306"/>
      <c r="M15" s="224"/>
      <c r="N15" s="224"/>
      <c r="O15" s="224"/>
      <c r="P15" s="224"/>
      <c r="Q15" s="224"/>
      <c r="R15" s="224"/>
      <c r="S15" s="239"/>
      <c r="T15" s="266"/>
      <c r="W15" s="226"/>
      <c r="Z15" s="227">
        <v>0</v>
      </c>
      <c r="AA15" s="242"/>
      <c r="AB15" s="242"/>
      <c r="AC15" s="242">
        <f t="shared" si="0"/>
        <v>0</v>
      </c>
      <c r="AD15" s="228">
        <f t="shared" si="1"/>
        <v>0</v>
      </c>
      <c r="AE15" s="44"/>
      <c r="AH15" s="263"/>
      <c r="AI15" s="261"/>
      <c r="AJ15" s="261"/>
      <c r="AK15" s="263"/>
      <c r="AL15" s="261"/>
      <c r="AM15" s="261"/>
      <c r="AN15" s="263"/>
      <c r="AO15" s="261"/>
      <c r="AP15" s="263"/>
      <c r="AQ15" s="261"/>
      <c r="AR15" s="263"/>
      <c r="AS15" s="261"/>
      <c r="AT15" s="263"/>
      <c r="AU15" s="261"/>
      <c r="AV15" s="263"/>
      <c r="AW15" s="261"/>
      <c r="AX15" s="263"/>
      <c r="AY15" s="261"/>
      <c r="AZ15" s="263"/>
      <c r="BA15" s="261"/>
      <c r="BB15" s="263"/>
      <c r="BC15" s="261"/>
      <c r="BD15" s="261"/>
      <c r="BE15" s="261"/>
      <c r="BF15" s="263"/>
    </row>
    <row r="16" spans="1:58" hidden="1" outlineLevel="1" x14ac:dyDescent="0.4">
      <c r="W16" s="189" t="s">
        <v>317</v>
      </c>
      <c r="Z16" s="243">
        <v>16525831853</v>
      </c>
      <c r="AA16" s="243"/>
      <c r="AB16" s="243"/>
      <c r="AC16" s="243">
        <f>SUM(AC4:AC15)</f>
        <v>16526080324</v>
      </c>
      <c r="AD16" s="43">
        <f t="shared" si="1"/>
        <v>248471</v>
      </c>
      <c r="AE16" s="45"/>
      <c r="AH16" s="264"/>
      <c r="AI16" s="261"/>
      <c r="AJ16" s="261"/>
      <c r="AK16" s="264"/>
      <c r="AL16" s="261"/>
      <c r="AM16" s="261"/>
      <c r="AN16" s="264"/>
      <c r="AO16" s="261"/>
      <c r="AP16" s="264"/>
      <c r="AQ16" s="261"/>
      <c r="AR16" s="264"/>
      <c r="AS16" s="261"/>
      <c r="AT16" s="264"/>
      <c r="AU16" s="261"/>
      <c r="AV16" s="264"/>
      <c r="AW16" s="261"/>
      <c r="AX16" s="264"/>
      <c r="AY16" s="261"/>
      <c r="AZ16" s="264"/>
      <c r="BA16" s="261"/>
      <c r="BB16" s="264"/>
      <c r="BC16" s="261"/>
      <c r="BD16" s="261"/>
      <c r="BE16" s="261"/>
      <c r="BF16" s="264"/>
    </row>
    <row r="17" spans="1:60" hidden="1" outlineLevel="1" x14ac:dyDescent="0.4"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1"/>
      <c r="AS17" s="261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60" collapsed="1" x14ac:dyDescent="0.4">
      <c r="U18" s="236"/>
      <c r="V18" s="236"/>
      <c r="W18" s="236"/>
      <c r="X18" s="236"/>
    </row>
    <row r="19" spans="1:60" x14ac:dyDescent="0.4">
      <c r="U19" s="235"/>
      <c r="V19" s="235"/>
      <c r="W19" s="235"/>
      <c r="X19" s="235"/>
      <c r="AD19" s="14" t="s">
        <v>730</v>
      </c>
    </row>
    <row r="20" spans="1:60" x14ac:dyDescent="0.4">
      <c r="E20" s="246"/>
      <c r="F20" s="246"/>
      <c r="G20" s="246"/>
      <c r="H20" s="246"/>
      <c r="I20" s="246"/>
      <c r="J20" s="6"/>
      <c r="V20" s="326"/>
      <c r="W20" s="238"/>
      <c r="X20" s="238"/>
    </row>
    <row r="21" spans="1:60" ht="19.2" x14ac:dyDescent="0.4">
      <c r="T21" s="267"/>
      <c r="V21" s="327"/>
      <c r="W21" s="284" t="s">
        <v>813</v>
      </c>
      <c r="X21" s="284" t="s">
        <v>814</v>
      </c>
      <c r="AA21" s="308" t="s">
        <v>844</v>
      </c>
      <c r="AB21" s="308" t="s">
        <v>847</v>
      </c>
    </row>
    <row r="22" spans="1:60" ht="20.399999999999999" customHeight="1" thickBot="1" x14ac:dyDescent="0.45">
      <c r="A22" s="6">
        <f>SUBTOTAL(3,A24:A2002)</f>
        <v>7</v>
      </c>
      <c r="H22" s="308" t="s">
        <v>844</v>
      </c>
      <c r="J22" s="190"/>
      <c r="K22" s="191"/>
      <c r="L22" s="308" t="s">
        <v>844</v>
      </c>
      <c r="M22" s="191"/>
      <c r="N22" s="190" t="s">
        <v>4</v>
      </c>
      <c r="O22" s="190" t="s">
        <v>5</v>
      </c>
      <c r="P22" s="190" t="s">
        <v>5</v>
      </c>
      <c r="Q22" s="190"/>
      <c r="R22" s="190"/>
      <c r="S22" s="190"/>
      <c r="T22" s="267" t="s">
        <v>768</v>
      </c>
      <c r="U22" s="192">
        <f>SUBTOTAL(9,U724:U1048576)</f>
        <v>0</v>
      </c>
      <c r="V22" s="192">
        <f>SUBTOTAL(9,V724:V1048576)</f>
        <v>0</v>
      </c>
      <c r="W22" s="192">
        <f>SUBTOTAL(9,W24:W1048576)</f>
        <v>2031749553</v>
      </c>
      <c r="X22" s="192">
        <f>SUBTOTAL(9,X24:X1048576)</f>
        <v>0</v>
      </c>
      <c r="Y22" s="244"/>
      <c r="Z22" s="240" t="s">
        <v>639</v>
      </c>
      <c r="AA22" s="311"/>
      <c r="AB22" s="311"/>
      <c r="AC22" s="8">
        <f t="shared" ref="AC22:AN22" si="2">SUBTOTAL(9,AC24:AC1048576)</f>
        <v>2019089113</v>
      </c>
      <c r="AD22" s="8">
        <f t="shared" si="2"/>
        <v>2018840642</v>
      </c>
      <c r="AE22" s="8">
        <f t="shared" si="2"/>
        <v>248471</v>
      </c>
      <c r="AF22" s="7">
        <f t="shared" si="2"/>
        <v>140641798</v>
      </c>
      <c r="AG22" s="269">
        <f t="shared" si="2"/>
        <v>150135690</v>
      </c>
      <c r="AH22" s="7">
        <f t="shared" si="2"/>
        <v>0</v>
      </c>
      <c r="AI22" s="7">
        <f t="shared" si="2"/>
        <v>121091500</v>
      </c>
      <c r="AJ22" s="269">
        <f t="shared" si="2"/>
        <v>120272200</v>
      </c>
      <c r="AK22" s="7">
        <f t="shared" si="2"/>
        <v>0</v>
      </c>
      <c r="AL22" s="7">
        <f t="shared" si="2"/>
        <v>166932752</v>
      </c>
      <c r="AM22" s="269">
        <f t="shared" si="2"/>
        <v>166932752</v>
      </c>
      <c r="AN22" s="7">
        <f t="shared" si="2"/>
        <v>0</v>
      </c>
      <c r="AO22" s="7">
        <v>3264582830</v>
      </c>
      <c r="AP22" s="7">
        <f t="shared" ref="AP22:BE22" si="3">SUBTOTAL(9,AP24:AP1048576)</f>
        <v>0</v>
      </c>
      <c r="AQ22" s="7">
        <f t="shared" si="3"/>
        <v>183000000</v>
      </c>
      <c r="AR22" s="7">
        <f t="shared" si="3"/>
        <v>0</v>
      </c>
      <c r="AS22" s="7">
        <f t="shared" si="3"/>
        <v>165500000</v>
      </c>
      <c r="AT22" s="7">
        <f t="shared" si="3"/>
        <v>0</v>
      </c>
      <c r="AU22" s="7">
        <f t="shared" si="3"/>
        <v>163000000</v>
      </c>
      <c r="AV22" s="7">
        <f t="shared" si="3"/>
        <v>0</v>
      </c>
      <c r="AW22" s="7">
        <f t="shared" si="3"/>
        <v>163000000</v>
      </c>
      <c r="AX22" s="7">
        <f t="shared" si="3"/>
        <v>0</v>
      </c>
      <c r="AY22" s="7">
        <f t="shared" si="3"/>
        <v>165500000</v>
      </c>
      <c r="AZ22" s="7">
        <f t="shared" si="3"/>
        <v>0</v>
      </c>
      <c r="BA22" s="7">
        <f t="shared" si="3"/>
        <v>163000000</v>
      </c>
      <c r="BB22" s="7">
        <f t="shared" si="3"/>
        <v>0</v>
      </c>
      <c r="BC22" s="7">
        <f t="shared" si="3"/>
        <v>163000000</v>
      </c>
      <c r="BD22" s="7">
        <f t="shared" si="3"/>
        <v>0</v>
      </c>
      <c r="BE22" s="7">
        <f t="shared" si="3"/>
        <v>272500000</v>
      </c>
      <c r="BF22" s="7"/>
    </row>
    <row r="23" spans="1:60" s="204" customFormat="1" ht="42" customHeight="1" x14ac:dyDescent="0.4">
      <c r="A23" s="9" t="s">
        <v>626</v>
      </c>
      <c r="B23" s="167" t="s">
        <v>6</v>
      </c>
      <c r="C23" s="167" t="s">
        <v>7</v>
      </c>
      <c r="D23" s="47" t="s">
        <v>358</v>
      </c>
      <c r="E23" s="47" t="s">
        <v>357</v>
      </c>
      <c r="F23" s="252" t="s">
        <v>637</v>
      </c>
      <c r="G23" s="259" t="s">
        <v>718</v>
      </c>
      <c r="H23" s="309" t="s">
        <v>845</v>
      </c>
      <c r="I23" s="250" t="s">
        <v>684</v>
      </c>
      <c r="J23" s="251" t="s">
        <v>8</v>
      </c>
      <c r="K23" s="48" t="s">
        <v>810</v>
      </c>
      <c r="L23" s="310" t="s">
        <v>846</v>
      </c>
      <c r="M23" s="48" t="s">
        <v>9</v>
      </c>
      <c r="N23" s="38" t="s">
        <v>558</v>
      </c>
      <c r="O23" s="37" t="s">
        <v>10</v>
      </c>
      <c r="P23" s="37" t="s">
        <v>11</v>
      </c>
      <c r="Q23" s="37" t="s">
        <v>12</v>
      </c>
      <c r="R23" s="48" t="s">
        <v>13</v>
      </c>
      <c r="S23" s="39" t="s">
        <v>642</v>
      </c>
      <c r="T23" s="268" t="s">
        <v>769</v>
      </c>
      <c r="U23" s="40" t="s">
        <v>14</v>
      </c>
      <c r="V23" s="40" t="s">
        <v>15</v>
      </c>
      <c r="W23" s="282" t="s">
        <v>811</v>
      </c>
      <c r="X23" s="283" t="s">
        <v>812</v>
      </c>
      <c r="Y23" s="245" t="s">
        <v>16</v>
      </c>
      <c r="Z23" s="10" t="s">
        <v>640</v>
      </c>
      <c r="AA23" s="312" t="s">
        <v>848</v>
      </c>
      <c r="AB23" s="312" t="s">
        <v>849</v>
      </c>
      <c r="AC23" s="11" t="s">
        <v>641</v>
      </c>
      <c r="AD23" s="11" t="s">
        <v>683</v>
      </c>
      <c r="AE23" s="11" t="s">
        <v>629</v>
      </c>
      <c r="AF23" s="182" t="s">
        <v>126</v>
      </c>
      <c r="AG23" s="265" t="s">
        <v>764</v>
      </c>
      <c r="AH23" s="182" t="s">
        <v>719</v>
      </c>
      <c r="AI23" s="182" t="s">
        <v>127</v>
      </c>
      <c r="AJ23" s="265" t="s">
        <v>788</v>
      </c>
      <c r="AK23" s="182" t="s">
        <v>719</v>
      </c>
      <c r="AL23" s="182" t="s">
        <v>128</v>
      </c>
      <c r="AM23" s="315" t="s">
        <v>864</v>
      </c>
      <c r="AN23" s="182" t="s">
        <v>719</v>
      </c>
      <c r="AO23" s="182" t="s">
        <v>643</v>
      </c>
      <c r="AP23" s="182" t="s">
        <v>719</v>
      </c>
      <c r="AQ23" s="182" t="s">
        <v>129</v>
      </c>
      <c r="AR23" s="182" t="s">
        <v>719</v>
      </c>
      <c r="AS23" s="182" t="s">
        <v>130</v>
      </c>
      <c r="AT23" s="182" t="s">
        <v>719</v>
      </c>
      <c r="AU23" s="182" t="s">
        <v>131</v>
      </c>
      <c r="AV23" s="182" t="s">
        <v>719</v>
      </c>
      <c r="AW23" s="182" t="s">
        <v>132</v>
      </c>
      <c r="AX23" s="182" t="s">
        <v>719</v>
      </c>
      <c r="AY23" s="182" t="s">
        <v>133</v>
      </c>
      <c r="AZ23" s="182" t="s">
        <v>719</v>
      </c>
      <c r="BA23" s="182" t="s">
        <v>134</v>
      </c>
      <c r="BB23" s="182" t="s">
        <v>719</v>
      </c>
      <c r="BC23" s="182" t="s">
        <v>135</v>
      </c>
      <c r="BD23" s="182" t="s">
        <v>719</v>
      </c>
      <c r="BE23" s="182" t="s">
        <v>136</v>
      </c>
      <c r="BF23" s="182" t="s">
        <v>719</v>
      </c>
    </row>
    <row r="24" spans="1:60" s="305" customFormat="1" ht="16.5" hidden="1" customHeight="1" x14ac:dyDescent="0.4">
      <c r="A24" s="285">
        <v>1</v>
      </c>
      <c r="B24" s="286"/>
      <c r="C24" s="286"/>
      <c r="D24" s="287" t="s">
        <v>92</v>
      </c>
      <c r="E24" s="287" t="s">
        <v>184</v>
      </c>
      <c r="F24" s="288" t="s">
        <v>92</v>
      </c>
      <c r="G24" s="289" t="s">
        <v>138</v>
      </c>
      <c r="H24" s="307"/>
      <c r="I24" s="290"/>
      <c r="J24" s="291" t="s">
        <v>661</v>
      </c>
      <c r="K24" s="287"/>
      <c r="L24" s="287"/>
      <c r="M24" s="287">
        <v>8136</v>
      </c>
      <c r="N24" s="287" t="s">
        <v>32</v>
      </c>
      <c r="O24" s="287" t="s">
        <v>43</v>
      </c>
      <c r="P24" s="287" t="s">
        <v>98</v>
      </c>
      <c r="Q24" s="287"/>
      <c r="R24" s="287" t="s">
        <v>29</v>
      </c>
      <c r="S24" s="292" t="s">
        <v>29</v>
      </c>
      <c r="T24" s="293"/>
      <c r="U24" s="294">
        <v>0</v>
      </c>
      <c r="V24" s="294">
        <v>0</v>
      </c>
      <c r="W24" s="295">
        <v>474310950</v>
      </c>
      <c r="X24" s="296"/>
      <c r="Y24" s="287" t="s">
        <v>28</v>
      </c>
      <c r="Z24" s="297" t="s">
        <v>28</v>
      </c>
      <c r="AA24" s="313"/>
      <c r="AB24" s="313"/>
      <c r="AC24" s="298">
        <f t="shared" ref="AC24:AC87" si="4">AG24+AJ24+AM24+AO24+AQ24+AS24+AU24+AW24+AY24+BA24+BC24+BE24</f>
        <v>529656400</v>
      </c>
      <c r="AD24" s="298">
        <v>529656400</v>
      </c>
      <c r="AE24" s="298">
        <f t="shared" ref="AE24:AE87" si="5">AC24-AD24</f>
        <v>0</v>
      </c>
      <c r="AF24" s="299">
        <v>0</v>
      </c>
      <c r="AG24" s="300">
        <v>5384500</v>
      </c>
      <c r="AH24" s="299"/>
      <c r="AI24" s="299">
        <v>3861900</v>
      </c>
      <c r="AJ24" s="300">
        <v>3861900</v>
      </c>
      <c r="AK24" s="299"/>
      <c r="AL24" s="301">
        <v>1000000</v>
      </c>
      <c r="AM24" s="314">
        <v>4410000</v>
      </c>
      <c r="AN24" s="301"/>
      <c r="AO24" s="302">
        <v>124000000</v>
      </c>
      <c r="AP24" s="301"/>
      <c r="AQ24" s="301">
        <v>4000000</v>
      </c>
      <c r="AR24" s="301"/>
      <c r="AS24" s="301">
        <v>4000000</v>
      </c>
      <c r="AT24" s="301"/>
      <c r="AU24" s="301">
        <v>124000000</v>
      </c>
      <c r="AV24" s="301"/>
      <c r="AW24" s="301">
        <v>4000000</v>
      </c>
      <c r="AX24" s="301"/>
      <c r="AY24" s="301">
        <v>4000000</v>
      </c>
      <c r="AZ24" s="301"/>
      <c r="BA24" s="301">
        <v>124000000</v>
      </c>
      <c r="BB24" s="301"/>
      <c r="BC24" s="301">
        <v>4000000</v>
      </c>
      <c r="BD24" s="301"/>
      <c r="BE24" s="301">
        <v>124000000</v>
      </c>
      <c r="BF24" s="301"/>
      <c r="BG24" s="303"/>
      <c r="BH24" s="304"/>
    </row>
    <row r="25" spans="1:60" s="305" customFormat="1" ht="16.5" hidden="1" customHeight="1" x14ac:dyDescent="0.4">
      <c r="A25" s="285">
        <v>2</v>
      </c>
      <c r="B25" s="286"/>
      <c r="C25" s="286"/>
      <c r="D25" s="287" t="s">
        <v>92</v>
      </c>
      <c r="E25" s="287" t="s">
        <v>138</v>
      </c>
      <c r="F25" s="288" t="s">
        <v>92</v>
      </c>
      <c r="G25" s="289" t="s">
        <v>138</v>
      </c>
      <c r="H25" s="307"/>
      <c r="I25" s="290"/>
      <c r="J25" s="291" t="s">
        <v>140</v>
      </c>
      <c r="K25" s="287"/>
      <c r="L25" s="287"/>
      <c r="M25" s="287">
        <v>16325</v>
      </c>
      <c r="N25" s="287" t="s">
        <v>32</v>
      </c>
      <c r="O25" s="287" t="s">
        <v>33</v>
      </c>
      <c r="P25" s="287" t="s">
        <v>44</v>
      </c>
      <c r="Q25" s="287" t="s">
        <v>19</v>
      </c>
      <c r="R25" s="287" t="s">
        <v>20</v>
      </c>
      <c r="S25" s="292" t="s">
        <v>20</v>
      </c>
      <c r="T25" s="293"/>
      <c r="U25" s="294">
        <v>20000000</v>
      </c>
      <c r="V25" s="294">
        <v>10000000</v>
      </c>
      <c r="W25" s="295"/>
      <c r="X25" s="296"/>
      <c r="Y25" s="287" t="s">
        <v>21</v>
      </c>
      <c r="Z25" s="297" t="s">
        <v>22</v>
      </c>
      <c r="AA25" s="313"/>
      <c r="AB25" s="313"/>
      <c r="AC25" s="298">
        <f t="shared" si="4"/>
        <v>0</v>
      </c>
      <c r="AD25" s="298">
        <v>0</v>
      </c>
      <c r="AE25" s="298">
        <f t="shared" si="5"/>
        <v>0</v>
      </c>
      <c r="AF25" s="299"/>
      <c r="AG25" s="300"/>
      <c r="AH25" s="299"/>
      <c r="AI25" s="299"/>
      <c r="AJ25" s="300"/>
      <c r="AK25" s="299"/>
      <c r="AL25" s="301"/>
      <c r="AM25" s="314"/>
      <c r="AN25" s="301"/>
      <c r="AO25" s="302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3"/>
      <c r="BH25" s="304"/>
    </row>
    <row r="26" spans="1:60" s="305" customFormat="1" ht="16.5" hidden="1" customHeight="1" x14ac:dyDescent="0.4">
      <c r="A26" s="285">
        <v>3</v>
      </c>
      <c r="B26" s="286"/>
      <c r="C26" s="286"/>
      <c r="D26" s="287" t="s">
        <v>92</v>
      </c>
      <c r="E26" s="287" t="s">
        <v>138</v>
      </c>
      <c r="F26" s="288" t="s">
        <v>92</v>
      </c>
      <c r="G26" s="289" t="s">
        <v>138</v>
      </c>
      <c r="H26" s="307"/>
      <c r="I26" s="290"/>
      <c r="J26" s="291" t="s">
        <v>140</v>
      </c>
      <c r="K26" s="287"/>
      <c r="L26" s="287"/>
      <c r="M26" s="287">
        <v>16325</v>
      </c>
      <c r="N26" s="287" t="s">
        <v>32</v>
      </c>
      <c r="O26" s="287" t="s">
        <v>33</v>
      </c>
      <c r="P26" s="287"/>
      <c r="Q26" s="287" t="s">
        <v>24</v>
      </c>
      <c r="R26" s="287" t="s">
        <v>221</v>
      </c>
      <c r="S26" s="292" t="s">
        <v>745</v>
      </c>
      <c r="T26" s="293"/>
      <c r="U26" s="294"/>
      <c r="V26" s="294">
        <v>10000000</v>
      </c>
      <c r="W26" s="295"/>
      <c r="X26" s="296"/>
      <c r="Y26" s="287" t="s">
        <v>544</v>
      </c>
      <c r="Z26" s="297" t="s">
        <v>21</v>
      </c>
      <c r="AA26" s="313"/>
      <c r="AB26" s="313"/>
      <c r="AC26" s="298">
        <f t="shared" si="4"/>
        <v>10000000</v>
      </c>
      <c r="AD26" s="298">
        <v>10000000</v>
      </c>
      <c r="AE26" s="298">
        <f t="shared" si="5"/>
        <v>0</v>
      </c>
      <c r="AF26" s="299"/>
      <c r="AG26" s="300"/>
      <c r="AH26" s="299"/>
      <c r="AI26" s="299"/>
      <c r="AJ26" s="300"/>
      <c r="AK26" s="299"/>
      <c r="AL26" s="301"/>
      <c r="AM26" s="314"/>
      <c r="AN26" s="301"/>
      <c r="AO26" s="302"/>
      <c r="AP26" s="301"/>
      <c r="AQ26" s="301"/>
      <c r="AR26" s="301"/>
      <c r="AS26" s="301"/>
      <c r="AT26" s="301"/>
      <c r="AU26" s="301"/>
      <c r="AV26" s="301"/>
      <c r="AW26" s="301"/>
      <c r="AX26" s="301"/>
      <c r="AY26" s="301"/>
      <c r="AZ26" s="301"/>
      <c r="BA26" s="301"/>
      <c r="BB26" s="301"/>
      <c r="BC26" s="301">
        <v>10000000</v>
      </c>
      <c r="BD26" s="301"/>
      <c r="BE26" s="301"/>
      <c r="BF26" s="301"/>
      <c r="BG26" s="303"/>
      <c r="BH26" s="304"/>
    </row>
    <row r="27" spans="1:60" s="305" customFormat="1" ht="16.5" hidden="1" customHeight="1" x14ac:dyDescent="0.4">
      <c r="A27" s="285">
        <v>4</v>
      </c>
      <c r="B27" s="286"/>
      <c r="C27" s="286"/>
      <c r="D27" s="287" t="s">
        <v>92</v>
      </c>
      <c r="E27" s="287" t="s">
        <v>138</v>
      </c>
      <c r="F27" s="288" t="s">
        <v>92</v>
      </c>
      <c r="G27" s="289" t="s">
        <v>138</v>
      </c>
      <c r="H27" s="307"/>
      <c r="I27" s="290"/>
      <c r="J27" s="291" t="s">
        <v>141</v>
      </c>
      <c r="K27" s="287"/>
      <c r="L27" s="287"/>
      <c r="M27" s="287">
        <v>46166</v>
      </c>
      <c r="N27" s="287" t="s">
        <v>32</v>
      </c>
      <c r="O27" s="287" t="s">
        <v>43</v>
      </c>
      <c r="P27" s="287" t="s">
        <v>44</v>
      </c>
      <c r="Q27" s="287" t="s">
        <v>24</v>
      </c>
      <c r="R27" s="287" t="s">
        <v>221</v>
      </c>
      <c r="S27" s="292" t="s">
        <v>745</v>
      </c>
      <c r="T27" s="293"/>
      <c r="U27" s="294">
        <v>178000000</v>
      </c>
      <c r="V27" s="294">
        <v>277000000</v>
      </c>
      <c r="W27" s="295">
        <v>277000000</v>
      </c>
      <c r="X27" s="296"/>
      <c r="Y27" s="287" t="s">
        <v>28</v>
      </c>
      <c r="Z27" s="297" t="s">
        <v>618</v>
      </c>
      <c r="AA27" s="313"/>
      <c r="AB27" s="313"/>
      <c r="AC27" s="298">
        <f t="shared" si="4"/>
        <v>127000000</v>
      </c>
      <c r="AD27" s="298">
        <v>127000000</v>
      </c>
      <c r="AE27" s="298">
        <f t="shared" si="5"/>
        <v>0</v>
      </c>
      <c r="AF27" s="299">
        <v>150000000</v>
      </c>
      <c r="AG27" s="300"/>
      <c r="AH27" s="299"/>
      <c r="AI27" s="299"/>
      <c r="AJ27" s="300"/>
      <c r="AK27" s="299"/>
      <c r="AL27" s="301"/>
      <c r="AM27" s="314"/>
      <c r="AN27" s="301"/>
      <c r="AO27" s="302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>
        <v>127000000</v>
      </c>
      <c r="BF27" s="301"/>
      <c r="BG27" s="303"/>
      <c r="BH27" s="304"/>
    </row>
    <row r="28" spans="1:60" s="305" customFormat="1" ht="16.5" hidden="1" customHeight="1" x14ac:dyDescent="0.4">
      <c r="A28" s="285">
        <v>5</v>
      </c>
      <c r="B28" s="286"/>
      <c r="C28" s="286"/>
      <c r="D28" s="287" t="s">
        <v>92</v>
      </c>
      <c r="E28" s="287" t="s">
        <v>138</v>
      </c>
      <c r="F28" s="288" t="s">
        <v>92</v>
      </c>
      <c r="G28" s="289" t="s">
        <v>138</v>
      </c>
      <c r="H28" s="307"/>
      <c r="I28" s="290"/>
      <c r="J28" s="291" t="s">
        <v>52</v>
      </c>
      <c r="K28" s="287"/>
      <c r="L28" s="287"/>
      <c r="M28" s="287">
        <v>4258</v>
      </c>
      <c r="N28" s="287" t="s">
        <v>32</v>
      </c>
      <c r="O28" s="287" t="s">
        <v>43</v>
      </c>
      <c r="P28" s="287"/>
      <c r="Q28" s="287" t="s">
        <v>49</v>
      </c>
      <c r="R28" s="287" t="s">
        <v>29</v>
      </c>
      <c r="S28" s="292" t="s">
        <v>29</v>
      </c>
      <c r="T28" s="293"/>
      <c r="U28" s="294">
        <v>617518800</v>
      </c>
      <c r="V28" s="294">
        <v>483128200</v>
      </c>
      <c r="W28" s="295">
        <v>470503009</v>
      </c>
      <c r="X28" s="296"/>
      <c r="Y28" s="287" t="s">
        <v>28</v>
      </c>
      <c r="Z28" s="297" t="s">
        <v>56</v>
      </c>
      <c r="AA28" s="313"/>
      <c r="AB28" s="313"/>
      <c r="AC28" s="298">
        <f t="shared" si="4"/>
        <v>480000000</v>
      </c>
      <c r="AD28" s="298">
        <v>480000000</v>
      </c>
      <c r="AE28" s="298">
        <f t="shared" si="5"/>
        <v>0</v>
      </c>
      <c r="AF28" s="299"/>
      <c r="AG28" s="300"/>
      <c r="AH28" s="299"/>
      <c r="AI28" s="299"/>
      <c r="AJ28" s="300"/>
      <c r="AK28" s="299"/>
      <c r="AL28" s="301"/>
      <c r="AM28" s="314"/>
      <c r="AN28" s="301"/>
      <c r="AO28" s="302"/>
      <c r="AP28" s="301"/>
      <c r="AQ28" s="301">
        <v>60000000</v>
      </c>
      <c r="AR28" s="301"/>
      <c r="AS28" s="301">
        <v>60000000</v>
      </c>
      <c r="AT28" s="301"/>
      <c r="AU28" s="301">
        <v>60000000</v>
      </c>
      <c r="AV28" s="301"/>
      <c r="AW28" s="301">
        <v>60000000</v>
      </c>
      <c r="AX28" s="301"/>
      <c r="AY28" s="301">
        <v>60000000</v>
      </c>
      <c r="AZ28" s="301"/>
      <c r="BA28" s="301">
        <v>60000000</v>
      </c>
      <c r="BB28" s="301"/>
      <c r="BC28" s="301">
        <v>60000000</v>
      </c>
      <c r="BD28" s="301"/>
      <c r="BE28" s="301">
        <v>60000000</v>
      </c>
      <c r="BF28" s="301"/>
      <c r="BG28" s="303"/>
      <c r="BH28" s="304"/>
    </row>
    <row r="29" spans="1:60" s="305" customFormat="1" ht="16.5" hidden="1" customHeight="1" x14ac:dyDescent="0.4">
      <c r="A29" s="285">
        <v>6</v>
      </c>
      <c r="B29" s="286"/>
      <c r="C29" s="286"/>
      <c r="D29" s="287" t="s">
        <v>92</v>
      </c>
      <c r="E29" s="287" t="s">
        <v>138</v>
      </c>
      <c r="F29" s="288" t="s">
        <v>92</v>
      </c>
      <c r="G29" s="289" t="s">
        <v>138</v>
      </c>
      <c r="H29" s="307"/>
      <c r="I29" s="290"/>
      <c r="J29" s="291" t="s">
        <v>52</v>
      </c>
      <c r="K29" s="287"/>
      <c r="L29" s="287"/>
      <c r="M29" s="287">
        <v>4258</v>
      </c>
      <c r="N29" s="287" t="s">
        <v>32</v>
      </c>
      <c r="O29" s="287" t="s">
        <v>43</v>
      </c>
      <c r="P29" s="287"/>
      <c r="Q29" s="287"/>
      <c r="R29" s="287" t="s">
        <v>20</v>
      </c>
      <c r="S29" s="292" t="s">
        <v>20</v>
      </c>
      <c r="T29" s="293"/>
      <c r="U29" s="294"/>
      <c r="V29" s="294"/>
      <c r="W29" s="295"/>
      <c r="X29" s="296"/>
      <c r="Y29" s="287"/>
      <c r="Z29" s="297" t="s">
        <v>28</v>
      </c>
      <c r="AA29" s="313"/>
      <c r="AB29" s="313"/>
      <c r="AC29" s="298">
        <f t="shared" si="4"/>
        <v>992000</v>
      </c>
      <c r="AD29" s="298">
        <v>992000</v>
      </c>
      <c r="AE29" s="298">
        <f t="shared" si="5"/>
        <v>0</v>
      </c>
      <c r="AF29" s="299"/>
      <c r="AG29" s="300"/>
      <c r="AH29" s="299"/>
      <c r="AI29" s="299">
        <v>992000</v>
      </c>
      <c r="AJ29" s="300">
        <v>992000</v>
      </c>
      <c r="AK29" s="299"/>
      <c r="AL29" s="301"/>
      <c r="AM29" s="314"/>
      <c r="AN29" s="301"/>
      <c r="AO29" s="302"/>
      <c r="AP29" s="301"/>
      <c r="AQ29" s="301"/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3"/>
      <c r="BH29" s="304"/>
    </row>
    <row r="30" spans="1:60" s="305" customFormat="1" ht="16.5" hidden="1" customHeight="1" x14ac:dyDescent="0.4">
      <c r="A30" s="285">
        <v>7</v>
      </c>
      <c r="B30" s="286"/>
      <c r="C30" s="286"/>
      <c r="D30" s="287" t="s">
        <v>92</v>
      </c>
      <c r="E30" s="287" t="s">
        <v>138</v>
      </c>
      <c r="F30" s="288" t="s">
        <v>92</v>
      </c>
      <c r="G30" s="289" t="s">
        <v>138</v>
      </c>
      <c r="H30" s="307"/>
      <c r="I30" s="290"/>
      <c r="J30" s="291" t="s">
        <v>52</v>
      </c>
      <c r="K30" s="287"/>
      <c r="L30" s="287"/>
      <c r="M30" s="287">
        <v>4258</v>
      </c>
      <c r="N30" s="287" t="s">
        <v>32</v>
      </c>
      <c r="O30" s="287" t="s">
        <v>43</v>
      </c>
      <c r="P30" s="287"/>
      <c r="Q30" s="287" t="s">
        <v>24</v>
      </c>
      <c r="R30" s="287" t="s">
        <v>221</v>
      </c>
      <c r="S30" s="292" t="s">
        <v>745</v>
      </c>
      <c r="T30" s="293"/>
      <c r="U30" s="294">
        <v>147079092</v>
      </c>
      <c r="V30" s="294">
        <v>122844528</v>
      </c>
      <c r="W30" s="295">
        <v>114723181</v>
      </c>
      <c r="X30" s="296"/>
      <c r="Y30" s="287" t="s">
        <v>28</v>
      </c>
      <c r="Z30" s="297" t="s">
        <v>56</v>
      </c>
      <c r="AA30" s="313"/>
      <c r="AB30" s="313"/>
      <c r="AC30" s="298">
        <f t="shared" si="4"/>
        <v>100000000</v>
      </c>
      <c r="AD30" s="298">
        <v>100000000</v>
      </c>
      <c r="AE30" s="298">
        <f t="shared" si="5"/>
        <v>0</v>
      </c>
      <c r="AF30" s="299"/>
      <c r="AG30" s="300"/>
      <c r="AH30" s="299"/>
      <c r="AI30" s="299"/>
      <c r="AJ30" s="300"/>
      <c r="AK30" s="299"/>
      <c r="AL30" s="301"/>
      <c r="AM30" s="314"/>
      <c r="AN30" s="301"/>
      <c r="AO30" s="302"/>
      <c r="AP30" s="301"/>
      <c r="AQ30" s="301"/>
      <c r="AR30" s="301"/>
      <c r="AS30" s="301"/>
      <c r="AT30" s="301"/>
      <c r="AU30" s="301">
        <v>50000000</v>
      </c>
      <c r="AV30" s="301"/>
      <c r="AW30" s="301"/>
      <c r="AX30" s="301"/>
      <c r="AY30" s="301"/>
      <c r="AZ30" s="301"/>
      <c r="BA30" s="301"/>
      <c r="BB30" s="301"/>
      <c r="BC30" s="301"/>
      <c r="BD30" s="301"/>
      <c r="BE30" s="301">
        <v>50000000</v>
      </c>
      <c r="BF30" s="301"/>
      <c r="BG30" s="303"/>
      <c r="BH30" s="304"/>
    </row>
    <row r="31" spans="1:60" s="305" customFormat="1" ht="16.5" hidden="1" customHeight="1" x14ac:dyDescent="0.4">
      <c r="A31" s="285">
        <v>8</v>
      </c>
      <c r="B31" s="286"/>
      <c r="C31" s="286"/>
      <c r="D31" s="287" t="s">
        <v>92</v>
      </c>
      <c r="E31" s="287" t="s">
        <v>138</v>
      </c>
      <c r="F31" s="288" t="s">
        <v>92</v>
      </c>
      <c r="G31" s="289" t="s">
        <v>138</v>
      </c>
      <c r="H31" s="307"/>
      <c r="I31" s="290"/>
      <c r="J31" s="291" t="s">
        <v>321</v>
      </c>
      <c r="K31" s="287"/>
      <c r="L31" s="287"/>
      <c r="M31" s="287">
        <v>8296</v>
      </c>
      <c r="N31" s="287" t="s">
        <v>23</v>
      </c>
      <c r="O31" s="287" t="s">
        <v>33</v>
      </c>
      <c r="P31" s="287"/>
      <c r="Q31" s="287" t="s">
        <v>19</v>
      </c>
      <c r="R31" s="287" t="s">
        <v>20</v>
      </c>
      <c r="S31" s="292" t="s">
        <v>20</v>
      </c>
      <c r="T31" s="293"/>
      <c r="U31" s="294"/>
      <c r="V31" s="294">
        <v>0</v>
      </c>
      <c r="W31" s="295"/>
      <c r="X31" s="296"/>
      <c r="Y31" s="287" t="s">
        <v>544</v>
      </c>
      <c r="Z31" s="297" t="s">
        <v>26</v>
      </c>
      <c r="AA31" s="313"/>
      <c r="AB31" s="313"/>
      <c r="AC31" s="298">
        <f t="shared" si="4"/>
        <v>10000000</v>
      </c>
      <c r="AD31" s="298">
        <v>10000000</v>
      </c>
      <c r="AE31" s="298">
        <f t="shared" si="5"/>
        <v>0</v>
      </c>
      <c r="AF31" s="299"/>
      <c r="AG31" s="300"/>
      <c r="AH31" s="299"/>
      <c r="AI31" s="299"/>
      <c r="AJ31" s="300"/>
      <c r="AK31" s="299"/>
      <c r="AL31" s="301"/>
      <c r="AM31" s="314"/>
      <c r="AN31" s="301"/>
      <c r="AO31" s="302"/>
      <c r="AP31" s="301"/>
      <c r="AQ31" s="301"/>
      <c r="AR31" s="301"/>
      <c r="AS31" s="301">
        <v>5000000</v>
      </c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>
        <v>5000000</v>
      </c>
      <c r="BF31" s="301"/>
      <c r="BG31" s="303"/>
      <c r="BH31" s="304"/>
    </row>
    <row r="32" spans="1:60" s="305" customFormat="1" ht="16.5" hidden="1" customHeight="1" x14ac:dyDescent="0.4">
      <c r="A32" s="285">
        <v>9</v>
      </c>
      <c r="B32" s="286"/>
      <c r="C32" s="286"/>
      <c r="D32" s="287" t="s">
        <v>92</v>
      </c>
      <c r="E32" s="287" t="s">
        <v>138</v>
      </c>
      <c r="F32" s="288" t="s">
        <v>92</v>
      </c>
      <c r="G32" s="289" t="s">
        <v>138</v>
      </c>
      <c r="H32" s="307"/>
      <c r="I32" s="290"/>
      <c r="J32" s="291" t="s">
        <v>321</v>
      </c>
      <c r="K32" s="287"/>
      <c r="L32" s="287"/>
      <c r="M32" s="287">
        <v>8296</v>
      </c>
      <c r="N32" s="287" t="s">
        <v>23</v>
      </c>
      <c r="O32" s="287" t="s">
        <v>33</v>
      </c>
      <c r="P32" s="287"/>
      <c r="Q32" s="287" t="s">
        <v>19</v>
      </c>
      <c r="R32" s="287" t="s">
        <v>349</v>
      </c>
      <c r="S32" s="292" t="s">
        <v>349</v>
      </c>
      <c r="T32" s="293"/>
      <c r="U32" s="294"/>
      <c r="V32" s="294">
        <v>0</v>
      </c>
      <c r="W32" s="295"/>
      <c r="X32" s="296"/>
      <c r="Y32" s="287" t="s">
        <v>544</v>
      </c>
      <c r="Z32" s="297" t="s">
        <v>26</v>
      </c>
      <c r="AA32" s="313"/>
      <c r="AB32" s="313"/>
      <c r="AC32" s="298">
        <f t="shared" si="4"/>
        <v>10000000</v>
      </c>
      <c r="AD32" s="298">
        <v>10000000</v>
      </c>
      <c r="AE32" s="298">
        <f t="shared" si="5"/>
        <v>0</v>
      </c>
      <c r="AF32" s="299"/>
      <c r="AG32" s="300"/>
      <c r="AH32" s="299"/>
      <c r="AI32" s="299"/>
      <c r="AJ32" s="300"/>
      <c r="AK32" s="299"/>
      <c r="AL32" s="301"/>
      <c r="AM32" s="314"/>
      <c r="AN32" s="301"/>
      <c r="AO32" s="302"/>
      <c r="AP32" s="301"/>
      <c r="AQ32" s="301"/>
      <c r="AR32" s="301"/>
      <c r="AS32" s="301">
        <v>5000000</v>
      </c>
      <c r="AT32" s="301"/>
      <c r="AU32" s="301"/>
      <c r="AV32" s="301"/>
      <c r="AW32" s="301"/>
      <c r="AX32" s="301"/>
      <c r="AY32" s="301"/>
      <c r="AZ32" s="301"/>
      <c r="BA32" s="301"/>
      <c r="BB32" s="301"/>
      <c r="BC32" s="301"/>
      <c r="BD32" s="301"/>
      <c r="BE32" s="301">
        <v>5000000</v>
      </c>
      <c r="BF32" s="301"/>
      <c r="BG32" s="303"/>
      <c r="BH32" s="304"/>
    </row>
    <row r="33" spans="1:60" s="305" customFormat="1" ht="16.5" hidden="1" customHeight="1" x14ac:dyDescent="0.4">
      <c r="A33" s="285">
        <v>10</v>
      </c>
      <c r="B33" s="286"/>
      <c r="C33" s="286"/>
      <c r="D33" s="287" t="s">
        <v>92</v>
      </c>
      <c r="E33" s="287" t="s">
        <v>138</v>
      </c>
      <c r="F33" s="288" t="s">
        <v>92</v>
      </c>
      <c r="G33" s="289" t="s">
        <v>138</v>
      </c>
      <c r="H33" s="307"/>
      <c r="I33" s="290"/>
      <c r="J33" s="291" t="s">
        <v>667</v>
      </c>
      <c r="K33" s="287"/>
      <c r="L33" s="287"/>
      <c r="M33" s="287">
        <v>7629</v>
      </c>
      <c r="N33" s="287" t="s">
        <v>32</v>
      </c>
      <c r="O33" s="287" t="s">
        <v>33</v>
      </c>
      <c r="P33" s="287"/>
      <c r="Q33" s="287"/>
      <c r="R33" s="287"/>
      <c r="S33" s="292" t="s">
        <v>745</v>
      </c>
      <c r="T33" s="293"/>
      <c r="U33" s="294">
        <v>0</v>
      </c>
      <c r="V33" s="294">
        <v>0</v>
      </c>
      <c r="W33" s="295"/>
      <c r="X33" s="296"/>
      <c r="Y33" s="287"/>
      <c r="Z33" s="297" t="s">
        <v>544</v>
      </c>
      <c r="AA33" s="313"/>
      <c r="AB33" s="313"/>
      <c r="AC33" s="298">
        <f t="shared" si="4"/>
        <v>100000000</v>
      </c>
      <c r="AD33" s="298">
        <v>100000000</v>
      </c>
      <c r="AE33" s="298">
        <f t="shared" si="5"/>
        <v>0</v>
      </c>
      <c r="AF33" s="299"/>
      <c r="AG33" s="300"/>
      <c r="AH33" s="299"/>
      <c r="AI33" s="299"/>
      <c r="AJ33" s="300"/>
      <c r="AK33" s="299"/>
      <c r="AL33" s="301"/>
      <c r="AM33" s="314"/>
      <c r="AN33" s="301"/>
      <c r="AO33" s="302"/>
      <c r="AP33" s="301"/>
      <c r="AQ33" s="301">
        <v>50000000</v>
      </c>
      <c r="AR33" s="301"/>
      <c r="AS33" s="301"/>
      <c r="AT33" s="301"/>
      <c r="AU33" s="301"/>
      <c r="AV33" s="301"/>
      <c r="AW33" s="301"/>
      <c r="AX33" s="301"/>
      <c r="AY33" s="301"/>
      <c r="AZ33" s="301"/>
      <c r="BA33" s="301"/>
      <c r="BB33" s="301"/>
      <c r="BC33" s="301"/>
      <c r="BD33" s="301"/>
      <c r="BE33" s="301">
        <v>50000000</v>
      </c>
      <c r="BF33" s="301"/>
      <c r="BG33" s="303"/>
      <c r="BH33" s="304"/>
    </row>
    <row r="34" spans="1:60" s="305" customFormat="1" ht="16.5" hidden="1" customHeight="1" x14ac:dyDescent="0.4">
      <c r="A34" s="285">
        <v>11</v>
      </c>
      <c r="B34" s="286"/>
      <c r="C34" s="286"/>
      <c r="D34" s="287" t="s">
        <v>92</v>
      </c>
      <c r="E34" s="287" t="s">
        <v>138</v>
      </c>
      <c r="F34" s="288" t="s">
        <v>92</v>
      </c>
      <c r="G34" s="289" t="s">
        <v>138</v>
      </c>
      <c r="H34" s="307"/>
      <c r="I34" s="290"/>
      <c r="J34" s="291" t="s">
        <v>146</v>
      </c>
      <c r="K34" s="287"/>
      <c r="L34" s="287"/>
      <c r="M34" s="287">
        <v>5862</v>
      </c>
      <c r="N34" s="287" t="s">
        <v>23</v>
      </c>
      <c r="O34" s="287" t="s">
        <v>117</v>
      </c>
      <c r="P34" s="287"/>
      <c r="Q34" s="287" t="s">
        <v>19</v>
      </c>
      <c r="R34" s="287" t="s">
        <v>20</v>
      </c>
      <c r="S34" s="292" t="s">
        <v>29</v>
      </c>
      <c r="T34" s="293" t="s">
        <v>798</v>
      </c>
      <c r="U34" s="294">
        <v>25178400</v>
      </c>
      <c r="V34" s="294">
        <v>39825700</v>
      </c>
      <c r="W34" s="295">
        <v>52338200</v>
      </c>
      <c r="X34" s="296"/>
      <c r="Y34" s="287" t="s">
        <v>28</v>
      </c>
      <c r="Z34" s="297" t="s">
        <v>28</v>
      </c>
      <c r="AA34" s="313"/>
      <c r="AB34" s="313"/>
      <c r="AC34" s="298">
        <f t="shared" si="4"/>
        <v>55970800</v>
      </c>
      <c r="AD34" s="298">
        <v>55970800</v>
      </c>
      <c r="AE34" s="298">
        <f t="shared" si="5"/>
        <v>0</v>
      </c>
      <c r="AF34" s="299">
        <v>5929000</v>
      </c>
      <c r="AG34" s="300">
        <v>5929000</v>
      </c>
      <c r="AH34" s="299"/>
      <c r="AI34" s="299">
        <v>5637800</v>
      </c>
      <c r="AJ34" s="300">
        <v>5637800</v>
      </c>
      <c r="AK34" s="299"/>
      <c r="AL34" s="301">
        <v>3904000</v>
      </c>
      <c r="AM34" s="314">
        <v>3904000</v>
      </c>
      <c r="AN34" s="301"/>
      <c r="AO34" s="302">
        <v>5000000</v>
      </c>
      <c r="AP34" s="301"/>
      <c r="AQ34" s="301">
        <v>3500000</v>
      </c>
      <c r="AR34" s="301"/>
      <c r="AS34" s="301">
        <v>3500000</v>
      </c>
      <c r="AT34" s="301"/>
      <c r="AU34" s="301">
        <v>3500000</v>
      </c>
      <c r="AV34" s="301"/>
      <c r="AW34" s="301">
        <v>5000000</v>
      </c>
      <c r="AX34" s="301"/>
      <c r="AY34" s="301">
        <v>5000000</v>
      </c>
      <c r="AZ34" s="301"/>
      <c r="BA34" s="301">
        <v>5000000</v>
      </c>
      <c r="BB34" s="301"/>
      <c r="BC34" s="301">
        <v>5000000</v>
      </c>
      <c r="BD34" s="301"/>
      <c r="BE34" s="301">
        <v>5000000</v>
      </c>
      <c r="BF34" s="301"/>
      <c r="BG34" s="303"/>
      <c r="BH34" s="304"/>
    </row>
    <row r="35" spans="1:60" s="305" customFormat="1" ht="16.5" hidden="1" customHeight="1" x14ac:dyDescent="0.4">
      <c r="A35" s="285">
        <v>12</v>
      </c>
      <c r="B35" s="286"/>
      <c r="C35" s="286"/>
      <c r="D35" s="287" t="s">
        <v>92</v>
      </c>
      <c r="E35" s="287" t="s">
        <v>138</v>
      </c>
      <c r="F35" s="288" t="s">
        <v>92</v>
      </c>
      <c r="G35" s="289" t="s">
        <v>138</v>
      </c>
      <c r="H35" s="307"/>
      <c r="I35" s="290"/>
      <c r="J35" s="291" t="s">
        <v>146</v>
      </c>
      <c r="K35" s="287"/>
      <c r="L35" s="287"/>
      <c r="M35" s="287">
        <v>5862</v>
      </c>
      <c r="N35" s="287" t="s">
        <v>23</v>
      </c>
      <c r="O35" s="287" t="s">
        <v>43</v>
      </c>
      <c r="P35" s="287"/>
      <c r="Q35" s="287" t="s">
        <v>30</v>
      </c>
      <c r="R35" s="287" t="s">
        <v>31</v>
      </c>
      <c r="S35" s="292" t="s">
        <v>31</v>
      </c>
      <c r="T35" s="293"/>
      <c r="U35" s="294" t="s">
        <v>97</v>
      </c>
      <c r="V35" s="294">
        <v>10000000</v>
      </c>
      <c r="W35" s="295">
        <v>13952000</v>
      </c>
      <c r="X35" s="296"/>
      <c r="Y35" s="287" t="s">
        <v>28</v>
      </c>
      <c r="Z35" s="297" t="s">
        <v>25</v>
      </c>
      <c r="AA35" s="313"/>
      <c r="AB35" s="313"/>
      <c r="AC35" s="298">
        <f t="shared" si="4"/>
        <v>10000000</v>
      </c>
      <c r="AD35" s="298">
        <v>10000000</v>
      </c>
      <c r="AE35" s="298">
        <f t="shared" si="5"/>
        <v>0</v>
      </c>
      <c r="AF35" s="299"/>
      <c r="AG35" s="300"/>
      <c r="AH35" s="299"/>
      <c r="AI35" s="299"/>
      <c r="AJ35" s="300"/>
      <c r="AK35" s="299"/>
      <c r="AL35" s="301"/>
      <c r="AM35" s="314"/>
      <c r="AN35" s="301"/>
      <c r="AO35" s="302"/>
      <c r="AP35" s="301"/>
      <c r="AQ35" s="301"/>
      <c r="AR35" s="301"/>
      <c r="AS35" s="301"/>
      <c r="AT35" s="301"/>
      <c r="AU35" s="301"/>
      <c r="AV35" s="301"/>
      <c r="AW35" s="301"/>
      <c r="AX35" s="301"/>
      <c r="AY35" s="301"/>
      <c r="AZ35" s="301"/>
      <c r="BA35" s="301"/>
      <c r="BB35" s="301"/>
      <c r="BC35" s="301"/>
      <c r="BD35" s="301"/>
      <c r="BE35" s="301">
        <v>10000000</v>
      </c>
      <c r="BF35" s="301"/>
      <c r="BG35" s="303"/>
      <c r="BH35" s="304"/>
    </row>
    <row r="36" spans="1:60" s="305" customFormat="1" ht="16.5" hidden="1" customHeight="1" x14ac:dyDescent="0.4">
      <c r="A36" s="285">
        <v>13</v>
      </c>
      <c r="B36" s="286"/>
      <c r="C36" s="286"/>
      <c r="D36" s="287" t="s">
        <v>92</v>
      </c>
      <c r="E36" s="287" t="s">
        <v>138</v>
      </c>
      <c r="F36" s="288" t="s">
        <v>92</v>
      </c>
      <c r="G36" s="289" t="s">
        <v>138</v>
      </c>
      <c r="H36" s="307"/>
      <c r="I36" s="290"/>
      <c r="J36" s="291" t="s">
        <v>146</v>
      </c>
      <c r="K36" s="287"/>
      <c r="L36" s="287"/>
      <c r="M36" s="287">
        <v>5862</v>
      </c>
      <c r="N36" s="287" t="s">
        <v>23</v>
      </c>
      <c r="O36" s="287" t="s">
        <v>33</v>
      </c>
      <c r="P36" s="287"/>
      <c r="Q36" s="287"/>
      <c r="R36" s="287"/>
      <c r="S36" s="292" t="s">
        <v>750</v>
      </c>
      <c r="T36" s="293"/>
      <c r="U36" s="294"/>
      <c r="V36" s="294"/>
      <c r="W36" s="295"/>
      <c r="X36" s="296"/>
      <c r="Y36" s="287"/>
      <c r="Z36" s="297" t="s">
        <v>28</v>
      </c>
      <c r="AA36" s="313"/>
      <c r="AB36" s="313"/>
      <c r="AC36" s="298">
        <f t="shared" si="4"/>
        <v>8000000</v>
      </c>
      <c r="AD36" s="298">
        <v>8000000</v>
      </c>
      <c r="AE36" s="298">
        <f t="shared" si="5"/>
        <v>0</v>
      </c>
      <c r="AF36" s="299"/>
      <c r="AG36" s="300"/>
      <c r="AH36" s="299"/>
      <c r="AI36" s="299"/>
      <c r="AJ36" s="300"/>
      <c r="AK36" s="299"/>
      <c r="AL36" s="301"/>
      <c r="AM36" s="314"/>
      <c r="AN36" s="301"/>
      <c r="AO36" s="302"/>
      <c r="AP36" s="301"/>
      <c r="AQ36" s="301">
        <v>1000000</v>
      </c>
      <c r="AR36" s="301"/>
      <c r="AS36" s="301">
        <v>1000000</v>
      </c>
      <c r="AT36" s="301"/>
      <c r="AU36" s="301">
        <v>1000000</v>
      </c>
      <c r="AV36" s="301"/>
      <c r="AW36" s="301">
        <v>1000000</v>
      </c>
      <c r="AX36" s="301"/>
      <c r="AY36" s="301">
        <v>1000000</v>
      </c>
      <c r="AZ36" s="301"/>
      <c r="BA36" s="301">
        <v>1000000</v>
      </c>
      <c r="BB36" s="301"/>
      <c r="BC36" s="301">
        <v>1000000</v>
      </c>
      <c r="BD36" s="301"/>
      <c r="BE36" s="301">
        <v>1000000</v>
      </c>
      <c r="BF36" s="301"/>
      <c r="BG36" s="303"/>
      <c r="BH36" s="304"/>
    </row>
    <row r="37" spans="1:60" s="305" customFormat="1" ht="16.5" hidden="1" customHeight="1" x14ac:dyDescent="0.4">
      <c r="A37" s="285">
        <v>14</v>
      </c>
      <c r="B37" s="286"/>
      <c r="C37" s="286"/>
      <c r="D37" s="287" t="s">
        <v>92</v>
      </c>
      <c r="E37" s="287" t="s">
        <v>138</v>
      </c>
      <c r="F37" s="288" t="s">
        <v>92</v>
      </c>
      <c r="G37" s="289" t="s">
        <v>138</v>
      </c>
      <c r="H37" s="307"/>
      <c r="I37" s="290"/>
      <c r="J37" s="291" t="s">
        <v>147</v>
      </c>
      <c r="K37" s="287"/>
      <c r="L37" s="287"/>
      <c r="M37" s="287">
        <v>45738</v>
      </c>
      <c r="N37" s="287" t="s">
        <v>32</v>
      </c>
      <c r="O37" s="287" t="s">
        <v>33</v>
      </c>
      <c r="P37" s="287" t="s">
        <v>44</v>
      </c>
      <c r="Q37" s="287" t="s">
        <v>19</v>
      </c>
      <c r="R37" s="287" t="s">
        <v>20</v>
      </c>
      <c r="S37" s="292" t="s">
        <v>29</v>
      </c>
      <c r="T37" s="293"/>
      <c r="U37" s="294" t="s">
        <v>97</v>
      </c>
      <c r="V37" s="294">
        <v>0</v>
      </c>
      <c r="W37" s="295"/>
      <c r="X37" s="296"/>
      <c r="Y37" s="287" t="s">
        <v>618</v>
      </c>
      <c r="Z37" s="297" t="s">
        <v>618</v>
      </c>
      <c r="AA37" s="313"/>
      <c r="AB37" s="313"/>
      <c r="AC37" s="298">
        <f t="shared" si="4"/>
        <v>100000000</v>
      </c>
      <c r="AD37" s="298">
        <v>100000000</v>
      </c>
      <c r="AE37" s="298">
        <f t="shared" si="5"/>
        <v>0</v>
      </c>
      <c r="AF37" s="299"/>
      <c r="AG37" s="300"/>
      <c r="AH37" s="299"/>
      <c r="AI37" s="299"/>
      <c r="AJ37" s="300"/>
      <c r="AK37" s="299"/>
      <c r="AL37" s="301"/>
      <c r="AM37" s="314"/>
      <c r="AN37" s="301"/>
      <c r="AO37" s="302"/>
      <c r="AP37" s="301"/>
      <c r="AQ37" s="301"/>
      <c r="AR37" s="301"/>
      <c r="AS37" s="301">
        <v>50000000</v>
      </c>
      <c r="AT37" s="301"/>
      <c r="AU37" s="301"/>
      <c r="AV37" s="301"/>
      <c r="AW37" s="301"/>
      <c r="AX37" s="301"/>
      <c r="AY37" s="301"/>
      <c r="AZ37" s="301"/>
      <c r="BA37" s="301"/>
      <c r="BB37" s="301"/>
      <c r="BC37" s="301"/>
      <c r="BD37" s="301"/>
      <c r="BE37" s="301">
        <v>50000000</v>
      </c>
      <c r="BF37" s="301"/>
      <c r="BG37" s="303"/>
      <c r="BH37" s="304"/>
    </row>
    <row r="38" spans="1:60" s="305" customFormat="1" ht="16.5" hidden="1" customHeight="1" x14ac:dyDescent="0.4">
      <c r="A38" s="285">
        <v>15</v>
      </c>
      <c r="B38" s="286"/>
      <c r="C38" s="286"/>
      <c r="D38" s="287" t="s">
        <v>92</v>
      </c>
      <c r="E38" s="287" t="s">
        <v>138</v>
      </c>
      <c r="F38" s="288" t="s">
        <v>92</v>
      </c>
      <c r="G38" s="289" t="s">
        <v>138</v>
      </c>
      <c r="H38" s="307"/>
      <c r="I38" s="290"/>
      <c r="J38" s="291" t="s">
        <v>148</v>
      </c>
      <c r="K38" s="287"/>
      <c r="L38" s="287"/>
      <c r="M38" s="287">
        <v>1832</v>
      </c>
      <c r="N38" s="287" t="s">
        <v>23</v>
      </c>
      <c r="O38" s="287" t="s">
        <v>117</v>
      </c>
      <c r="P38" s="287"/>
      <c r="Q38" s="287" t="s">
        <v>19</v>
      </c>
      <c r="R38" s="287" t="s">
        <v>29</v>
      </c>
      <c r="S38" s="292" t="s">
        <v>29</v>
      </c>
      <c r="T38" s="293" t="s">
        <v>798</v>
      </c>
      <c r="U38" s="294">
        <v>70814580</v>
      </c>
      <c r="V38" s="294">
        <v>91390200</v>
      </c>
      <c r="W38" s="295">
        <v>134839490</v>
      </c>
      <c r="X38" s="296"/>
      <c r="Y38" s="287" t="s">
        <v>28</v>
      </c>
      <c r="Z38" s="297" t="s">
        <v>28</v>
      </c>
      <c r="AA38" s="313"/>
      <c r="AB38" s="313"/>
      <c r="AC38" s="298">
        <f t="shared" si="4"/>
        <v>109872100</v>
      </c>
      <c r="AD38" s="298">
        <v>109872100</v>
      </c>
      <c r="AE38" s="298">
        <f t="shared" si="5"/>
        <v>0</v>
      </c>
      <c r="AF38" s="299">
        <v>1712500</v>
      </c>
      <c r="AG38" s="300">
        <v>1712500</v>
      </c>
      <c r="AH38" s="299"/>
      <c r="AI38" s="299">
        <v>11960600</v>
      </c>
      <c r="AJ38" s="300">
        <v>11960600</v>
      </c>
      <c r="AK38" s="299"/>
      <c r="AL38" s="301">
        <v>16974300</v>
      </c>
      <c r="AM38" s="314">
        <v>16974300</v>
      </c>
      <c r="AN38" s="301"/>
      <c r="AO38" s="302">
        <v>14924700</v>
      </c>
      <c r="AP38" s="301"/>
      <c r="AQ38" s="301">
        <v>8300000</v>
      </c>
      <c r="AR38" s="301"/>
      <c r="AS38" s="301">
        <v>8000000</v>
      </c>
      <c r="AT38" s="301"/>
      <c r="AU38" s="301">
        <v>8000000</v>
      </c>
      <c r="AV38" s="301"/>
      <c r="AW38" s="301">
        <v>8000000</v>
      </c>
      <c r="AX38" s="301"/>
      <c r="AY38" s="301">
        <v>8000000</v>
      </c>
      <c r="AZ38" s="301"/>
      <c r="BA38" s="301">
        <v>8000000</v>
      </c>
      <c r="BB38" s="301"/>
      <c r="BC38" s="301">
        <v>8000000</v>
      </c>
      <c r="BD38" s="301"/>
      <c r="BE38" s="301">
        <v>8000000</v>
      </c>
      <c r="BF38" s="301"/>
      <c r="BG38" s="303"/>
      <c r="BH38" s="304"/>
    </row>
    <row r="39" spans="1:60" s="305" customFormat="1" ht="16.5" hidden="1" customHeight="1" x14ac:dyDescent="0.4">
      <c r="A39" s="285">
        <v>16</v>
      </c>
      <c r="B39" s="286"/>
      <c r="C39" s="286"/>
      <c r="D39" s="287" t="s">
        <v>92</v>
      </c>
      <c r="E39" s="287" t="s">
        <v>138</v>
      </c>
      <c r="F39" s="288" t="s">
        <v>92</v>
      </c>
      <c r="G39" s="289" t="s">
        <v>138</v>
      </c>
      <c r="H39" s="307"/>
      <c r="I39" s="290"/>
      <c r="J39" s="291" t="s">
        <v>492</v>
      </c>
      <c r="K39" s="287"/>
      <c r="L39" s="287"/>
      <c r="M39" s="287">
        <v>29047</v>
      </c>
      <c r="N39" s="287" t="s">
        <v>23</v>
      </c>
      <c r="O39" s="287" t="s">
        <v>33</v>
      </c>
      <c r="P39" s="287" t="s">
        <v>44</v>
      </c>
      <c r="Q39" s="287" t="s">
        <v>30</v>
      </c>
      <c r="R39" s="287" t="s">
        <v>31</v>
      </c>
      <c r="S39" s="292" t="s">
        <v>31</v>
      </c>
      <c r="T39" s="293"/>
      <c r="U39" s="294">
        <v>16197000</v>
      </c>
      <c r="V39" s="294">
        <v>0</v>
      </c>
      <c r="W39" s="295"/>
      <c r="X39" s="296"/>
      <c r="Y39" s="287" t="s">
        <v>544</v>
      </c>
      <c r="Z39" s="297" t="s">
        <v>26</v>
      </c>
      <c r="AA39" s="313"/>
      <c r="AB39" s="313"/>
      <c r="AC39" s="298">
        <f t="shared" si="4"/>
        <v>10000000</v>
      </c>
      <c r="AD39" s="298">
        <v>10000000</v>
      </c>
      <c r="AE39" s="298">
        <f t="shared" si="5"/>
        <v>0</v>
      </c>
      <c r="AF39" s="299"/>
      <c r="AG39" s="300"/>
      <c r="AH39" s="299"/>
      <c r="AI39" s="299"/>
      <c r="AJ39" s="300"/>
      <c r="AK39" s="299"/>
      <c r="AL39" s="301"/>
      <c r="AM39" s="314"/>
      <c r="AN39" s="301"/>
      <c r="AO39" s="302"/>
      <c r="AP39" s="301"/>
      <c r="AQ39" s="301"/>
      <c r="AR39" s="301"/>
      <c r="AS39" s="301">
        <v>5000000</v>
      </c>
      <c r="AT39" s="301"/>
      <c r="AU39" s="301"/>
      <c r="AV39" s="301"/>
      <c r="AW39" s="301"/>
      <c r="AX39" s="301"/>
      <c r="AY39" s="301"/>
      <c r="AZ39" s="301"/>
      <c r="BA39" s="301"/>
      <c r="BB39" s="301"/>
      <c r="BC39" s="301"/>
      <c r="BD39" s="301"/>
      <c r="BE39" s="301">
        <v>5000000</v>
      </c>
      <c r="BF39" s="301"/>
      <c r="BG39" s="303"/>
      <c r="BH39" s="304"/>
    </row>
    <row r="40" spans="1:60" s="305" customFormat="1" ht="16.5" hidden="1" customHeight="1" x14ac:dyDescent="0.4">
      <c r="A40" s="285">
        <v>17</v>
      </c>
      <c r="B40" s="286"/>
      <c r="C40" s="286"/>
      <c r="D40" s="287" t="s">
        <v>92</v>
      </c>
      <c r="E40" s="287" t="s">
        <v>138</v>
      </c>
      <c r="F40" s="288" t="s">
        <v>92</v>
      </c>
      <c r="G40" s="289" t="s">
        <v>138</v>
      </c>
      <c r="H40" s="307"/>
      <c r="I40" s="290"/>
      <c r="J40" s="291" t="s">
        <v>511</v>
      </c>
      <c r="K40" s="287"/>
      <c r="L40" s="287"/>
      <c r="M40" s="287">
        <v>55219</v>
      </c>
      <c r="N40" s="287" t="s">
        <v>23</v>
      </c>
      <c r="O40" s="287" t="s">
        <v>43</v>
      </c>
      <c r="P40" s="287"/>
      <c r="Q40" s="287" t="s">
        <v>19</v>
      </c>
      <c r="R40" s="287" t="s">
        <v>20</v>
      </c>
      <c r="S40" s="292" t="s">
        <v>31</v>
      </c>
      <c r="T40" s="293"/>
      <c r="U40" s="294">
        <v>394000</v>
      </c>
      <c r="V40" s="294">
        <v>76000</v>
      </c>
      <c r="W40" s="295">
        <v>380000</v>
      </c>
      <c r="X40" s="296"/>
      <c r="Y40" s="287" t="s">
        <v>28</v>
      </c>
      <c r="Z40" s="297" t="s">
        <v>26</v>
      </c>
      <c r="AA40" s="313"/>
      <c r="AB40" s="313"/>
      <c r="AC40" s="298">
        <f t="shared" si="4"/>
        <v>1000000</v>
      </c>
      <c r="AD40" s="298">
        <v>1000000</v>
      </c>
      <c r="AE40" s="298">
        <f t="shared" si="5"/>
        <v>0</v>
      </c>
      <c r="AF40" s="299"/>
      <c r="AG40" s="300"/>
      <c r="AH40" s="299"/>
      <c r="AI40" s="299"/>
      <c r="AJ40" s="300"/>
      <c r="AK40" s="299"/>
      <c r="AL40" s="301"/>
      <c r="AM40" s="314"/>
      <c r="AN40" s="301"/>
      <c r="AO40" s="302"/>
      <c r="AP40" s="301"/>
      <c r="AQ40" s="301"/>
      <c r="AR40" s="301"/>
      <c r="AS40" s="301">
        <v>500000</v>
      </c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D40" s="301"/>
      <c r="BE40" s="301">
        <v>500000</v>
      </c>
      <c r="BF40" s="301"/>
      <c r="BG40" s="303"/>
      <c r="BH40" s="304"/>
    </row>
    <row r="41" spans="1:60" s="305" customFormat="1" ht="16.5" hidden="1" customHeight="1" x14ac:dyDescent="0.4">
      <c r="A41" s="285">
        <v>18</v>
      </c>
      <c r="B41" s="286"/>
      <c r="C41" s="286"/>
      <c r="D41" s="287" t="s">
        <v>92</v>
      </c>
      <c r="E41" s="287" t="s">
        <v>138</v>
      </c>
      <c r="F41" s="288" t="s">
        <v>92</v>
      </c>
      <c r="G41" s="289" t="s">
        <v>138</v>
      </c>
      <c r="H41" s="307"/>
      <c r="I41" s="290"/>
      <c r="J41" s="291" t="s">
        <v>149</v>
      </c>
      <c r="K41" s="287"/>
      <c r="L41" s="287"/>
      <c r="M41" s="287">
        <v>9077</v>
      </c>
      <c r="N41" s="287" t="s">
        <v>23</v>
      </c>
      <c r="O41" s="287" t="s">
        <v>43</v>
      </c>
      <c r="P41" s="287" t="s">
        <v>44</v>
      </c>
      <c r="Q41" s="287" t="s">
        <v>49</v>
      </c>
      <c r="R41" s="287" t="s">
        <v>29</v>
      </c>
      <c r="S41" s="292" t="s">
        <v>29</v>
      </c>
      <c r="T41" s="293" t="s">
        <v>798</v>
      </c>
      <c r="U41" s="294">
        <v>469582594</v>
      </c>
      <c r="V41" s="294">
        <v>1000224811</v>
      </c>
      <c r="W41" s="295">
        <v>1062567155</v>
      </c>
      <c r="X41" s="296"/>
      <c r="Y41" s="287" t="s">
        <v>28</v>
      </c>
      <c r="Z41" s="297" t="s">
        <v>28</v>
      </c>
      <c r="AA41" s="313"/>
      <c r="AB41" s="313"/>
      <c r="AC41" s="298">
        <f t="shared" si="4"/>
        <v>972392320</v>
      </c>
      <c r="AD41" s="298">
        <v>972392320</v>
      </c>
      <c r="AE41" s="298">
        <f t="shared" si="5"/>
        <v>0</v>
      </c>
      <c r="AF41" s="299">
        <v>77214870</v>
      </c>
      <c r="AG41" s="300">
        <v>77214870</v>
      </c>
      <c r="AH41" s="299"/>
      <c r="AI41" s="299">
        <v>68337440</v>
      </c>
      <c r="AJ41" s="300">
        <v>68337440</v>
      </c>
      <c r="AK41" s="299"/>
      <c r="AL41" s="301">
        <v>72209950</v>
      </c>
      <c r="AM41" s="314">
        <v>72209950</v>
      </c>
      <c r="AN41" s="301"/>
      <c r="AO41" s="302">
        <v>60630060</v>
      </c>
      <c r="AP41" s="301"/>
      <c r="AQ41" s="301">
        <v>75000000</v>
      </c>
      <c r="AR41" s="301"/>
      <c r="AS41" s="301">
        <v>89000000</v>
      </c>
      <c r="AT41" s="301"/>
      <c r="AU41" s="301">
        <v>80000000</v>
      </c>
      <c r="AV41" s="301"/>
      <c r="AW41" s="301">
        <v>90000000</v>
      </c>
      <c r="AX41" s="301"/>
      <c r="AY41" s="301">
        <v>90000000</v>
      </c>
      <c r="AZ41" s="301"/>
      <c r="BA41" s="301">
        <v>90000000</v>
      </c>
      <c r="BB41" s="301"/>
      <c r="BC41" s="301">
        <v>90000000</v>
      </c>
      <c r="BD41" s="301"/>
      <c r="BE41" s="301">
        <v>90000000</v>
      </c>
      <c r="BF41" s="301"/>
      <c r="BG41" s="303"/>
      <c r="BH41" s="304"/>
    </row>
    <row r="42" spans="1:60" s="305" customFormat="1" ht="16.5" hidden="1" customHeight="1" x14ac:dyDescent="0.4">
      <c r="A42" s="285">
        <v>19</v>
      </c>
      <c r="B42" s="286"/>
      <c r="C42" s="286"/>
      <c r="D42" s="287" t="s">
        <v>92</v>
      </c>
      <c r="E42" s="287" t="s">
        <v>138</v>
      </c>
      <c r="F42" s="288" t="s">
        <v>92</v>
      </c>
      <c r="G42" s="289" t="s">
        <v>138</v>
      </c>
      <c r="H42" s="307"/>
      <c r="I42" s="290"/>
      <c r="J42" s="291" t="s">
        <v>149</v>
      </c>
      <c r="K42" s="287"/>
      <c r="L42" s="287"/>
      <c r="M42" s="287">
        <v>9077</v>
      </c>
      <c r="N42" s="287" t="s">
        <v>23</v>
      </c>
      <c r="O42" s="287" t="s">
        <v>43</v>
      </c>
      <c r="P42" s="287"/>
      <c r="Q42" s="287"/>
      <c r="R42" s="287" t="s">
        <v>29</v>
      </c>
      <c r="S42" s="292" t="s">
        <v>29</v>
      </c>
      <c r="T42" s="293"/>
      <c r="U42" s="294">
        <v>0</v>
      </c>
      <c r="V42" s="294">
        <v>0</v>
      </c>
      <c r="W42" s="295">
        <v>0</v>
      </c>
      <c r="X42" s="296"/>
      <c r="Y42" s="287"/>
      <c r="Z42" s="297" t="s">
        <v>544</v>
      </c>
      <c r="AA42" s="313"/>
      <c r="AB42" s="313"/>
      <c r="AC42" s="298">
        <f t="shared" si="4"/>
        <v>480000000</v>
      </c>
      <c r="AD42" s="298">
        <v>480000000</v>
      </c>
      <c r="AE42" s="298">
        <f t="shared" si="5"/>
        <v>0</v>
      </c>
      <c r="AF42" s="299"/>
      <c r="AG42" s="300"/>
      <c r="AH42" s="299"/>
      <c r="AI42" s="299"/>
      <c r="AJ42" s="300"/>
      <c r="AK42" s="299"/>
      <c r="AL42" s="301"/>
      <c r="AM42" s="314"/>
      <c r="AN42" s="301"/>
      <c r="AO42" s="302"/>
      <c r="AP42" s="301"/>
      <c r="AQ42" s="301"/>
      <c r="AR42" s="301"/>
      <c r="AS42" s="301"/>
      <c r="AT42" s="301"/>
      <c r="AU42" s="301">
        <v>80000000</v>
      </c>
      <c r="AV42" s="301"/>
      <c r="AW42" s="301">
        <v>80000000</v>
      </c>
      <c r="AX42" s="301"/>
      <c r="AY42" s="301">
        <v>80000000</v>
      </c>
      <c r="AZ42" s="301"/>
      <c r="BA42" s="301">
        <v>80000000</v>
      </c>
      <c r="BB42" s="301"/>
      <c r="BC42" s="301">
        <v>80000000</v>
      </c>
      <c r="BD42" s="301"/>
      <c r="BE42" s="301">
        <v>80000000</v>
      </c>
      <c r="BF42" s="301"/>
      <c r="BG42" s="303"/>
      <c r="BH42" s="304"/>
    </row>
    <row r="43" spans="1:60" s="305" customFormat="1" ht="16.5" hidden="1" customHeight="1" x14ac:dyDescent="0.4">
      <c r="A43" s="285">
        <v>20</v>
      </c>
      <c r="B43" s="286"/>
      <c r="C43" s="286"/>
      <c r="D43" s="287" t="s">
        <v>92</v>
      </c>
      <c r="E43" s="287" t="s">
        <v>138</v>
      </c>
      <c r="F43" s="288" t="s">
        <v>92</v>
      </c>
      <c r="G43" s="289" t="s">
        <v>138</v>
      </c>
      <c r="H43" s="307"/>
      <c r="I43" s="290"/>
      <c r="J43" s="291" t="s">
        <v>149</v>
      </c>
      <c r="K43" s="287"/>
      <c r="L43" s="287"/>
      <c r="M43" s="287">
        <v>9077</v>
      </c>
      <c r="N43" s="287" t="s">
        <v>23</v>
      </c>
      <c r="O43" s="287" t="s">
        <v>33</v>
      </c>
      <c r="P43" s="287"/>
      <c r="Q43" s="287"/>
      <c r="R43" s="287" t="s">
        <v>340</v>
      </c>
      <c r="S43" s="292" t="s">
        <v>340</v>
      </c>
      <c r="T43" s="293"/>
      <c r="U43" s="294"/>
      <c r="V43" s="294">
        <v>0</v>
      </c>
      <c r="W43" s="295"/>
      <c r="X43" s="296"/>
      <c r="Y43" s="287" t="s">
        <v>544</v>
      </c>
      <c r="Z43" s="297" t="s">
        <v>544</v>
      </c>
      <c r="AA43" s="313"/>
      <c r="AB43" s="313"/>
      <c r="AC43" s="298">
        <f t="shared" si="4"/>
        <v>30000000</v>
      </c>
      <c r="AD43" s="298">
        <v>30000000</v>
      </c>
      <c r="AE43" s="298">
        <f t="shared" si="5"/>
        <v>0</v>
      </c>
      <c r="AF43" s="299"/>
      <c r="AG43" s="300"/>
      <c r="AH43" s="299"/>
      <c r="AI43" s="299"/>
      <c r="AJ43" s="300"/>
      <c r="AK43" s="299"/>
      <c r="AL43" s="301"/>
      <c r="AM43" s="314"/>
      <c r="AN43" s="301"/>
      <c r="AO43" s="302"/>
      <c r="AP43" s="301"/>
      <c r="AQ43" s="301"/>
      <c r="AR43" s="301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>
        <v>30000000</v>
      </c>
      <c r="BF43" s="301"/>
      <c r="BG43" s="303"/>
      <c r="BH43" s="304"/>
    </row>
    <row r="44" spans="1:60" s="305" customFormat="1" ht="16.5" hidden="1" customHeight="1" x14ac:dyDescent="0.4">
      <c r="A44" s="285">
        <v>21</v>
      </c>
      <c r="B44" s="286"/>
      <c r="C44" s="286"/>
      <c r="D44" s="287" t="s">
        <v>92</v>
      </c>
      <c r="E44" s="287" t="s">
        <v>138</v>
      </c>
      <c r="F44" s="288" t="s">
        <v>92</v>
      </c>
      <c r="G44" s="289" t="s">
        <v>138</v>
      </c>
      <c r="H44" s="307"/>
      <c r="I44" s="290"/>
      <c r="J44" s="291" t="s">
        <v>149</v>
      </c>
      <c r="K44" s="287"/>
      <c r="L44" s="287"/>
      <c r="M44" s="287">
        <v>9077</v>
      </c>
      <c r="N44" s="287" t="s">
        <v>23</v>
      </c>
      <c r="O44" s="287" t="s">
        <v>43</v>
      </c>
      <c r="P44" s="287"/>
      <c r="Q44" s="287" t="s">
        <v>27</v>
      </c>
      <c r="R44" s="287" t="s">
        <v>349</v>
      </c>
      <c r="S44" s="292" t="s">
        <v>349</v>
      </c>
      <c r="T44" s="293"/>
      <c r="U44" s="294" t="s">
        <v>97</v>
      </c>
      <c r="V44" s="294">
        <v>6400000</v>
      </c>
      <c r="W44" s="295">
        <v>2400000</v>
      </c>
      <c r="X44" s="296"/>
      <c r="Y44" s="287" t="s">
        <v>28</v>
      </c>
      <c r="Z44" s="297" t="s">
        <v>26</v>
      </c>
      <c r="AA44" s="313"/>
      <c r="AB44" s="313"/>
      <c r="AC44" s="298">
        <f t="shared" si="4"/>
        <v>10000000</v>
      </c>
      <c r="AD44" s="298">
        <v>10000000</v>
      </c>
      <c r="AE44" s="298">
        <f t="shared" si="5"/>
        <v>0</v>
      </c>
      <c r="AF44" s="299"/>
      <c r="AG44" s="300"/>
      <c r="AH44" s="299"/>
      <c r="AI44" s="299"/>
      <c r="AJ44" s="300"/>
      <c r="AK44" s="299"/>
      <c r="AL44" s="301"/>
      <c r="AM44" s="314"/>
      <c r="AN44" s="301"/>
      <c r="AO44" s="302"/>
      <c r="AP44" s="301"/>
      <c r="AQ44" s="301"/>
      <c r="AR44" s="301"/>
      <c r="AS44" s="301">
        <v>5000000</v>
      </c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>
        <v>5000000</v>
      </c>
      <c r="BF44" s="301"/>
      <c r="BG44" s="303"/>
      <c r="BH44" s="304"/>
    </row>
    <row r="45" spans="1:60" s="305" customFormat="1" ht="16.5" hidden="1" customHeight="1" x14ac:dyDescent="0.4">
      <c r="A45" s="285">
        <v>22</v>
      </c>
      <c r="B45" s="286"/>
      <c r="C45" s="286"/>
      <c r="D45" s="287" t="s">
        <v>92</v>
      </c>
      <c r="E45" s="287" t="s">
        <v>138</v>
      </c>
      <c r="F45" s="288" t="s">
        <v>92</v>
      </c>
      <c r="G45" s="289" t="s">
        <v>138</v>
      </c>
      <c r="H45" s="307"/>
      <c r="I45" s="290"/>
      <c r="J45" s="291" t="s">
        <v>150</v>
      </c>
      <c r="K45" s="287"/>
      <c r="L45" s="287"/>
      <c r="M45" s="287">
        <v>23258</v>
      </c>
      <c r="N45" s="287" t="s">
        <v>32</v>
      </c>
      <c r="O45" s="287" t="s">
        <v>43</v>
      </c>
      <c r="P45" s="287" t="s">
        <v>44</v>
      </c>
      <c r="Q45" s="287" t="s">
        <v>49</v>
      </c>
      <c r="R45" s="287" t="s">
        <v>29</v>
      </c>
      <c r="S45" s="292" t="s">
        <v>29</v>
      </c>
      <c r="T45" s="293"/>
      <c r="U45" s="294" t="s">
        <v>97</v>
      </c>
      <c r="V45" s="294">
        <v>329379060</v>
      </c>
      <c r="W45" s="295">
        <v>415198490</v>
      </c>
      <c r="X45" s="296"/>
      <c r="Y45" s="287" t="s">
        <v>28</v>
      </c>
      <c r="Z45" s="297" t="s">
        <v>56</v>
      </c>
      <c r="AA45" s="313"/>
      <c r="AB45" s="313"/>
      <c r="AC45" s="298">
        <f t="shared" si="4"/>
        <v>270000000</v>
      </c>
      <c r="AD45" s="298">
        <v>270000000</v>
      </c>
      <c r="AE45" s="298">
        <f t="shared" si="5"/>
        <v>0</v>
      </c>
      <c r="AF45" s="299"/>
      <c r="AG45" s="300"/>
      <c r="AH45" s="299"/>
      <c r="AI45" s="299">
        <v>60000000</v>
      </c>
      <c r="AJ45" s="300"/>
      <c r="AK45" s="299"/>
      <c r="AL45" s="301">
        <v>30000000</v>
      </c>
      <c r="AM45" s="314"/>
      <c r="AN45" s="301"/>
      <c r="AO45" s="302">
        <v>30000000</v>
      </c>
      <c r="AP45" s="301"/>
      <c r="AQ45" s="301">
        <v>30000000</v>
      </c>
      <c r="AR45" s="301"/>
      <c r="AS45" s="301">
        <v>30000000</v>
      </c>
      <c r="AT45" s="301"/>
      <c r="AU45" s="301">
        <v>30000000</v>
      </c>
      <c r="AV45" s="301"/>
      <c r="AW45" s="301">
        <v>30000000</v>
      </c>
      <c r="AX45" s="301"/>
      <c r="AY45" s="301">
        <v>30000000</v>
      </c>
      <c r="AZ45" s="301"/>
      <c r="BA45" s="301">
        <v>30000000</v>
      </c>
      <c r="BB45" s="301"/>
      <c r="BC45" s="301">
        <v>30000000</v>
      </c>
      <c r="BD45" s="301"/>
      <c r="BE45" s="301">
        <v>30000000</v>
      </c>
      <c r="BF45" s="301"/>
      <c r="BG45" s="303"/>
      <c r="BH45" s="304"/>
    </row>
    <row r="46" spans="1:60" s="305" customFormat="1" ht="16.5" hidden="1" customHeight="1" x14ac:dyDescent="0.4">
      <c r="A46" s="285">
        <v>23</v>
      </c>
      <c r="B46" s="286"/>
      <c r="C46" s="286"/>
      <c r="D46" s="287" t="s">
        <v>92</v>
      </c>
      <c r="E46" s="287" t="s">
        <v>138</v>
      </c>
      <c r="F46" s="288" t="s">
        <v>92</v>
      </c>
      <c r="G46" s="289" t="s">
        <v>138</v>
      </c>
      <c r="H46" s="307"/>
      <c r="I46" s="290"/>
      <c r="J46" s="291" t="s">
        <v>150</v>
      </c>
      <c r="K46" s="287"/>
      <c r="L46" s="287"/>
      <c r="M46" s="287">
        <v>23258</v>
      </c>
      <c r="N46" s="287" t="s">
        <v>32</v>
      </c>
      <c r="O46" s="287" t="s">
        <v>33</v>
      </c>
      <c r="P46" s="287"/>
      <c r="Q46" s="287" t="s">
        <v>27</v>
      </c>
      <c r="R46" s="287" t="s">
        <v>349</v>
      </c>
      <c r="S46" s="292" t="s">
        <v>349</v>
      </c>
      <c r="T46" s="293"/>
      <c r="U46" s="294"/>
      <c r="V46" s="294">
        <v>9775000</v>
      </c>
      <c r="W46" s="295"/>
      <c r="X46" s="296"/>
      <c r="Y46" s="287" t="s">
        <v>618</v>
      </c>
      <c r="Z46" s="297" t="s">
        <v>618</v>
      </c>
      <c r="AA46" s="313"/>
      <c r="AB46" s="313"/>
      <c r="AC46" s="298">
        <f t="shared" si="4"/>
        <v>300000000</v>
      </c>
      <c r="AD46" s="298">
        <v>300000000</v>
      </c>
      <c r="AE46" s="298">
        <f t="shared" si="5"/>
        <v>0</v>
      </c>
      <c r="AF46" s="299"/>
      <c r="AG46" s="300"/>
      <c r="AH46" s="299"/>
      <c r="AI46" s="299"/>
      <c r="AJ46" s="300"/>
      <c r="AK46" s="299"/>
      <c r="AL46" s="301"/>
      <c r="AM46" s="314"/>
      <c r="AN46" s="301"/>
      <c r="AO46" s="302"/>
      <c r="AP46" s="301"/>
      <c r="AQ46" s="301"/>
      <c r="AR46" s="301"/>
      <c r="AS46" s="301">
        <v>150000000</v>
      </c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>
        <v>150000000</v>
      </c>
      <c r="BF46" s="301"/>
      <c r="BG46" s="303"/>
      <c r="BH46" s="304"/>
    </row>
    <row r="47" spans="1:60" s="305" customFormat="1" ht="16.5" hidden="1" customHeight="1" x14ac:dyDescent="0.4">
      <c r="A47" s="285">
        <v>24</v>
      </c>
      <c r="B47" s="286"/>
      <c r="C47" s="286"/>
      <c r="D47" s="287" t="s">
        <v>92</v>
      </c>
      <c r="E47" s="287" t="s">
        <v>138</v>
      </c>
      <c r="F47" s="288" t="s">
        <v>92</v>
      </c>
      <c r="G47" s="289" t="s">
        <v>138</v>
      </c>
      <c r="H47" s="307"/>
      <c r="I47" s="290"/>
      <c r="J47" s="291" t="s">
        <v>151</v>
      </c>
      <c r="K47" s="287"/>
      <c r="L47" s="287"/>
      <c r="M47" s="287">
        <v>1120</v>
      </c>
      <c r="N47" s="287" t="s">
        <v>32</v>
      </c>
      <c r="O47" s="287" t="s">
        <v>43</v>
      </c>
      <c r="P47" s="287" t="s">
        <v>44</v>
      </c>
      <c r="Q47" s="287" t="s">
        <v>49</v>
      </c>
      <c r="R47" s="287" t="s">
        <v>29</v>
      </c>
      <c r="S47" s="292" t="s">
        <v>29</v>
      </c>
      <c r="T47" s="293" t="s">
        <v>798</v>
      </c>
      <c r="U47" s="294">
        <v>135184000</v>
      </c>
      <c r="V47" s="294">
        <v>80443920</v>
      </c>
      <c r="W47" s="295">
        <v>70563630</v>
      </c>
      <c r="X47" s="296"/>
      <c r="Y47" s="287" t="s">
        <v>28</v>
      </c>
      <c r="Z47" s="297" t="s">
        <v>28</v>
      </c>
      <c r="AA47" s="313"/>
      <c r="AB47" s="313"/>
      <c r="AC47" s="298">
        <f t="shared" si="4"/>
        <v>77542920</v>
      </c>
      <c r="AD47" s="298">
        <v>77542920</v>
      </c>
      <c r="AE47" s="298">
        <f t="shared" si="5"/>
        <v>0</v>
      </c>
      <c r="AF47" s="299">
        <v>4354570</v>
      </c>
      <c r="AG47" s="300">
        <v>4354570</v>
      </c>
      <c r="AH47" s="299"/>
      <c r="AI47" s="299">
        <v>6795420</v>
      </c>
      <c r="AJ47" s="300">
        <v>6795420</v>
      </c>
      <c r="AK47" s="299"/>
      <c r="AL47" s="301">
        <v>5780690</v>
      </c>
      <c r="AM47" s="314">
        <v>5780690</v>
      </c>
      <c r="AN47" s="301"/>
      <c r="AO47" s="302">
        <v>6612240</v>
      </c>
      <c r="AP47" s="301"/>
      <c r="AQ47" s="301">
        <v>6500000</v>
      </c>
      <c r="AR47" s="301"/>
      <c r="AS47" s="301">
        <v>6500000</v>
      </c>
      <c r="AT47" s="301"/>
      <c r="AU47" s="301">
        <v>6500000</v>
      </c>
      <c r="AV47" s="301"/>
      <c r="AW47" s="301">
        <v>6500000</v>
      </c>
      <c r="AX47" s="301"/>
      <c r="AY47" s="301">
        <v>6500000</v>
      </c>
      <c r="AZ47" s="301"/>
      <c r="BA47" s="301">
        <v>6500000</v>
      </c>
      <c r="BB47" s="301"/>
      <c r="BC47" s="301">
        <v>6500000</v>
      </c>
      <c r="BD47" s="301"/>
      <c r="BE47" s="301">
        <v>8500000</v>
      </c>
      <c r="BF47" s="301"/>
      <c r="BG47" s="303"/>
      <c r="BH47" s="304"/>
    </row>
    <row r="48" spans="1:60" s="305" customFormat="1" ht="16.5" hidden="1" customHeight="1" x14ac:dyDescent="0.4">
      <c r="A48" s="285">
        <v>25</v>
      </c>
      <c r="B48" s="286"/>
      <c r="C48" s="286"/>
      <c r="D48" s="287"/>
      <c r="E48" s="287"/>
      <c r="F48" s="288" t="s">
        <v>92</v>
      </c>
      <c r="G48" s="289" t="s">
        <v>138</v>
      </c>
      <c r="H48" s="307"/>
      <c r="I48" s="290"/>
      <c r="J48" s="291" t="s">
        <v>834</v>
      </c>
      <c r="K48" s="287"/>
      <c r="L48" s="287"/>
      <c r="M48" s="287">
        <v>1120</v>
      </c>
      <c r="N48" s="287" t="s">
        <v>32</v>
      </c>
      <c r="O48" s="287" t="s">
        <v>33</v>
      </c>
      <c r="P48" s="287"/>
      <c r="Q48" s="287"/>
      <c r="R48" s="287"/>
      <c r="S48" s="292" t="s">
        <v>349</v>
      </c>
      <c r="T48" s="293"/>
      <c r="U48" s="294"/>
      <c r="V48" s="294"/>
      <c r="W48" s="295"/>
      <c r="X48" s="296"/>
      <c r="Y48" s="287"/>
      <c r="Z48" s="297" t="s">
        <v>28</v>
      </c>
      <c r="AA48" s="313"/>
      <c r="AB48" s="313"/>
      <c r="AC48" s="298">
        <f t="shared" si="4"/>
        <v>8000000</v>
      </c>
      <c r="AD48" s="298">
        <v>8000000</v>
      </c>
      <c r="AE48" s="298">
        <f t="shared" si="5"/>
        <v>0</v>
      </c>
      <c r="AF48" s="299"/>
      <c r="AG48" s="300"/>
      <c r="AH48" s="299"/>
      <c r="AI48" s="299"/>
      <c r="AJ48" s="300"/>
      <c r="AK48" s="299"/>
      <c r="AL48" s="301"/>
      <c r="AM48" s="314"/>
      <c r="AN48" s="301"/>
      <c r="AO48" s="302">
        <v>0</v>
      </c>
      <c r="AP48" s="301"/>
      <c r="AQ48" s="301">
        <v>8000000</v>
      </c>
      <c r="AR48" s="301"/>
      <c r="AS48" s="301"/>
      <c r="AT48" s="301"/>
      <c r="AU48" s="301"/>
      <c r="AV48" s="301"/>
      <c r="AW48" s="301"/>
      <c r="AX48" s="301"/>
      <c r="AY48" s="301"/>
      <c r="AZ48" s="301"/>
      <c r="BA48" s="301"/>
      <c r="BB48" s="301"/>
      <c r="BC48" s="301"/>
      <c r="BD48" s="301"/>
      <c r="BE48" s="301"/>
      <c r="BF48" s="301"/>
      <c r="BG48" s="303"/>
      <c r="BH48" s="304"/>
    </row>
    <row r="49" spans="1:60" s="305" customFormat="1" ht="16.5" hidden="1" customHeight="1" x14ac:dyDescent="0.4">
      <c r="A49" s="285">
        <v>26</v>
      </c>
      <c r="B49" s="286"/>
      <c r="C49" s="286"/>
      <c r="D49" s="287" t="s">
        <v>92</v>
      </c>
      <c r="E49" s="287" t="s">
        <v>138</v>
      </c>
      <c r="F49" s="288" t="s">
        <v>92</v>
      </c>
      <c r="G49" s="289" t="s">
        <v>138</v>
      </c>
      <c r="H49" s="307"/>
      <c r="I49" s="290"/>
      <c r="J49" s="291" t="s">
        <v>152</v>
      </c>
      <c r="K49" s="287"/>
      <c r="L49" s="287"/>
      <c r="M49" s="287">
        <v>42793</v>
      </c>
      <c r="N49" s="287" t="s">
        <v>32</v>
      </c>
      <c r="O49" s="287" t="s">
        <v>43</v>
      </c>
      <c r="P49" s="287" t="s">
        <v>44</v>
      </c>
      <c r="Q49" s="287" t="s">
        <v>19</v>
      </c>
      <c r="R49" s="287" t="s">
        <v>29</v>
      </c>
      <c r="S49" s="292" t="s">
        <v>29</v>
      </c>
      <c r="T49" s="293"/>
      <c r="U49" s="294">
        <v>46625530</v>
      </c>
      <c r="V49" s="294">
        <v>55138310</v>
      </c>
      <c r="W49" s="295">
        <v>100355580</v>
      </c>
      <c r="X49" s="296"/>
      <c r="Y49" s="287" t="s">
        <v>28</v>
      </c>
      <c r="Z49" s="297" t="s">
        <v>28</v>
      </c>
      <c r="AA49" s="313"/>
      <c r="AB49" s="313"/>
      <c r="AC49" s="298">
        <f t="shared" si="4"/>
        <v>45086610</v>
      </c>
      <c r="AD49" s="298">
        <v>45086610</v>
      </c>
      <c r="AE49" s="298">
        <f t="shared" si="5"/>
        <v>0</v>
      </c>
      <c r="AF49" s="299">
        <v>2586610</v>
      </c>
      <c r="AG49" s="300">
        <v>2586610</v>
      </c>
      <c r="AH49" s="299"/>
      <c r="AI49" s="299"/>
      <c r="AJ49" s="300"/>
      <c r="AK49" s="299"/>
      <c r="AL49" s="301"/>
      <c r="AM49" s="314"/>
      <c r="AN49" s="301"/>
      <c r="AO49" s="302"/>
      <c r="AP49" s="301"/>
      <c r="AQ49" s="301"/>
      <c r="AR49" s="301"/>
      <c r="AS49" s="301">
        <v>42500000</v>
      </c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  <c r="BD49" s="301"/>
      <c r="BE49" s="301"/>
      <c r="BF49" s="301"/>
      <c r="BG49" s="303"/>
      <c r="BH49" s="304"/>
    </row>
    <row r="50" spans="1:60" s="305" customFormat="1" ht="16.5" hidden="1" customHeight="1" x14ac:dyDescent="0.4">
      <c r="A50" s="285">
        <v>27</v>
      </c>
      <c r="B50" s="286"/>
      <c r="C50" s="286"/>
      <c r="D50" s="287" t="s">
        <v>92</v>
      </c>
      <c r="E50" s="287" t="s">
        <v>138</v>
      </c>
      <c r="F50" s="288" t="s">
        <v>92</v>
      </c>
      <c r="G50" s="289" t="s">
        <v>138</v>
      </c>
      <c r="H50" s="307"/>
      <c r="I50" s="290"/>
      <c r="J50" s="291" t="s">
        <v>152</v>
      </c>
      <c r="K50" s="287"/>
      <c r="L50" s="287"/>
      <c r="M50" s="287">
        <v>42793</v>
      </c>
      <c r="N50" s="287" t="s">
        <v>32</v>
      </c>
      <c r="O50" s="287" t="s">
        <v>43</v>
      </c>
      <c r="P50" s="287"/>
      <c r="Q50" s="287" t="s">
        <v>19</v>
      </c>
      <c r="R50" s="287" t="s">
        <v>20</v>
      </c>
      <c r="S50" s="292" t="s">
        <v>29</v>
      </c>
      <c r="T50" s="293"/>
      <c r="U50" s="294"/>
      <c r="V50" s="294">
        <v>0</v>
      </c>
      <c r="W50" s="295">
        <v>0</v>
      </c>
      <c r="X50" s="296"/>
      <c r="Y50" s="287" t="s">
        <v>544</v>
      </c>
      <c r="Z50" s="297" t="s">
        <v>25</v>
      </c>
      <c r="AA50" s="313"/>
      <c r="AB50" s="313"/>
      <c r="AC50" s="298">
        <f t="shared" si="4"/>
        <v>55000000</v>
      </c>
      <c r="AD50" s="298">
        <v>55000000</v>
      </c>
      <c r="AE50" s="298">
        <f t="shared" si="5"/>
        <v>0</v>
      </c>
      <c r="AF50" s="299"/>
      <c r="AG50" s="300"/>
      <c r="AH50" s="299"/>
      <c r="AI50" s="299"/>
      <c r="AJ50" s="300"/>
      <c r="AK50" s="299"/>
      <c r="AL50" s="301"/>
      <c r="AM50" s="314"/>
      <c r="AN50" s="301"/>
      <c r="AO50" s="302"/>
      <c r="AP50" s="301"/>
      <c r="AQ50" s="301"/>
      <c r="AR50" s="301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  <c r="BD50" s="301"/>
      <c r="BE50" s="301">
        <v>55000000</v>
      </c>
      <c r="BF50" s="301"/>
      <c r="BG50" s="303"/>
      <c r="BH50" s="304"/>
    </row>
    <row r="51" spans="1:60" s="305" customFormat="1" ht="16.5" hidden="1" customHeight="1" x14ac:dyDescent="0.4">
      <c r="A51" s="285">
        <v>28</v>
      </c>
      <c r="B51" s="286"/>
      <c r="C51" s="286"/>
      <c r="D51" s="287" t="s">
        <v>92</v>
      </c>
      <c r="E51" s="287" t="s">
        <v>138</v>
      </c>
      <c r="F51" s="288" t="s">
        <v>92</v>
      </c>
      <c r="G51" s="289" t="s">
        <v>138</v>
      </c>
      <c r="H51" s="307"/>
      <c r="I51" s="290"/>
      <c r="J51" s="291" t="s">
        <v>152</v>
      </c>
      <c r="K51" s="287"/>
      <c r="L51" s="287"/>
      <c r="M51" s="287">
        <v>42793</v>
      </c>
      <c r="N51" s="287" t="s">
        <v>32</v>
      </c>
      <c r="O51" s="287" t="s">
        <v>43</v>
      </c>
      <c r="P51" s="287"/>
      <c r="Q51" s="287" t="s">
        <v>27</v>
      </c>
      <c r="R51" s="287" t="s">
        <v>349</v>
      </c>
      <c r="S51" s="292" t="s">
        <v>349</v>
      </c>
      <c r="T51" s="293"/>
      <c r="U51" s="294" t="s">
        <v>97</v>
      </c>
      <c r="V51" s="294">
        <v>197448680</v>
      </c>
      <c r="W51" s="295">
        <v>505968473</v>
      </c>
      <c r="X51" s="296"/>
      <c r="Y51" s="287" t="s">
        <v>28</v>
      </c>
      <c r="Z51" s="297" t="s">
        <v>28</v>
      </c>
      <c r="AA51" s="313"/>
      <c r="AB51" s="313"/>
      <c r="AC51" s="298">
        <f t="shared" si="4"/>
        <v>510000000</v>
      </c>
      <c r="AD51" s="298">
        <v>510000000</v>
      </c>
      <c r="AE51" s="298">
        <f t="shared" si="5"/>
        <v>0</v>
      </c>
      <c r="AF51" s="299"/>
      <c r="AG51" s="300"/>
      <c r="AH51" s="299"/>
      <c r="AI51" s="299">
        <v>0</v>
      </c>
      <c r="AJ51" s="300"/>
      <c r="AK51" s="299"/>
      <c r="AL51" s="301">
        <v>227700000</v>
      </c>
      <c r="AM51" s="314">
        <v>227700000</v>
      </c>
      <c r="AN51" s="301"/>
      <c r="AO51" s="302"/>
      <c r="AP51" s="301"/>
      <c r="AQ51" s="301"/>
      <c r="AR51" s="301"/>
      <c r="AS51" s="301">
        <v>10000000</v>
      </c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>
        <v>272300000</v>
      </c>
      <c r="BF51" s="301"/>
      <c r="BG51" s="303"/>
      <c r="BH51" s="304"/>
    </row>
    <row r="52" spans="1:60" s="305" customFormat="1" ht="16.5" hidden="1" customHeight="1" x14ac:dyDescent="0.4">
      <c r="A52" s="285">
        <v>29</v>
      </c>
      <c r="B52" s="286"/>
      <c r="C52" s="286"/>
      <c r="D52" s="287" t="s">
        <v>92</v>
      </c>
      <c r="E52" s="287" t="s">
        <v>138</v>
      </c>
      <c r="F52" s="288" t="s">
        <v>92</v>
      </c>
      <c r="G52" s="289" t="s">
        <v>138</v>
      </c>
      <c r="H52" s="307"/>
      <c r="I52" s="290"/>
      <c r="J52" s="291" t="s">
        <v>152</v>
      </c>
      <c r="K52" s="287"/>
      <c r="L52" s="287"/>
      <c r="M52" s="287">
        <v>42793</v>
      </c>
      <c r="N52" s="287" t="s">
        <v>32</v>
      </c>
      <c r="O52" s="287" t="s">
        <v>33</v>
      </c>
      <c r="P52" s="287"/>
      <c r="Q52" s="287" t="s">
        <v>24</v>
      </c>
      <c r="R52" s="287" t="s">
        <v>221</v>
      </c>
      <c r="S52" s="292" t="s">
        <v>745</v>
      </c>
      <c r="T52" s="293"/>
      <c r="U52" s="294" t="s">
        <v>97</v>
      </c>
      <c r="V52" s="294">
        <v>55000000</v>
      </c>
      <c r="W52" s="295"/>
      <c r="X52" s="296"/>
      <c r="Y52" s="287" t="s">
        <v>544</v>
      </c>
      <c r="Z52" s="297" t="s">
        <v>21</v>
      </c>
      <c r="AA52" s="313"/>
      <c r="AB52" s="313"/>
      <c r="AC52" s="298">
        <f t="shared" si="4"/>
        <v>15000000</v>
      </c>
      <c r="AD52" s="298">
        <v>15000000</v>
      </c>
      <c r="AE52" s="298">
        <f t="shared" si="5"/>
        <v>0</v>
      </c>
      <c r="AF52" s="299"/>
      <c r="AG52" s="300"/>
      <c r="AH52" s="299"/>
      <c r="AI52" s="299"/>
      <c r="AJ52" s="300"/>
      <c r="AK52" s="299"/>
      <c r="AL52" s="301"/>
      <c r="AM52" s="314"/>
      <c r="AN52" s="301"/>
      <c r="AO52" s="302"/>
      <c r="AP52" s="301"/>
      <c r="AQ52" s="301"/>
      <c r="AR52" s="301"/>
      <c r="AS52" s="301"/>
      <c r="AT52" s="301"/>
      <c r="AU52" s="301"/>
      <c r="AV52" s="301"/>
      <c r="AW52" s="301"/>
      <c r="AX52" s="301"/>
      <c r="AY52" s="301"/>
      <c r="AZ52" s="301"/>
      <c r="BA52" s="301"/>
      <c r="BB52" s="301"/>
      <c r="BC52" s="301"/>
      <c r="BD52" s="301"/>
      <c r="BE52" s="301">
        <v>15000000</v>
      </c>
      <c r="BF52" s="301"/>
      <c r="BG52" s="303"/>
      <c r="BH52" s="304"/>
    </row>
    <row r="53" spans="1:60" s="305" customFormat="1" ht="16.5" hidden="1" customHeight="1" x14ac:dyDescent="0.4">
      <c r="A53" s="285">
        <v>30</v>
      </c>
      <c r="B53" s="286"/>
      <c r="C53" s="286"/>
      <c r="D53" s="287" t="s">
        <v>92</v>
      </c>
      <c r="E53" s="287" t="s">
        <v>138</v>
      </c>
      <c r="F53" s="288" t="s">
        <v>92</v>
      </c>
      <c r="G53" s="289" t="s">
        <v>138</v>
      </c>
      <c r="H53" s="307"/>
      <c r="I53" s="290"/>
      <c r="J53" s="291" t="s">
        <v>152</v>
      </c>
      <c r="K53" s="287"/>
      <c r="L53" s="287"/>
      <c r="M53" s="287">
        <v>42793</v>
      </c>
      <c r="N53" s="287" t="s">
        <v>32</v>
      </c>
      <c r="O53" s="287" t="s">
        <v>33</v>
      </c>
      <c r="P53" s="287"/>
      <c r="Q53" s="287" t="s">
        <v>41</v>
      </c>
      <c r="R53" s="287" t="s">
        <v>339</v>
      </c>
      <c r="S53" s="292" t="s">
        <v>746</v>
      </c>
      <c r="T53" s="293"/>
      <c r="U53" s="294" t="s">
        <v>97</v>
      </c>
      <c r="V53" s="294">
        <v>25000000</v>
      </c>
      <c r="W53" s="295"/>
      <c r="X53" s="296"/>
      <c r="Y53" s="287" t="s">
        <v>21</v>
      </c>
      <c r="Z53" s="297" t="s">
        <v>21</v>
      </c>
      <c r="AA53" s="313"/>
      <c r="AB53" s="313"/>
      <c r="AC53" s="298">
        <f t="shared" si="4"/>
        <v>0</v>
      </c>
      <c r="AD53" s="298">
        <v>0</v>
      </c>
      <c r="AE53" s="298">
        <f t="shared" si="5"/>
        <v>0</v>
      </c>
      <c r="AF53" s="299"/>
      <c r="AG53" s="300"/>
      <c r="AH53" s="299"/>
      <c r="AI53" s="299"/>
      <c r="AJ53" s="300"/>
      <c r="AK53" s="299"/>
      <c r="AL53" s="301"/>
      <c r="AM53" s="314"/>
      <c r="AN53" s="301"/>
      <c r="AO53" s="302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301"/>
      <c r="BC53" s="301"/>
      <c r="BD53" s="301"/>
      <c r="BE53" s="301"/>
      <c r="BF53" s="301"/>
      <c r="BG53" s="303"/>
      <c r="BH53" s="304"/>
    </row>
    <row r="54" spans="1:60" s="305" customFormat="1" ht="16.5" hidden="1" customHeight="1" x14ac:dyDescent="0.4">
      <c r="A54" s="285">
        <v>31</v>
      </c>
      <c r="B54" s="286"/>
      <c r="C54" s="286"/>
      <c r="D54" s="287" t="s">
        <v>92</v>
      </c>
      <c r="E54" s="287" t="s">
        <v>138</v>
      </c>
      <c r="F54" s="288" t="s">
        <v>92</v>
      </c>
      <c r="G54" s="289" t="s">
        <v>138</v>
      </c>
      <c r="H54" s="307"/>
      <c r="I54" s="290"/>
      <c r="J54" s="291" t="s">
        <v>668</v>
      </c>
      <c r="K54" s="287"/>
      <c r="L54" s="287"/>
      <c r="M54" s="287">
        <v>31944</v>
      </c>
      <c r="N54" s="287" t="s">
        <v>32</v>
      </c>
      <c r="O54" s="287" t="s">
        <v>33</v>
      </c>
      <c r="P54" s="287"/>
      <c r="Q54" s="287"/>
      <c r="R54" s="287"/>
      <c r="S54" s="292" t="s">
        <v>31</v>
      </c>
      <c r="T54" s="293"/>
      <c r="U54" s="294"/>
      <c r="V54" s="294"/>
      <c r="W54" s="295"/>
      <c r="X54" s="296"/>
      <c r="Y54" s="287"/>
      <c r="Z54" s="297" t="s">
        <v>26</v>
      </c>
      <c r="AA54" s="313"/>
      <c r="AB54" s="313"/>
      <c r="AC54" s="298">
        <f t="shared" si="4"/>
        <v>5000000</v>
      </c>
      <c r="AD54" s="298">
        <v>5000000</v>
      </c>
      <c r="AE54" s="298">
        <f t="shared" si="5"/>
        <v>0</v>
      </c>
      <c r="AF54" s="299"/>
      <c r="AG54" s="300"/>
      <c r="AH54" s="299"/>
      <c r="AI54" s="299"/>
      <c r="AJ54" s="300"/>
      <c r="AK54" s="299"/>
      <c r="AL54" s="301"/>
      <c r="AM54" s="314"/>
      <c r="AN54" s="301"/>
      <c r="AO54" s="302"/>
      <c r="AP54" s="301"/>
      <c r="AQ54" s="301"/>
      <c r="AR54" s="301"/>
      <c r="AS54" s="301">
        <v>2500000</v>
      </c>
      <c r="AT54" s="301"/>
      <c r="AU54" s="301"/>
      <c r="AV54" s="301"/>
      <c r="AW54" s="301"/>
      <c r="AX54" s="301"/>
      <c r="AY54" s="301"/>
      <c r="AZ54" s="301"/>
      <c r="BA54" s="301"/>
      <c r="BB54" s="301"/>
      <c r="BC54" s="301"/>
      <c r="BD54" s="301"/>
      <c r="BE54" s="301">
        <v>2500000</v>
      </c>
      <c r="BF54" s="301"/>
      <c r="BG54" s="303"/>
      <c r="BH54" s="304"/>
    </row>
    <row r="55" spans="1:60" s="305" customFormat="1" ht="16.5" hidden="1" customHeight="1" x14ac:dyDescent="0.4">
      <c r="A55" s="285">
        <v>32</v>
      </c>
      <c r="B55" s="286"/>
      <c r="C55" s="286"/>
      <c r="D55" s="287" t="s">
        <v>92</v>
      </c>
      <c r="E55" s="287" t="s">
        <v>138</v>
      </c>
      <c r="F55" s="288" t="s">
        <v>92</v>
      </c>
      <c r="G55" s="289" t="s">
        <v>138</v>
      </c>
      <c r="H55" s="307"/>
      <c r="I55" s="290"/>
      <c r="J55" s="291" t="s">
        <v>635</v>
      </c>
      <c r="K55" s="287"/>
      <c r="L55" s="287"/>
      <c r="M55" s="287">
        <v>14329</v>
      </c>
      <c r="N55" s="287" t="s">
        <v>32</v>
      </c>
      <c r="O55" s="287" t="s">
        <v>33</v>
      </c>
      <c r="P55" s="287"/>
      <c r="Q55" s="287"/>
      <c r="R55" s="287" t="s">
        <v>29</v>
      </c>
      <c r="S55" s="292" t="s">
        <v>29</v>
      </c>
      <c r="T55" s="293"/>
      <c r="U55" s="294"/>
      <c r="V55" s="294">
        <v>0</v>
      </c>
      <c r="W55" s="295"/>
      <c r="X55" s="296"/>
      <c r="Y55" s="287" t="s">
        <v>26</v>
      </c>
      <c r="Z55" s="297" t="s">
        <v>26</v>
      </c>
      <c r="AA55" s="313"/>
      <c r="AB55" s="313"/>
      <c r="AC55" s="298">
        <f t="shared" si="4"/>
        <v>200000000</v>
      </c>
      <c r="AD55" s="298">
        <v>200000000</v>
      </c>
      <c r="AE55" s="298">
        <f t="shared" si="5"/>
        <v>0</v>
      </c>
      <c r="AF55" s="299"/>
      <c r="AG55" s="300"/>
      <c r="AH55" s="299"/>
      <c r="AI55" s="299"/>
      <c r="AJ55" s="300"/>
      <c r="AK55" s="299"/>
      <c r="AL55" s="301"/>
      <c r="AM55" s="314"/>
      <c r="AN55" s="301"/>
      <c r="AO55" s="302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301"/>
      <c r="BC55" s="301"/>
      <c r="BD55" s="301"/>
      <c r="BE55" s="301">
        <v>200000000</v>
      </c>
      <c r="BF55" s="301"/>
      <c r="BG55" s="303"/>
      <c r="BH55" s="304"/>
    </row>
    <row r="56" spans="1:60" s="305" customFormat="1" ht="16.5" hidden="1" customHeight="1" x14ac:dyDescent="0.4">
      <c r="A56" s="285">
        <v>33</v>
      </c>
      <c r="B56" s="286"/>
      <c r="C56" s="286"/>
      <c r="D56" s="287"/>
      <c r="E56" s="287"/>
      <c r="F56" s="288" t="s">
        <v>92</v>
      </c>
      <c r="G56" s="289" t="s">
        <v>138</v>
      </c>
      <c r="H56" s="307"/>
      <c r="I56" s="290"/>
      <c r="J56" s="291" t="s">
        <v>852</v>
      </c>
      <c r="K56" s="287"/>
      <c r="L56" s="287"/>
      <c r="M56" s="287">
        <v>3561</v>
      </c>
      <c r="N56" s="287" t="s">
        <v>32</v>
      </c>
      <c r="O56" s="287" t="s">
        <v>43</v>
      </c>
      <c r="P56" s="287"/>
      <c r="Q56" s="287"/>
      <c r="R56" s="287"/>
      <c r="S56" s="292" t="s">
        <v>29</v>
      </c>
      <c r="T56" s="293"/>
      <c r="U56" s="294"/>
      <c r="V56" s="294"/>
      <c r="W56" s="295"/>
      <c r="X56" s="296"/>
      <c r="Y56" s="287"/>
      <c r="Z56" s="297" t="s">
        <v>28</v>
      </c>
      <c r="AA56" s="313"/>
      <c r="AB56" s="313"/>
      <c r="AC56" s="298">
        <f t="shared" si="4"/>
        <v>28111200</v>
      </c>
      <c r="AD56" s="298">
        <v>28111200</v>
      </c>
      <c r="AE56" s="298">
        <f t="shared" si="5"/>
        <v>0</v>
      </c>
      <c r="AF56" s="299"/>
      <c r="AG56" s="300"/>
      <c r="AH56" s="299"/>
      <c r="AI56" s="299"/>
      <c r="AJ56" s="300"/>
      <c r="AK56" s="299"/>
      <c r="AL56" s="301"/>
      <c r="AM56" s="314"/>
      <c r="AN56" s="301"/>
      <c r="AO56" s="302">
        <v>28111200</v>
      </c>
      <c r="AP56" s="301"/>
      <c r="AQ56" s="301"/>
      <c r="AR56" s="301"/>
      <c r="AS56" s="301"/>
      <c r="AT56" s="301"/>
      <c r="AU56" s="301"/>
      <c r="AV56" s="301"/>
      <c r="AW56" s="301"/>
      <c r="AX56" s="301"/>
      <c r="AY56" s="301"/>
      <c r="AZ56" s="301"/>
      <c r="BA56" s="301"/>
      <c r="BB56" s="301"/>
      <c r="BC56" s="301"/>
      <c r="BD56" s="301"/>
      <c r="BE56" s="301"/>
      <c r="BF56" s="301"/>
      <c r="BG56" s="303"/>
      <c r="BH56" s="304"/>
    </row>
    <row r="57" spans="1:60" s="305" customFormat="1" ht="16.5" hidden="1" customHeight="1" x14ac:dyDescent="0.4">
      <c r="A57" s="285">
        <v>34</v>
      </c>
      <c r="B57" s="286"/>
      <c r="C57" s="286"/>
      <c r="D57" s="287" t="s">
        <v>92</v>
      </c>
      <c r="E57" s="287" t="s">
        <v>184</v>
      </c>
      <c r="F57" s="288" t="s">
        <v>92</v>
      </c>
      <c r="G57" s="289" t="s">
        <v>138</v>
      </c>
      <c r="H57" s="307"/>
      <c r="I57" s="290"/>
      <c r="J57" s="291" t="s">
        <v>533</v>
      </c>
      <c r="K57" s="287"/>
      <c r="L57" s="287"/>
      <c r="M57" s="287">
        <v>3561</v>
      </c>
      <c r="N57" s="287" t="s">
        <v>32</v>
      </c>
      <c r="O57" s="287" t="s">
        <v>43</v>
      </c>
      <c r="P57" s="287"/>
      <c r="Q57" s="287" t="s">
        <v>37</v>
      </c>
      <c r="R57" s="287" t="s">
        <v>29</v>
      </c>
      <c r="S57" s="292" t="s">
        <v>29</v>
      </c>
      <c r="T57" s="293" t="s">
        <v>798</v>
      </c>
      <c r="U57" s="294">
        <v>144901400</v>
      </c>
      <c r="V57" s="294">
        <v>141638600</v>
      </c>
      <c r="W57" s="295">
        <v>202825450</v>
      </c>
      <c r="X57" s="296"/>
      <c r="Y57" s="287" t="s">
        <v>28</v>
      </c>
      <c r="Z57" s="297" t="s">
        <v>25</v>
      </c>
      <c r="AA57" s="313"/>
      <c r="AB57" s="313"/>
      <c r="AC57" s="298">
        <f t="shared" si="4"/>
        <v>214000000</v>
      </c>
      <c r="AD57" s="298">
        <v>214000000</v>
      </c>
      <c r="AE57" s="298">
        <f t="shared" si="5"/>
        <v>0</v>
      </c>
      <c r="AF57" s="299"/>
      <c r="AG57" s="300"/>
      <c r="AH57" s="299"/>
      <c r="AI57" s="299">
        <v>0</v>
      </c>
      <c r="AJ57" s="300"/>
      <c r="AK57" s="299"/>
      <c r="AL57" s="301"/>
      <c r="AM57" s="314"/>
      <c r="AN57" s="301"/>
      <c r="AO57" s="302"/>
      <c r="AP57" s="301"/>
      <c r="AQ57" s="301"/>
      <c r="AR57" s="301"/>
      <c r="AS57" s="301"/>
      <c r="AT57" s="301"/>
      <c r="AU57" s="301">
        <v>90000000</v>
      </c>
      <c r="AV57" s="301"/>
      <c r="AW57" s="301"/>
      <c r="AX57" s="301"/>
      <c r="AY57" s="301"/>
      <c r="AZ57" s="301"/>
      <c r="BA57" s="301"/>
      <c r="BB57" s="301"/>
      <c r="BC57" s="301"/>
      <c r="BD57" s="301"/>
      <c r="BE57" s="301">
        <v>124000000</v>
      </c>
      <c r="BF57" s="301"/>
      <c r="BG57" s="303"/>
      <c r="BH57" s="304"/>
    </row>
    <row r="58" spans="1:60" s="305" customFormat="1" ht="16.5" hidden="1" customHeight="1" x14ac:dyDescent="0.4">
      <c r="A58" s="285">
        <v>35</v>
      </c>
      <c r="B58" s="286"/>
      <c r="C58" s="286"/>
      <c r="D58" s="287" t="s">
        <v>92</v>
      </c>
      <c r="E58" s="287" t="s">
        <v>184</v>
      </c>
      <c r="F58" s="288" t="s">
        <v>92</v>
      </c>
      <c r="G58" s="289" t="s">
        <v>138</v>
      </c>
      <c r="H58" s="307"/>
      <c r="I58" s="290"/>
      <c r="J58" s="291" t="s">
        <v>533</v>
      </c>
      <c r="K58" s="287"/>
      <c r="L58" s="287"/>
      <c r="M58" s="287">
        <v>3561</v>
      </c>
      <c r="N58" s="287" t="s">
        <v>32</v>
      </c>
      <c r="O58" s="287" t="s">
        <v>33</v>
      </c>
      <c r="P58" s="287"/>
      <c r="Q58" s="287" t="s">
        <v>19</v>
      </c>
      <c r="R58" s="287" t="s">
        <v>20</v>
      </c>
      <c r="S58" s="292" t="s">
        <v>20</v>
      </c>
      <c r="T58" s="293"/>
      <c r="U58" s="294">
        <v>13667600</v>
      </c>
      <c r="V58" s="294">
        <v>11252000</v>
      </c>
      <c r="W58" s="295"/>
      <c r="X58" s="296"/>
      <c r="Y58" s="287" t="s">
        <v>25</v>
      </c>
      <c r="Z58" s="297" t="s">
        <v>544</v>
      </c>
      <c r="AA58" s="313"/>
      <c r="AB58" s="313"/>
      <c r="AC58" s="298">
        <f t="shared" si="4"/>
        <v>0</v>
      </c>
      <c r="AD58" s="298">
        <v>0</v>
      </c>
      <c r="AE58" s="298">
        <f t="shared" si="5"/>
        <v>0</v>
      </c>
      <c r="AF58" s="299"/>
      <c r="AG58" s="300"/>
      <c r="AH58" s="299"/>
      <c r="AI58" s="299"/>
      <c r="AJ58" s="300"/>
      <c r="AK58" s="299"/>
      <c r="AL58" s="301"/>
      <c r="AM58" s="314"/>
      <c r="AN58" s="301"/>
      <c r="AO58" s="302"/>
      <c r="AP58" s="301"/>
      <c r="AQ58" s="301"/>
      <c r="AR58" s="301"/>
      <c r="AS58" s="301"/>
      <c r="AT58" s="301"/>
      <c r="AU58" s="301"/>
      <c r="AV58" s="301"/>
      <c r="AW58" s="301"/>
      <c r="AX58" s="301"/>
      <c r="AY58" s="301"/>
      <c r="AZ58" s="301"/>
      <c r="BA58" s="301"/>
      <c r="BB58" s="301"/>
      <c r="BC58" s="301"/>
      <c r="BD58" s="301"/>
      <c r="BE58" s="301"/>
      <c r="BF58" s="301"/>
      <c r="BG58" s="303"/>
      <c r="BH58" s="304"/>
    </row>
    <row r="59" spans="1:60" s="305" customFormat="1" ht="16.5" hidden="1" customHeight="1" x14ac:dyDescent="0.4">
      <c r="A59" s="285">
        <v>36</v>
      </c>
      <c r="B59" s="286"/>
      <c r="C59" s="286"/>
      <c r="D59" s="287" t="s">
        <v>92</v>
      </c>
      <c r="E59" s="287" t="s">
        <v>184</v>
      </c>
      <c r="F59" s="288" t="s">
        <v>92</v>
      </c>
      <c r="G59" s="289" t="s">
        <v>138</v>
      </c>
      <c r="H59" s="307"/>
      <c r="I59" s="290"/>
      <c r="J59" s="291" t="s">
        <v>533</v>
      </c>
      <c r="K59" s="287"/>
      <c r="L59" s="287"/>
      <c r="M59" s="287">
        <v>3561</v>
      </c>
      <c r="N59" s="287" t="s">
        <v>32</v>
      </c>
      <c r="O59" s="287" t="s">
        <v>43</v>
      </c>
      <c r="P59" s="287"/>
      <c r="Q59" s="287" t="s">
        <v>27</v>
      </c>
      <c r="R59" s="287" t="s">
        <v>349</v>
      </c>
      <c r="S59" s="292" t="s">
        <v>349</v>
      </c>
      <c r="T59" s="293"/>
      <c r="U59" s="294" t="s">
        <v>97</v>
      </c>
      <c r="V59" s="294">
        <v>1700000</v>
      </c>
      <c r="W59" s="295">
        <v>9060000</v>
      </c>
      <c r="X59" s="296"/>
      <c r="Y59" s="287" t="s">
        <v>28</v>
      </c>
      <c r="Z59" s="297" t="s">
        <v>25</v>
      </c>
      <c r="AA59" s="313"/>
      <c r="AB59" s="313"/>
      <c r="AC59" s="298">
        <f t="shared" si="4"/>
        <v>4000000</v>
      </c>
      <c r="AD59" s="298">
        <v>4000000</v>
      </c>
      <c r="AE59" s="298">
        <f t="shared" si="5"/>
        <v>0</v>
      </c>
      <c r="AF59" s="299"/>
      <c r="AG59" s="300"/>
      <c r="AH59" s="299"/>
      <c r="AI59" s="299"/>
      <c r="AJ59" s="300"/>
      <c r="AK59" s="299"/>
      <c r="AL59" s="301"/>
      <c r="AM59" s="314"/>
      <c r="AN59" s="301"/>
      <c r="AO59" s="302"/>
      <c r="AP59" s="301"/>
      <c r="AQ59" s="301">
        <v>2000000</v>
      </c>
      <c r="AR59" s="301"/>
      <c r="AS59" s="301"/>
      <c r="AT59" s="301"/>
      <c r="AU59" s="301"/>
      <c r="AV59" s="301"/>
      <c r="AW59" s="301"/>
      <c r="AX59" s="301"/>
      <c r="AY59" s="301"/>
      <c r="AZ59" s="301"/>
      <c r="BA59" s="301">
        <v>2000000</v>
      </c>
      <c r="BB59" s="301"/>
      <c r="BC59" s="301"/>
      <c r="BD59" s="301"/>
      <c r="BE59" s="301"/>
      <c r="BF59" s="301"/>
      <c r="BG59" s="303"/>
      <c r="BH59" s="304"/>
    </row>
    <row r="60" spans="1:60" s="305" customFormat="1" ht="16.5" hidden="1" customHeight="1" x14ac:dyDescent="0.4">
      <c r="A60" s="285">
        <v>37</v>
      </c>
      <c r="B60" s="286"/>
      <c r="C60" s="286"/>
      <c r="D60" s="287"/>
      <c r="E60" s="287"/>
      <c r="F60" s="288" t="s">
        <v>92</v>
      </c>
      <c r="G60" s="289" t="s">
        <v>138</v>
      </c>
      <c r="H60" s="307"/>
      <c r="I60" s="290"/>
      <c r="J60" s="291" t="s">
        <v>533</v>
      </c>
      <c r="K60" s="287"/>
      <c r="L60" s="287"/>
      <c r="M60" s="287">
        <v>3561</v>
      </c>
      <c r="N60" s="287" t="s">
        <v>32</v>
      </c>
      <c r="O60" s="287" t="s">
        <v>43</v>
      </c>
      <c r="P60" s="287"/>
      <c r="Q60" s="287"/>
      <c r="R60" s="287"/>
      <c r="S60" s="292" t="s">
        <v>751</v>
      </c>
      <c r="T60" s="293"/>
      <c r="U60" s="294"/>
      <c r="V60" s="294"/>
      <c r="W60" s="295"/>
      <c r="X60" s="296"/>
      <c r="Y60" s="287"/>
      <c r="Z60" s="297" t="s">
        <v>28</v>
      </c>
      <c r="AA60" s="313"/>
      <c r="AB60" s="313"/>
      <c r="AC60" s="298">
        <f t="shared" si="4"/>
        <v>8521250</v>
      </c>
      <c r="AD60" s="298">
        <v>8521250</v>
      </c>
      <c r="AE60" s="298">
        <f t="shared" si="5"/>
        <v>0</v>
      </c>
      <c r="AF60" s="299"/>
      <c r="AG60" s="300"/>
      <c r="AH60" s="299"/>
      <c r="AI60" s="299"/>
      <c r="AJ60" s="300"/>
      <c r="AK60" s="299"/>
      <c r="AL60" s="301"/>
      <c r="AM60" s="314"/>
      <c r="AN60" s="301"/>
      <c r="AO60" s="302">
        <v>8521250</v>
      </c>
      <c r="AP60" s="301"/>
      <c r="AQ60" s="301"/>
      <c r="AR60" s="301"/>
      <c r="AS60" s="301"/>
      <c r="AT60" s="301"/>
      <c r="AU60" s="301"/>
      <c r="AV60" s="301"/>
      <c r="AW60" s="301"/>
      <c r="AX60" s="301"/>
      <c r="AY60" s="301"/>
      <c r="AZ60" s="301"/>
      <c r="BA60" s="301"/>
      <c r="BB60" s="301"/>
      <c r="BC60" s="301"/>
      <c r="BD60" s="301"/>
      <c r="BE60" s="301"/>
      <c r="BF60" s="301"/>
      <c r="BG60" s="303"/>
      <c r="BH60" s="304"/>
    </row>
    <row r="61" spans="1:60" s="305" customFormat="1" ht="16.5" hidden="1" customHeight="1" x14ac:dyDescent="0.4">
      <c r="A61" s="285">
        <v>38</v>
      </c>
      <c r="B61" s="286"/>
      <c r="C61" s="286"/>
      <c r="D61" s="287" t="s">
        <v>92</v>
      </c>
      <c r="E61" s="287" t="s">
        <v>184</v>
      </c>
      <c r="F61" s="288" t="s">
        <v>92</v>
      </c>
      <c r="G61" s="289" t="s">
        <v>138</v>
      </c>
      <c r="H61" s="307"/>
      <c r="I61" s="290"/>
      <c r="J61" s="291" t="s">
        <v>533</v>
      </c>
      <c r="K61" s="287"/>
      <c r="L61" s="287"/>
      <c r="M61" s="287">
        <v>3561</v>
      </c>
      <c r="N61" s="287" t="s">
        <v>32</v>
      </c>
      <c r="O61" s="287" t="s">
        <v>43</v>
      </c>
      <c r="P61" s="287"/>
      <c r="Q61" s="287"/>
      <c r="R61" s="287" t="s">
        <v>338</v>
      </c>
      <c r="S61" s="292" t="s">
        <v>753</v>
      </c>
      <c r="T61" s="293"/>
      <c r="U61" s="294"/>
      <c r="V61" s="294"/>
      <c r="W61" s="295">
        <v>50758450</v>
      </c>
      <c r="X61" s="296"/>
      <c r="Y61" s="287" t="s">
        <v>28</v>
      </c>
      <c r="Z61" s="297" t="s">
        <v>25</v>
      </c>
      <c r="AA61" s="313"/>
      <c r="AB61" s="313"/>
      <c r="AC61" s="298">
        <f t="shared" si="4"/>
        <v>50000000</v>
      </c>
      <c r="AD61" s="298">
        <v>50000000</v>
      </c>
      <c r="AE61" s="298">
        <f t="shared" si="5"/>
        <v>0</v>
      </c>
      <c r="AF61" s="299"/>
      <c r="AG61" s="300"/>
      <c r="AH61" s="299"/>
      <c r="AI61" s="299"/>
      <c r="AJ61" s="300"/>
      <c r="AK61" s="299"/>
      <c r="AL61" s="301"/>
      <c r="AM61" s="314"/>
      <c r="AN61" s="301"/>
      <c r="AO61" s="302"/>
      <c r="AP61" s="301"/>
      <c r="AQ61" s="301"/>
      <c r="AR61" s="301"/>
      <c r="AS61" s="301"/>
      <c r="AT61" s="301"/>
      <c r="AU61" s="301">
        <v>30000000</v>
      </c>
      <c r="AV61" s="301"/>
      <c r="AW61" s="301"/>
      <c r="AX61" s="301"/>
      <c r="AY61" s="301"/>
      <c r="AZ61" s="301"/>
      <c r="BA61" s="301"/>
      <c r="BB61" s="301"/>
      <c r="BC61" s="301"/>
      <c r="BD61" s="301"/>
      <c r="BE61" s="301">
        <v>20000000</v>
      </c>
      <c r="BF61" s="301"/>
      <c r="BG61" s="303"/>
      <c r="BH61" s="304"/>
    </row>
    <row r="62" spans="1:60" s="305" customFormat="1" ht="16.5" hidden="1" customHeight="1" x14ac:dyDescent="0.4">
      <c r="A62" s="285">
        <v>39</v>
      </c>
      <c r="B62" s="286"/>
      <c r="C62" s="286"/>
      <c r="D62" s="287" t="s">
        <v>92</v>
      </c>
      <c r="E62" s="287" t="s">
        <v>184</v>
      </c>
      <c r="F62" s="288" t="s">
        <v>92</v>
      </c>
      <c r="G62" s="289" t="s">
        <v>138</v>
      </c>
      <c r="H62" s="307"/>
      <c r="I62" s="290"/>
      <c r="J62" s="291" t="s">
        <v>532</v>
      </c>
      <c r="K62" s="287"/>
      <c r="L62" s="287"/>
      <c r="M62" s="287">
        <v>3561</v>
      </c>
      <c r="N62" s="287" t="s">
        <v>32</v>
      </c>
      <c r="O62" s="287" t="s">
        <v>43</v>
      </c>
      <c r="P62" s="287"/>
      <c r="Q62" s="287" t="s">
        <v>37</v>
      </c>
      <c r="R62" s="287" t="s">
        <v>38</v>
      </c>
      <c r="S62" s="292" t="s">
        <v>38</v>
      </c>
      <c r="T62" s="293"/>
      <c r="U62" s="294"/>
      <c r="V62" s="294">
        <v>0</v>
      </c>
      <c r="W62" s="295">
        <v>67200000</v>
      </c>
      <c r="X62" s="296"/>
      <c r="Y62" s="287" t="s">
        <v>28</v>
      </c>
      <c r="Z62" s="297" t="s">
        <v>544</v>
      </c>
      <c r="AA62" s="313"/>
      <c r="AB62" s="313"/>
      <c r="AC62" s="298">
        <f t="shared" si="4"/>
        <v>0</v>
      </c>
      <c r="AD62" s="298">
        <v>0</v>
      </c>
      <c r="AE62" s="298">
        <f t="shared" si="5"/>
        <v>0</v>
      </c>
      <c r="AF62" s="299"/>
      <c r="AG62" s="300"/>
      <c r="AH62" s="299"/>
      <c r="AI62" s="299"/>
      <c r="AJ62" s="300"/>
      <c r="AK62" s="299"/>
      <c r="AL62" s="301"/>
      <c r="AM62" s="314"/>
      <c r="AN62" s="301"/>
      <c r="AO62" s="302"/>
      <c r="AP62" s="301"/>
      <c r="AQ62" s="301"/>
      <c r="AR62" s="301"/>
      <c r="AS62" s="301"/>
      <c r="AT62" s="301"/>
      <c r="AU62" s="301"/>
      <c r="AV62" s="301"/>
      <c r="AW62" s="301"/>
      <c r="AX62" s="301"/>
      <c r="AY62" s="301"/>
      <c r="AZ62" s="301"/>
      <c r="BA62" s="301"/>
      <c r="BB62" s="301"/>
      <c r="BC62" s="301"/>
      <c r="BD62" s="301"/>
      <c r="BE62" s="301"/>
      <c r="BF62" s="301"/>
      <c r="BG62" s="303"/>
      <c r="BH62" s="304"/>
    </row>
    <row r="63" spans="1:60" s="305" customFormat="1" ht="16.5" hidden="1" customHeight="1" x14ac:dyDescent="0.4">
      <c r="A63" s="285">
        <v>40</v>
      </c>
      <c r="B63" s="286"/>
      <c r="C63" s="286"/>
      <c r="D63" s="287" t="s">
        <v>92</v>
      </c>
      <c r="E63" s="287" t="s">
        <v>138</v>
      </c>
      <c r="F63" s="288" t="s">
        <v>92</v>
      </c>
      <c r="G63" s="289" t="s">
        <v>138</v>
      </c>
      <c r="H63" s="307"/>
      <c r="I63" s="290"/>
      <c r="J63" s="291" t="s">
        <v>125</v>
      </c>
      <c r="K63" s="287"/>
      <c r="L63" s="287"/>
      <c r="M63" s="287">
        <v>14952</v>
      </c>
      <c r="N63" s="287" t="s">
        <v>32</v>
      </c>
      <c r="O63" s="287" t="s">
        <v>33</v>
      </c>
      <c r="P63" s="287"/>
      <c r="Q63" s="287"/>
      <c r="R63" s="287"/>
      <c r="S63" s="292" t="s">
        <v>29</v>
      </c>
      <c r="T63" s="293"/>
      <c r="U63" s="294"/>
      <c r="V63" s="294"/>
      <c r="W63" s="295"/>
      <c r="X63" s="296"/>
      <c r="Y63" s="287"/>
      <c r="Z63" s="297" t="s">
        <v>26</v>
      </c>
      <c r="AA63" s="313"/>
      <c r="AB63" s="313"/>
      <c r="AC63" s="298">
        <f t="shared" si="4"/>
        <v>500000000</v>
      </c>
      <c r="AD63" s="298">
        <v>500000000</v>
      </c>
      <c r="AE63" s="298">
        <f t="shared" si="5"/>
        <v>0</v>
      </c>
      <c r="AF63" s="299"/>
      <c r="AG63" s="300"/>
      <c r="AH63" s="299"/>
      <c r="AI63" s="299"/>
      <c r="AJ63" s="300"/>
      <c r="AK63" s="299"/>
      <c r="AL63" s="301"/>
      <c r="AM63" s="314"/>
      <c r="AN63" s="301"/>
      <c r="AO63" s="302"/>
      <c r="AP63" s="301"/>
      <c r="AQ63" s="301"/>
      <c r="AR63" s="301"/>
      <c r="AS63" s="301"/>
      <c r="AT63" s="301"/>
      <c r="AU63" s="301"/>
      <c r="AV63" s="301"/>
      <c r="AW63" s="301"/>
      <c r="AX63" s="301"/>
      <c r="AY63" s="301"/>
      <c r="AZ63" s="301"/>
      <c r="BA63" s="301"/>
      <c r="BB63" s="301"/>
      <c r="BC63" s="301"/>
      <c r="BD63" s="301"/>
      <c r="BE63" s="301">
        <v>500000000</v>
      </c>
      <c r="BF63" s="301"/>
      <c r="BG63" s="303"/>
      <c r="BH63" s="304"/>
    </row>
    <row r="64" spans="1:60" s="305" customFormat="1" ht="16.5" hidden="1" customHeight="1" x14ac:dyDescent="0.4">
      <c r="A64" s="285">
        <v>41</v>
      </c>
      <c r="B64" s="286"/>
      <c r="C64" s="286"/>
      <c r="D64" s="287" t="s">
        <v>92</v>
      </c>
      <c r="E64" s="287" t="s">
        <v>138</v>
      </c>
      <c r="F64" s="288" t="s">
        <v>92</v>
      </c>
      <c r="G64" s="289" t="s">
        <v>138</v>
      </c>
      <c r="H64" s="307"/>
      <c r="I64" s="290"/>
      <c r="J64" s="291" t="s">
        <v>125</v>
      </c>
      <c r="K64" s="287"/>
      <c r="L64" s="287"/>
      <c r="M64" s="287">
        <v>14952</v>
      </c>
      <c r="N64" s="287" t="s">
        <v>32</v>
      </c>
      <c r="O64" s="287" t="s">
        <v>33</v>
      </c>
      <c r="P64" s="287" t="s">
        <v>98</v>
      </c>
      <c r="Q64" s="287" t="s">
        <v>49</v>
      </c>
      <c r="R64" s="287" t="s">
        <v>349</v>
      </c>
      <c r="S64" s="292" t="s">
        <v>349</v>
      </c>
      <c r="T64" s="293"/>
      <c r="U64" s="294"/>
      <c r="V64" s="294">
        <v>0</v>
      </c>
      <c r="W64" s="295"/>
      <c r="X64" s="296"/>
      <c r="Y64" s="287" t="s">
        <v>56</v>
      </c>
      <c r="Z64" s="297" t="s">
        <v>618</v>
      </c>
      <c r="AA64" s="313"/>
      <c r="AB64" s="313"/>
      <c r="AC64" s="298">
        <f t="shared" si="4"/>
        <v>700000000</v>
      </c>
      <c r="AD64" s="298">
        <v>700000000</v>
      </c>
      <c r="AE64" s="298">
        <f t="shared" si="5"/>
        <v>0</v>
      </c>
      <c r="AF64" s="299"/>
      <c r="AG64" s="300"/>
      <c r="AH64" s="299"/>
      <c r="AI64" s="299"/>
      <c r="AJ64" s="300"/>
      <c r="AK64" s="299"/>
      <c r="AL64" s="301"/>
      <c r="AM64" s="314"/>
      <c r="AN64" s="301"/>
      <c r="AO64" s="302"/>
      <c r="AP64" s="301"/>
      <c r="AQ64" s="301"/>
      <c r="AR64" s="301"/>
      <c r="AS64" s="301"/>
      <c r="AT64" s="301"/>
      <c r="AU64" s="301"/>
      <c r="AV64" s="301"/>
      <c r="AW64" s="301"/>
      <c r="AX64" s="301"/>
      <c r="AY64" s="301"/>
      <c r="AZ64" s="301"/>
      <c r="BA64" s="301"/>
      <c r="BB64" s="301"/>
      <c r="BC64" s="301"/>
      <c r="BD64" s="301"/>
      <c r="BE64" s="301">
        <v>700000000</v>
      </c>
      <c r="BF64" s="301"/>
      <c r="BG64" s="303"/>
      <c r="BH64" s="304"/>
    </row>
    <row r="65" spans="1:60" s="305" customFormat="1" ht="16.5" hidden="1" customHeight="1" x14ac:dyDescent="0.4">
      <c r="A65" s="285">
        <v>42</v>
      </c>
      <c r="B65" s="286"/>
      <c r="C65" s="286"/>
      <c r="D65" s="287" t="s">
        <v>92</v>
      </c>
      <c r="E65" s="287" t="s">
        <v>138</v>
      </c>
      <c r="F65" s="288" t="s">
        <v>92</v>
      </c>
      <c r="G65" s="289" t="s">
        <v>138</v>
      </c>
      <c r="H65" s="307"/>
      <c r="I65" s="290"/>
      <c r="J65" s="291" t="s">
        <v>153</v>
      </c>
      <c r="K65" s="287"/>
      <c r="L65" s="287"/>
      <c r="M65" s="287">
        <v>55875</v>
      </c>
      <c r="N65" s="287" t="s">
        <v>23</v>
      </c>
      <c r="O65" s="287" t="s">
        <v>33</v>
      </c>
      <c r="P65" s="287" t="s">
        <v>44</v>
      </c>
      <c r="Q65" s="287" t="s">
        <v>19</v>
      </c>
      <c r="R65" s="287" t="s">
        <v>20</v>
      </c>
      <c r="S65" s="292" t="s">
        <v>20</v>
      </c>
      <c r="T65" s="293"/>
      <c r="U65" s="294">
        <v>670500</v>
      </c>
      <c r="V65" s="294">
        <v>625500</v>
      </c>
      <c r="W65" s="295"/>
      <c r="X65" s="296"/>
      <c r="Y65" s="287" t="s">
        <v>21</v>
      </c>
      <c r="Z65" s="297" t="s">
        <v>618</v>
      </c>
      <c r="AA65" s="313"/>
      <c r="AB65" s="313"/>
      <c r="AC65" s="298">
        <f t="shared" si="4"/>
        <v>0</v>
      </c>
      <c r="AD65" s="298">
        <v>0</v>
      </c>
      <c r="AE65" s="298">
        <f t="shared" si="5"/>
        <v>0</v>
      </c>
      <c r="AF65" s="299"/>
      <c r="AG65" s="300"/>
      <c r="AH65" s="299"/>
      <c r="AI65" s="299"/>
      <c r="AJ65" s="300"/>
      <c r="AK65" s="299"/>
      <c r="AL65" s="301"/>
      <c r="AM65" s="314"/>
      <c r="AN65" s="301"/>
      <c r="AO65" s="302"/>
      <c r="AP65" s="301"/>
      <c r="AQ65" s="301"/>
      <c r="AR65" s="301"/>
      <c r="AS65" s="301"/>
      <c r="AT65" s="301"/>
      <c r="AU65" s="301"/>
      <c r="AV65" s="301"/>
      <c r="AW65" s="301"/>
      <c r="AX65" s="301"/>
      <c r="AY65" s="301"/>
      <c r="AZ65" s="301"/>
      <c r="BA65" s="301"/>
      <c r="BB65" s="301"/>
      <c r="BC65" s="301"/>
      <c r="BD65" s="301"/>
      <c r="BE65" s="301"/>
      <c r="BF65" s="301"/>
      <c r="BG65" s="303"/>
      <c r="BH65" s="304"/>
    </row>
    <row r="66" spans="1:60" s="305" customFormat="1" ht="16.5" hidden="1" customHeight="1" x14ac:dyDescent="0.4">
      <c r="A66" s="285">
        <v>43</v>
      </c>
      <c r="B66" s="286"/>
      <c r="C66" s="286"/>
      <c r="D66" s="287" t="s">
        <v>92</v>
      </c>
      <c r="E66" s="287" t="s">
        <v>138</v>
      </c>
      <c r="F66" s="288" t="s">
        <v>92</v>
      </c>
      <c r="G66" s="289" t="s">
        <v>138</v>
      </c>
      <c r="H66" s="307"/>
      <c r="I66" s="290"/>
      <c r="J66" s="291" t="s">
        <v>154</v>
      </c>
      <c r="K66" s="287"/>
      <c r="L66" s="287"/>
      <c r="M66" s="287">
        <v>12964</v>
      </c>
      <c r="N66" s="287" t="s">
        <v>23</v>
      </c>
      <c r="O66" s="287" t="s">
        <v>117</v>
      </c>
      <c r="P66" s="287" t="s">
        <v>44</v>
      </c>
      <c r="Q66" s="287" t="s">
        <v>41</v>
      </c>
      <c r="R66" s="287" t="s">
        <v>339</v>
      </c>
      <c r="S66" s="292" t="s">
        <v>746</v>
      </c>
      <c r="T66" s="293"/>
      <c r="U66" s="294">
        <v>20000000</v>
      </c>
      <c r="V66" s="294">
        <v>20000000</v>
      </c>
      <c r="W66" s="295">
        <v>20000000</v>
      </c>
      <c r="X66" s="296"/>
      <c r="Y66" s="287" t="s">
        <v>28</v>
      </c>
      <c r="Z66" s="297" t="s">
        <v>28</v>
      </c>
      <c r="AA66" s="313"/>
      <c r="AB66" s="313"/>
      <c r="AC66" s="298">
        <f t="shared" si="4"/>
        <v>20000000</v>
      </c>
      <c r="AD66" s="298">
        <v>20000000</v>
      </c>
      <c r="AE66" s="298">
        <f t="shared" si="5"/>
        <v>0</v>
      </c>
      <c r="AF66" s="299"/>
      <c r="AG66" s="300"/>
      <c r="AH66" s="299"/>
      <c r="AI66" s="299"/>
      <c r="AJ66" s="300"/>
      <c r="AK66" s="299"/>
      <c r="AL66" s="301">
        <v>20000000</v>
      </c>
      <c r="AM66" s="314">
        <v>20000000</v>
      </c>
      <c r="AN66" s="301"/>
      <c r="AO66" s="302"/>
      <c r="AP66" s="301"/>
      <c r="AQ66" s="301"/>
      <c r="AR66" s="301"/>
      <c r="AS66" s="301"/>
      <c r="AT66" s="301"/>
      <c r="AU66" s="301"/>
      <c r="AV66" s="301"/>
      <c r="AW66" s="301"/>
      <c r="AX66" s="301"/>
      <c r="AY66" s="301"/>
      <c r="AZ66" s="301"/>
      <c r="BA66" s="301"/>
      <c r="BB66" s="301"/>
      <c r="BC66" s="301"/>
      <c r="BD66" s="301"/>
      <c r="BE66" s="301"/>
      <c r="BF66" s="301"/>
      <c r="BG66" s="303"/>
      <c r="BH66" s="304"/>
    </row>
    <row r="67" spans="1:60" s="305" customFormat="1" ht="16.5" hidden="1" customHeight="1" x14ac:dyDescent="0.4">
      <c r="A67" s="285">
        <v>44</v>
      </c>
      <c r="B67" s="286"/>
      <c r="C67" s="286"/>
      <c r="D67" s="287" t="s">
        <v>92</v>
      </c>
      <c r="E67" s="287" t="s">
        <v>138</v>
      </c>
      <c r="F67" s="288" t="s">
        <v>92</v>
      </c>
      <c r="G67" s="289" t="s">
        <v>138</v>
      </c>
      <c r="H67" s="307"/>
      <c r="I67" s="290"/>
      <c r="J67" s="291" t="s">
        <v>665</v>
      </c>
      <c r="K67" s="287"/>
      <c r="L67" s="287"/>
      <c r="M67" s="287">
        <v>62546</v>
      </c>
      <c r="N67" s="287" t="s">
        <v>23</v>
      </c>
      <c r="O67" s="287" t="s">
        <v>33</v>
      </c>
      <c r="P67" s="287"/>
      <c r="Q67" s="287" t="s">
        <v>19</v>
      </c>
      <c r="R67" s="287" t="s">
        <v>20</v>
      </c>
      <c r="S67" s="292" t="s">
        <v>20</v>
      </c>
      <c r="T67" s="293"/>
      <c r="U67" s="294" t="s">
        <v>97</v>
      </c>
      <c r="V67" s="294">
        <v>924000</v>
      </c>
      <c r="W67" s="295"/>
      <c r="X67" s="296"/>
      <c r="Y67" s="287" t="s">
        <v>21</v>
      </c>
      <c r="Z67" s="297" t="s">
        <v>21</v>
      </c>
      <c r="AA67" s="313"/>
      <c r="AB67" s="313"/>
      <c r="AC67" s="298">
        <f t="shared" si="4"/>
        <v>0</v>
      </c>
      <c r="AD67" s="298">
        <v>0</v>
      </c>
      <c r="AE67" s="298">
        <f t="shared" si="5"/>
        <v>0</v>
      </c>
      <c r="AF67" s="299"/>
      <c r="AG67" s="300"/>
      <c r="AH67" s="299"/>
      <c r="AI67" s="299"/>
      <c r="AJ67" s="300"/>
      <c r="AK67" s="299"/>
      <c r="AL67" s="301"/>
      <c r="AM67" s="314"/>
      <c r="AN67" s="301"/>
      <c r="AO67" s="302"/>
      <c r="AP67" s="301"/>
      <c r="AQ67" s="301"/>
      <c r="AR67" s="301"/>
      <c r="AS67" s="301"/>
      <c r="AT67" s="301"/>
      <c r="AU67" s="301"/>
      <c r="AV67" s="301"/>
      <c r="AW67" s="301"/>
      <c r="AX67" s="301"/>
      <c r="AY67" s="301"/>
      <c r="AZ67" s="301"/>
      <c r="BA67" s="301"/>
      <c r="BB67" s="301"/>
      <c r="BC67" s="301"/>
      <c r="BD67" s="301"/>
      <c r="BE67" s="301"/>
      <c r="BF67" s="301"/>
      <c r="BG67" s="303"/>
      <c r="BH67" s="304"/>
    </row>
    <row r="68" spans="1:60" s="305" customFormat="1" ht="16.5" hidden="1" customHeight="1" x14ac:dyDescent="0.4">
      <c r="A68" s="285">
        <v>45</v>
      </c>
      <c r="B68" s="286"/>
      <c r="C68" s="286"/>
      <c r="D68" s="287" t="s">
        <v>92</v>
      </c>
      <c r="E68" s="287" t="s">
        <v>138</v>
      </c>
      <c r="F68" s="288" t="s">
        <v>92</v>
      </c>
      <c r="G68" s="289" t="s">
        <v>138</v>
      </c>
      <c r="H68" s="307"/>
      <c r="I68" s="290"/>
      <c r="J68" s="291" t="s">
        <v>155</v>
      </c>
      <c r="K68" s="287"/>
      <c r="L68" s="287"/>
      <c r="M68" s="287">
        <v>39979</v>
      </c>
      <c r="N68" s="287" t="s">
        <v>40</v>
      </c>
      <c r="O68" s="287" t="s">
        <v>33</v>
      </c>
      <c r="P68" s="287"/>
      <c r="Q68" s="287" t="s">
        <v>19</v>
      </c>
      <c r="R68" s="287" t="s">
        <v>20</v>
      </c>
      <c r="S68" s="292" t="s">
        <v>20</v>
      </c>
      <c r="T68" s="293"/>
      <c r="U68" s="294">
        <v>4022500</v>
      </c>
      <c r="V68" s="294">
        <v>0</v>
      </c>
      <c r="W68" s="295"/>
      <c r="X68" s="296"/>
      <c r="Y68" s="287" t="s">
        <v>22</v>
      </c>
      <c r="Z68" s="297" t="s">
        <v>21</v>
      </c>
      <c r="AA68" s="313"/>
      <c r="AB68" s="313"/>
      <c r="AC68" s="298">
        <f t="shared" si="4"/>
        <v>0</v>
      </c>
      <c r="AD68" s="298">
        <v>0</v>
      </c>
      <c r="AE68" s="298">
        <f t="shared" si="5"/>
        <v>0</v>
      </c>
      <c r="AF68" s="299"/>
      <c r="AG68" s="300"/>
      <c r="AH68" s="299"/>
      <c r="AI68" s="299"/>
      <c r="AJ68" s="300"/>
      <c r="AK68" s="299"/>
      <c r="AL68" s="301"/>
      <c r="AM68" s="314"/>
      <c r="AN68" s="301"/>
      <c r="AO68" s="302"/>
      <c r="AP68" s="301"/>
      <c r="AQ68" s="301"/>
      <c r="AR68" s="301"/>
      <c r="AS68" s="301"/>
      <c r="AT68" s="301"/>
      <c r="AU68" s="301"/>
      <c r="AV68" s="301"/>
      <c r="AW68" s="301"/>
      <c r="AX68" s="301"/>
      <c r="AY68" s="301"/>
      <c r="AZ68" s="301"/>
      <c r="BA68" s="301"/>
      <c r="BB68" s="301"/>
      <c r="BC68" s="301"/>
      <c r="BD68" s="301"/>
      <c r="BE68" s="301"/>
      <c r="BF68" s="301"/>
      <c r="BG68" s="303"/>
      <c r="BH68" s="304"/>
    </row>
    <row r="69" spans="1:60" s="305" customFormat="1" ht="16.5" hidden="1" customHeight="1" x14ac:dyDescent="0.4">
      <c r="A69" s="285">
        <v>46</v>
      </c>
      <c r="B69" s="286"/>
      <c r="C69" s="286"/>
      <c r="D69" s="287" t="s">
        <v>92</v>
      </c>
      <c r="E69" s="287" t="s">
        <v>138</v>
      </c>
      <c r="F69" s="288" t="s">
        <v>92</v>
      </c>
      <c r="G69" s="289" t="s">
        <v>138</v>
      </c>
      <c r="H69" s="307"/>
      <c r="I69" s="290"/>
      <c r="J69" s="291" t="s">
        <v>155</v>
      </c>
      <c r="K69" s="287"/>
      <c r="L69" s="287"/>
      <c r="M69" s="287">
        <v>39979</v>
      </c>
      <c r="N69" s="287" t="s">
        <v>40</v>
      </c>
      <c r="O69" s="287" t="s">
        <v>43</v>
      </c>
      <c r="P69" s="287" t="s">
        <v>97</v>
      </c>
      <c r="Q69" s="287" t="s">
        <v>30</v>
      </c>
      <c r="R69" s="287" t="s">
        <v>31</v>
      </c>
      <c r="S69" s="292" t="s">
        <v>31</v>
      </c>
      <c r="T69" s="293"/>
      <c r="U69" s="294" t="s">
        <v>97</v>
      </c>
      <c r="V69" s="294">
        <v>4007500</v>
      </c>
      <c r="W69" s="295">
        <v>3795000</v>
      </c>
      <c r="X69" s="296"/>
      <c r="Y69" s="287" t="s">
        <v>25</v>
      </c>
      <c r="Z69" s="297" t="s">
        <v>25</v>
      </c>
      <c r="AA69" s="313"/>
      <c r="AB69" s="313"/>
      <c r="AC69" s="298">
        <f t="shared" si="4"/>
        <v>3000000</v>
      </c>
      <c r="AD69" s="298">
        <v>3000000</v>
      </c>
      <c r="AE69" s="298">
        <f t="shared" si="5"/>
        <v>0</v>
      </c>
      <c r="AF69" s="299"/>
      <c r="AG69" s="300"/>
      <c r="AH69" s="299"/>
      <c r="AI69" s="299"/>
      <c r="AJ69" s="300"/>
      <c r="AK69" s="299"/>
      <c r="AL69" s="301"/>
      <c r="AM69" s="314"/>
      <c r="AN69" s="301"/>
      <c r="AO69" s="302"/>
      <c r="AP69" s="301"/>
      <c r="AQ69" s="301"/>
      <c r="AR69" s="301"/>
      <c r="AS69" s="301"/>
      <c r="AT69" s="301"/>
      <c r="AU69" s="301">
        <v>1500000</v>
      </c>
      <c r="AV69" s="301"/>
      <c r="AW69" s="301"/>
      <c r="AX69" s="301"/>
      <c r="AY69" s="301"/>
      <c r="AZ69" s="301"/>
      <c r="BA69" s="301"/>
      <c r="BB69" s="301"/>
      <c r="BC69" s="301"/>
      <c r="BD69" s="301"/>
      <c r="BE69" s="301">
        <v>1500000</v>
      </c>
      <c r="BF69" s="301"/>
      <c r="BG69" s="303"/>
      <c r="BH69" s="304"/>
    </row>
    <row r="70" spans="1:60" s="305" customFormat="1" ht="16.5" hidden="1" customHeight="1" x14ac:dyDescent="0.4">
      <c r="A70" s="285">
        <v>47</v>
      </c>
      <c r="B70" s="286"/>
      <c r="C70" s="286"/>
      <c r="D70" s="287" t="s">
        <v>92</v>
      </c>
      <c r="E70" s="287" t="s">
        <v>138</v>
      </c>
      <c r="F70" s="288" t="s">
        <v>92</v>
      </c>
      <c r="G70" s="289" t="s">
        <v>138</v>
      </c>
      <c r="H70" s="307"/>
      <c r="I70" s="290"/>
      <c r="J70" s="291" t="s">
        <v>666</v>
      </c>
      <c r="K70" s="287"/>
      <c r="L70" s="287"/>
      <c r="M70" s="287">
        <v>60151</v>
      </c>
      <c r="N70" s="287" t="s">
        <v>40</v>
      </c>
      <c r="O70" s="287" t="s">
        <v>33</v>
      </c>
      <c r="P70" s="287"/>
      <c r="Q70" s="287" t="s">
        <v>48</v>
      </c>
      <c r="R70" s="287" t="s">
        <v>685</v>
      </c>
      <c r="S70" s="292" t="s">
        <v>743</v>
      </c>
      <c r="T70" s="293"/>
      <c r="U70" s="294" t="s">
        <v>97</v>
      </c>
      <c r="V70" s="294">
        <v>9520000</v>
      </c>
      <c r="W70" s="295"/>
      <c r="X70" s="296"/>
      <c r="Y70" s="287" t="s">
        <v>544</v>
      </c>
      <c r="Z70" s="297" t="s">
        <v>544</v>
      </c>
      <c r="AA70" s="313"/>
      <c r="AB70" s="313"/>
      <c r="AC70" s="298">
        <f t="shared" si="4"/>
        <v>10000000</v>
      </c>
      <c r="AD70" s="298">
        <v>10000000</v>
      </c>
      <c r="AE70" s="298">
        <f t="shared" si="5"/>
        <v>0</v>
      </c>
      <c r="AF70" s="299"/>
      <c r="AG70" s="300"/>
      <c r="AH70" s="299"/>
      <c r="AI70" s="299"/>
      <c r="AJ70" s="300"/>
      <c r="AK70" s="299"/>
      <c r="AL70" s="301"/>
      <c r="AM70" s="314"/>
      <c r="AN70" s="301"/>
      <c r="AO70" s="302"/>
      <c r="AP70" s="301"/>
      <c r="AQ70" s="301"/>
      <c r="AR70" s="301"/>
      <c r="AS70" s="301"/>
      <c r="AT70" s="301"/>
      <c r="AU70" s="301"/>
      <c r="AV70" s="301"/>
      <c r="AW70" s="301"/>
      <c r="AX70" s="301"/>
      <c r="AY70" s="301"/>
      <c r="AZ70" s="301"/>
      <c r="BA70" s="301"/>
      <c r="BB70" s="301"/>
      <c r="BC70" s="301"/>
      <c r="BD70" s="301"/>
      <c r="BE70" s="301">
        <v>10000000</v>
      </c>
      <c r="BF70" s="301"/>
      <c r="BG70" s="303"/>
      <c r="BH70" s="304"/>
    </row>
    <row r="71" spans="1:60" s="305" customFormat="1" ht="16.5" hidden="1" customHeight="1" x14ac:dyDescent="0.4">
      <c r="A71" s="285">
        <v>48</v>
      </c>
      <c r="B71" s="286"/>
      <c r="C71" s="286"/>
      <c r="D71" s="287" t="s">
        <v>92</v>
      </c>
      <c r="E71" s="287" t="s">
        <v>138</v>
      </c>
      <c r="F71" s="288" t="s">
        <v>92</v>
      </c>
      <c r="G71" s="289" t="s">
        <v>138</v>
      </c>
      <c r="H71" s="307"/>
      <c r="I71" s="290"/>
      <c r="J71" s="291" t="s">
        <v>156</v>
      </c>
      <c r="K71" s="287"/>
      <c r="L71" s="287"/>
      <c r="M71" s="287">
        <v>7392</v>
      </c>
      <c r="N71" s="287" t="s">
        <v>23</v>
      </c>
      <c r="O71" s="287" t="s">
        <v>117</v>
      </c>
      <c r="P71" s="287" t="s">
        <v>44</v>
      </c>
      <c r="Q71" s="287" t="s">
        <v>49</v>
      </c>
      <c r="R71" s="287" t="s">
        <v>29</v>
      </c>
      <c r="S71" s="292" t="s">
        <v>29</v>
      </c>
      <c r="T71" s="293" t="s">
        <v>798</v>
      </c>
      <c r="U71" s="294">
        <v>454917242</v>
      </c>
      <c r="V71" s="294">
        <v>543420420</v>
      </c>
      <c r="W71" s="295">
        <v>361216120</v>
      </c>
      <c r="X71" s="296"/>
      <c r="Y71" s="287" t="s">
        <v>28</v>
      </c>
      <c r="Z71" s="297" t="s">
        <v>28</v>
      </c>
      <c r="AA71" s="313"/>
      <c r="AB71" s="313"/>
      <c r="AC71" s="298">
        <f t="shared" si="4"/>
        <v>358323420</v>
      </c>
      <c r="AD71" s="298">
        <v>358323420</v>
      </c>
      <c r="AE71" s="298">
        <f t="shared" si="5"/>
        <v>0</v>
      </c>
      <c r="AF71" s="299">
        <v>8319000</v>
      </c>
      <c r="AG71" s="300">
        <v>8319000</v>
      </c>
      <c r="AH71" s="299"/>
      <c r="AI71" s="299"/>
      <c r="AJ71" s="300"/>
      <c r="AK71" s="299"/>
      <c r="AL71" s="301"/>
      <c r="AM71" s="314"/>
      <c r="AN71" s="301"/>
      <c r="AO71" s="302">
        <v>50004420</v>
      </c>
      <c r="AP71" s="301"/>
      <c r="AQ71" s="301">
        <v>50000000</v>
      </c>
      <c r="AR71" s="301"/>
      <c r="AS71" s="301">
        <v>50000000</v>
      </c>
      <c r="AT71" s="301"/>
      <c r="AU71" s="301">
        <v>50000000</v>
      </c>
      <c r="AV71" s="301"/>
      <c r="AW71" s="301">
        <v>50000000</v>
      </c>
      <c r="AX71" s="301"/>
      <c r="AY71" s="301">
        <v>50000000</v>
      </c>
      <c r="AZ71" s="301"/>
      <c r="BA71" s="301">
        <v>50000000</v>
      </c>
      <c r="BB71" s="301"/>
      <c r="BC71" s="301">
        <v>0</v>
      </c>
      <c r="BD71" s="301"/>
      <c r="BE71" s="301"/>
      <c r="BF71" s="301"/>
      <c r="BG71" s="303"/>
      <c r="BH71" s="304"/>
    </row>
    <row r="72" spans="1:60" s="305" customFormat="1" ht="16.5" hidden="1" customHeight="1" x14ac:dyDescent="0.4">
      <c r="A72" s="285">
        <v>49</v>
      </c>
      <c r="B72" s="286"/>
      <c r="C72" s="286"/>
      <c r="D72" s="287" t="s">
        <v>92</v>
      </c>
      <c r="E72" s="287" t="s">
        <v>138</v>
      </c>
      <c r="F72" s="288" t="s">
        <v>92</v>
      </c>
      <c r="G72" s="289" t="s">
        <v>138</v>
      </c>
      <c r="H72" s="307"/>
      <c r="I72" s="290"/>
      <c r="J72" s="291" t="s">
        <v>156</v>
      </c>
      <c r="K72" s="287"/>
      <c r="L72" s="287"/>
      <c r="M72" s="287">
        <v>7392</v>
      </c>
      <c r="N72" s="287" t="s">
        <v>23</v>
      </c>
      <c r="O72" s="287" t="s">
        <v>33</v>
      </c>
      <c r="P72" s="287"/>
      <c r="Q72" s="287" t="s">
        <v>37</v>
      </c>
      <c r="R72" s="287" t="s">
        <v>38</v>
      </c>
      <c r="S72" s="292" t="s">
        <v>38</v>
      </c>
      <c r="T72" s="293"/>
      <c r="U72" s="294"/>
      <c r="V72" s="294">
        <v>32000000</v>
      </c>
      <c r="W72" s="295"/>
      <c r="X72" s="296"/>
      <c r="Y72" s="287" t="s">
        <v>21</v>
      </c>
      <c r="Z72" s="297" t="s">
        <v>22</v>
      </c>
      <c r="AA72" s="313"/>
      <c r="AB72" s="313"/>
      <c r="AC72" s="298">
        <f t="shared" si="4"/>
        <v>0</v>
      </c>
      <c r="AD72" s="298">
        <v>0</v>
      </c>
      <c r="AE72" s="298">
        <f t="shared" si="5"/>
        <v>0</v>
      </c>
      <c r="AF72" s="299"/>
      <c r="AG72" s="300"/>
      <c r="AH72" s="299"/>
      <c r="AI72" s="299"/>
      <c r="AJ72" s="300"/>
      <c r="AK72" s="299"/>
      <c r="AL72" s="301"/>
      <c r="AM72" s="314"/>
      <c r="AN72" s="301"/>
      <c r="AO72" s="302"/>
      <c r="AP72" s="301"/>
      <c r="AQ72" s="301"/>
      <c r="AR72" s="301"/>
      <c r="AS72" s="301"/>
      <c r="AT72" s="301"/>
      <c r="AU72" s="301"/>
      <c r="AV72" s="301"/>
      <c r="AW72" s="301"/>
      <c r="AX72" s="301"/>
      <c r="AY72" s="301"/>
      <c r="AZ72" s="301"/>
      <c r="BA72" s="301"/>
      <c r="BB72" s="301"/>
      <c r="BC72" s="301"/>
      <c r="BD72" s="301"/>
      <c r="BE72" s="301"/>
      <c r="BF72" s="301"/>
      <c r="BG72" s="303"/>
      <c r="BH72" s="304"/>
    </row>
    <row r="73" spans="1:60" s="305" customFormat="1" ht="16.5" hidden="1" customHeight="1" x14ac:dyDescent="0.4">
      <c r="A73" s="285">
        <v>50</v>
      </c>
      <c r="B73" s="286"/>
      <c r="C73" s="286"/>
      <c r="D73" s="287" t="s">
        <v>92</v>
      </c>
      <c r="E73" s="287" t="s">
        <v>138</v>
      </c>
      <c r="F73" s="288" t="s">
        <v>92</v>
      </c>
      <c r="G73" s="289" t="s">
        <v>138</v>
      </c>
      <c r="H73" s="307"/>
      <c r="I73" s="290"/>
      <c r="J73" s="291" t="s">
        <v>156</v>
      </c>
      <c r="K73" s="287"/>
      <c r="L73" s="287"/>
      <c r="M73" s="287">
        <v>7392</v>
      </c>
      <c r="N73" s="287" t="s">
        <v>23</v>
      </c>
      <c r="O73" s="287" t="s">
        <v>33</v>
      </c>
      <c r="P73" s="287" t="s">
        <v>44</v>
      </c>
      <c r="Q73" s="287" t="s">
        <v>27</v>
      </c>
      <c r="R73" s="287" t="s">
        <v>349</v>
      </c>
      <c r="S73" s="292" t="s">
        <v>349</v>
      </c>
      <c r="T73" s="293"/>
      <c r="U73" s="294">
        <v>9700000</v>
      </c>
      <c r="V73" s="294">
        <v>1400000</v>
      </c>
      <c r="W73" s="295"/>
      <c r="X73" s="296"/>
      <c r="Y73" s="287" t="s">
        <v>22</v>
      </c>
      <c r="Z73" s="297" t="s">
        <v>22</v>
      </c>
      <c r="AA73" s="313"/>
      <c r="AB73" s="313"/>
      <c r="AC73" s="298">
        <f t="shared" si="4"/>
        <v>0</v>
      </c>
      <c r="AD73" s="298">
        <v>0</v>
      </c>
      <c r="AE73" s="298">
        <f t="shared" si="5"/>
        <v>0</v>
      </c>
      <c r="AF73" s="299"/>
      <c r="AG73" s="300"/>
      <c r="AH73" s="299"/>
      <c r="AI73" s="299"/>
      <c r="AJ73" s="300"/>
      <c r="AK73" s="299"/>
      <c r="AL73" s="301"/>
      <c r="AM73" s="314"/>
      <c r="AN73" s="301"/>
      <c r="AO73" s="302"/>
      <c r="AP73" s="301"/>
      <c r="AQ73" s="301"/>
      <c r="AR73" s="301"/>
      <c r="AS73" s="301"/>
      <c r="AT73" s="301"/>
      <c r="AU73" s="301"/>
      <c r="AV73" s="301"/>
      <c r="AW73" s="301"/>
      <c r="AX73" s="301"/>
      <c r="AY73" s="301"/>
      <c r="AZ73" s="301"/>
      <c r="BA73" s="301"/>
      <c r="BB73" s="301"/>
      <c r="BC73" s="301"/>
      <c r="BD73" s="301"/>
      <c r="BE73" s="301"/>
      <c r="BF73" s="301"/>
      <c r="BG73" s="303"/>
      <c r="BH73" s="304"/>
    </row>
    <row r="74" spans="1:60" s="305" customFormat="1" ht="16.5" hidden="1" customHeight="1" x14ac:dyDescent="0.4">
      <c r="A74" s="285">
        <v>51</v>
      </c>
      <c r="B74" s="286"/>
      <c r="C74" s="286"/>
      <c r="D74" s="287" t="s">
        <v>92</v>
      </c>
      <c r="E74" s="287" t="s">
        <v>138</v>
      </c>
      <c r="F74" s="288" t="s">
        <v>92</v>
      </c>
      <c r="G74" s="289" t="s">
        <v>138</v>
      </c>
      <c r="H74" s="307"/>
      <c r="I74" s="290"/>
      <c r="J74" s="291" t="s">
        <v>156</v>
      </c>
      <c r="K74" s="287"/>
      <c r="L74" s="287"/>
      <c r="M74" s="287">
        <v>7392</v>
      </c>
      <c r="N74" s="287" t="s">
        <v>23</v>
      </c>
      <c r="O74" s="287" t="s">
        <v>117</v>
      </c>
      <c r="P74" s="287" t="s">
        <v>44</v>
      </c>
      <c r="Q74" s="287" t="s">
        <v>45</v>
      </c>
      <c r="R74" s="287" t="s">
        <v>342</v>
      </c>
      <c r="S74" s="292" t="s">
        <v>741</v>
      </c>
      <c r="T74" s="293"/>
      <c r="U74" s="294">
        <v>21675000</v>
      </c>
      <c r="V74" s="294">
        <v>0</v>
      </c>
      <c r="W74" s="295">
        <v>32000000</v>
      </c>
      <c r="X74" s="296"/>
      <c r="Y74" s="287" t="s">
        <v>28</v>
      </c>
      <c r="Z74" s="297" t="s">
        <v>28</v>
      </c>
      <c r="AA74" s="313"/>
      <c r="AB74" s="313"/>
      <c r="AC74" s="298">
        <f t="shared" si="4"/>
        <v>20100000</v>
      </c>
      <c r="AD74" s="298">
        <v>20100000</v>
      </c>
      <c r="AE74" s="298">
        <f t="shared" si="5"/>
        <v>0</v>
      </c>
      <c r="AF74" s="299"/>
      <c r="AG74" s="300"/>
      <c r="AH74" s="299"/>
      <c r="AI74" s="299"/>
      <c r="AJ74" s="300"/>
      <c r="AK74" s="299"/>
      <c r="AL74" s="301">
        <v>8100000</v>
      </c>
      <c r="AM74" s="314">
        <v>8100000</v>
      </c>
      <c r="AN74" s="301"/>
      <c r="AO74" s="302"/>
      <c r="AP74" s="301"/>
      <c r="AQ74" s="301"/>
      <c r="AR74" s="301"/>
      <c r="AS74" s="301">
        <v>4000000</v>
      </c>
      <c r="AT74" s="301"/>
      <c r="AU74" s="301"/>
      <c r="AV74" s="301"/>
      <c r="AW74" s="301"/>
      <c r="AX74" s="301"/>
      <c r="AY74" s="301">
        <v>4000000</v>
      </c>
      <c r="AZ74" s="301"/>
      <c r="BA74" s="301"/>
      <c r="BB74" s="301"/>
      <c r="BC74" s="301"/>
      <c r="BD74" s="301"/>
      <c r="BE74" s="301">
        <v>4000000</v>
      </c>
      <c r="BF74" s="301"/>
      <c r="BG74" s="303"/>
      <c r="BH74" s="304"/>
    </row>
    <row r="75" spans="1:60" s="305" customFormat="1" ht="16.5" hidden="1" customHeight="1" x14ac:dyDescent="0.4">
      <c r="A75" s="285">
        <v>52</v>
      </c>
      <c r="B75" s="286"/>
      <c r="C75" s="286"/>
      <c r="D75" s="287" t="s">
        <v>92</v>
      </c>
      <c r="E75" s="287" t="s">
        <v>138</v>
      </c>
      <c r="F75" s="288" t="s">
        <v>92</v>
      </c>
      <c r="G75" s="289" t="s">
        <v>138</v>
      </c>
      <c r="H75" s="307"/>
      <c r="I75" s="290"/>
      <c r="J75" s="291" t="s">
        <v>156</v>
      </c>
      <c r="K75" s="287"/>
      <c r="L75" s="287"/>
      <c r="M75" s="287">
        <v>7392</v>
      </c>
      <c r="N75" s="287" t="s">
        <v>23</v>
      </c>
      <c r="O75" s="287" t="s">
        <v>33</v>
      </c>
      <c r="P75" s="287"/>
      <c r="Q75" s="287"/>
      <c r="R75" s="287" t="s">
        <v>348</v>
      </c>
      <c r="S75" s="292" t="s">
        <v>744</v>
      </c>
      <c r="T75" s="293"/>
      <c r="U75" s="294"/>
      <c r="V75" s="294">
        <v>0</v>
      </c>
      <c r="W75" s="295"/>
      <c r="X75" s="296"/>
      <c r="Y75" s="287" t="s">
        <v>544</v>
      </c>
      <c r="Z75" s="297" t="s">
        <v>544</v>
      </c>
      <c r="AA75" s="313"/>
      <c r="AB75" s="313"/>
      <c r="AC75" s="298">
        <f t="shared" si="4"/>
        <v>30000000</v>
      </c>
      <c r="AD75" s="298">
        <v>30000000</v>
      </c>
      <c r="AE75" s="298">
        <f t="shared" si="5"/>
        <v>0</v>
      </c>
      <c r="AF75" s="299"/>
      <c r="AG75" s="300"/>
      <c r="AH75" s="299"/>
      <c r="AI75" s="299"/>
      <c r="AJ75" s="300"/>
      <c r="AK75" s="299"/>
      <c r="AL75" s="301"/>
      <c r="AM75" s="314"/>
      <c r="AN75" s="301"/>
      <c r="AO75" s="302"/>
      <c r="AP75" s="301"/>
      <c r="AQ75" s="301"/>
      <c r="AR75" s="301"/>
      <c r="AS75" s="301"/>
      <c r="AT75" s="301"/>
      <c r="AU75" s="301"/>
      <c r="AV75" s="301"/>
      <c r="AW75" s="301"/>
      <c r="AX75" s="301"/>
      <c r="AY75" s="301"/>
      <c r="AZ75" s="301"/>
      <c r="BA75" s="301"/>
      <c r="BB75" s="301"/>
      <c r="BC75" s="301"/>
      <c r="BD75" s="301"/>
      <c r="BE75" s="301">
        <v>30000000</v>
      </c>
      <c r="BF75" s="301"/>
      <c r="BG75" s="303"/>
      <c r="BH75" s="304"/>
    </row>
    <row r="76" spans="1:60" s="305" customFormat="1" ht="16.5" hidden="1" customHeight="1" x14ac:dyDescent="0.4">
      <c r="A76" s="285">
        <v>53</v>
      </c>
      <c r="B76" s="286"/>
      <c r="C76" s="286"/>
      <c r="D76" s="287" t="s">
        <v>92</v>
      </c>
      <c r="E76" s="287" t="s">
        <v>138</v>
      </c>
      <c r="F76" s="288" t="s">
        <v>92</v>
      </c>
      <c r="G76" s="289" t="s">
        <v>138</v>
      </c>
      <c r="H76" s="307"/>
      <c r="I76" s="290"/>
      <c r="J76" s="291" t="s">
        <v>156</v>
      </c>
      <c r="K76" s="287"/>
      <c r="L76" s="287"/>
      <c r="M76" s="287">
        <v>7392</v>
      </c>
      <c r="N76" s="287" t="s">
        <v>23</v>
      </c>
      <c r="O76" s="287" t="s">
        <v>33</v>
      </c>
      <c r="P76" s="287"/>
      <c r="Q76" s="287" t="s">
        <v>24</v>
      </c>
      <c r="R76" s="287" t="s">
        <v>221</v>
      </c>
      <c r="S76" s="292" t="s">
        <v>745</v>
      </c>
      <c r="T76" s="293"/>
      <c r="U76" s="294">
        <v>981819</v>
      </c>
      <c r="V76" s="294">
        <v>0</v>
      </c>
      <c r="W76" s="295"/>
      <c r="X76" s="296"/>
      <c r="Y76" s="287" t="s">
        <v>22</v>
      </c>
      <c r="Z76" s="297" t="s">
        <v>21</v>
      </c>
      <c r="AA76" s="313"/>
      <c r="AB76" s="313"/>
      <c r="AC76" s="298">
        <f t="shared" si="4"/>
        <v>0</v>
      </c>
      <c r="AD76" s="298">
        <v>0</v>
      </c>
      <c r="AE76" s="298">
        <f t="shared" si="5"/>
        <v>0</v>
      </c>
      <c r="AF76" s="299"/>
      <c r="AG76" s="300"/>
      <c r="AH76" s="299"/>
      <c r="AI76" s="299"/>
      <c r="AJ76" s="300"/>
      <c r="AK76" s="299"/>
      <c r="AL76" s="301"/>
      <c r="AM76" s="314"/>
      <c r="AN76" s="301"/>
      <c r="AO76" s="302"/>
      <c r="AP76" s="301"/>
      <c r="AQ76" s="301"/>
      <c r="AR76" s="301"/>
      <c r="AS76" s="301"/>
      <c r="AT76" s="301"/>
      <c r="AU76" s="301"/>
      <c r="AV76" s="301"/>
      <c r="AW76" s="301"/>
      <c r="AX76" s="301"/>
      <c r="AY76" s="301"/>
      <c r="AZ76" s="301"/>
      <c r="BA76" s="301"/>
      <c r="BB76" s="301"/>
      <c r="BC76" s="301"/>
      <c r="BD76" s="301"/>
      <c r="BE76" s="301"/>
      <c r="BF76" s="301"/>
      <c r="BG76" s="303"/>
      <c r="BH76" s="304"/>
    </row>
    <row r="77" spans="1:60" s="305" customFormat="1" ht="16.5" hidden="1" customHeight="1" x14ac:dyDescent="0.4">
      <c r="A77" s="285">
        <v>54</v>
      </c>
      <c r="B77" s="286"/>
      <c r="C77" s="286"/>
      <c r="D77" s="287" t="s">
        <v>92</v>
      </c>
      <c r="E77" s="287" t="s">
        <v>138</v>
      </c>
      <c r="F77" s="288" t="s">
        <v>92</v>
      </c>
      <c r="G77" s="289" t="s">
        <v>138</v>
      </c>
      <c r="H77" s="307"/>
      <c r="I77" s="290"/>
      <c r="J77" s="291" t="s">
        <v>442</v>
      </c>
      <c r="K77" s="287"/>
      <c r="L77" s="287"/>
      <c r="M77" s="287">
        <v>8345</v>
      </c>
      <c r="N77" s="287" t="s">
        <v>23</v>
      </c>
      <c r="O77" s="287" t="s">
        <v>117</v>
      </c>
      <c r="P77" s="287" t="s">
        <v>44</v>
      </c>
      <c r="Q77" s="287" t="s">
        <v>49</v>
      </c>
      <c r="R77" s="287" t="s">
        <v>29</v>
      </c>
      <c r="S77" s="292" t="s">
        <v>29</v>
      </c>
      <c r="T77" s="293" t="s">
        <v>798</v>
      </c>
      <c r="U77" s="294">
        <v>189204000</v>
      </c>
      <c r="V77" s="294">
        <v>115401870</v>
      </c>
      <c r="W77" s="295">
        <v>122213120</v>
      </c>
      <c r="X77" s="296"/>
      <c r="Y77" s="287" t="s">
        <v>28</v>
      </c>
      <c r="Z77" s="297" t="s">
        <v>28</v>
      </c>
      <c r="AA77" s="313"/>
      <c r="AB77" s="313"/>
      <c r="AC77" s="298">
        <f t="shared" si="4"/>
        <v>120990710</v>
      </c>
      <c r="AD77" s="298">
        <v>120990710</v>
      </c>
      <c r="AE77" s="298">
        <f t="shared" si="5"/>
        <v>0</v>
      </c>
      <c r="AF77" s="299">
        <v>752500</v>
      </c>
      <c r="AG77" s="300">
        <v>752500</v>
      </c>
      <c r="AH77" s="299"/>
      <c r="AI77" s="299">
        <v>917040</v>
      </c>
      <c r="AJ77" s="300">
        <v>917040</v>
      </c>
      <c r="AK77" s="299"/>
      <c r="AL77" s="301">
        <v>564900</v>
      </c>
      <c r="AM77" s="314">
        <v>564900</v>
      </c>
      <c r="AN77" s="301"/>
      <c r="AO77" s="302">
        <v>13756270</v>
      </c>
      <c r="AP77" s="301"/>
      <c r="AQ77" s="301">
        <v>15000000</v>
      </c>
      <c r="AR77" s="301"/>
      <c r="AS77" s="301">
        <v>15000000</v>
      </c>
      <c r="AT77" s="301"/>
      <c r="AU77" s="301">
        <v>15000000</v>
      </c>
      <c r="AV77" s="301"/>
      <c r="AW77" s="301">
        <v>15000000</v>
      </c>
      <c r="AX77" s="301"/>
      <c r="AY77" s="301">
        <v>15000000</v>
      </c>
      <c r="AZ77" s="301"/>
      <c r="BA77" s="301">
        <v>15000000</v>
      </c>
      <c r="BB77" s="301"/>
      <c r="BC77" s="301">
        <v>15000000</v>
      </c>
      <c r="BD77" s="301"/>
      <c r="BE77" s="301"/>
      <c r="BF77" s="301"/>
      <c r="BG77" s="303"/>
      <c r="BH77" s="304"/>
    </row>
    <row r="78" spans="1:60" s="305" customFormat="1" ht="16.5" hidden="1" customHeight="1" x14ac:dyDescent="0.4">
      <c r="A78" s="285">
        <v>55</v>
      </c>
      <c r="B78" s="286"/>
      <c r="C78" s="286"/>
      <c r="D78" s="287" t="s">
        <v>92</v>
      </c>
      <c r="E78" s="287" t="s">
        <v>138</v>
      </c>
      <c r="F78" s="288" t="s">
        <v>92</v>
      </c>
      <c r="G78" s="289" t="s">
        <v>138</v>
      </c>
      <c r="H78" s="307"/>
      <c r="I78" s="290"/>
      <c r="J78" s="291" t="s">
        <v>157</v>
      </c>
      <c r="K78" s="287"/>
      <c r="L78" s="287"/>
      <c r="M78" s="287">
        <v>47211</v>
      </c>
      <c r="N78" s="287" t="s">
        <v>23</v>
      </c>
      <c r="O78" s="287" t="s">
        <v>117</v>
      </c>
      <c r="P78" s="287"/>
      <c r="Q78" s="287" t="s">
        <v>19</v>
      </c>
      <c r="R78" s="287" t="s">
        <v>20</v>
      </c>
      <c r="S78" s="292" t="s">
        <v>20</v>
      </c>
      <c r="T78" s="293"/>
      <c r="U78" s="294"/>
      <c r="V78" s="294">
        <v>1600000</v>
      </c>
      <c r="W78" s="295"/>
      <c r="X78" s="296"/>
      <c r="Y78" s="287" t="s">
        <v>26</v>
      </c>
      <c r="Z78" s="297" t="s">
        <v>25</v>
      </c>
      <c r="AA78" s="313"/>
      <c r="AB78" s="313"/>
      <c r="AC78" s="298">
        <f t="shared" si="4"/>
        <v>1000000</v>
      </c>
      <c r="AD78" s="298">
        <v>1000000</v>
      </c>
      <c r="AE78" s="298">
        <f t="shared" si="5"/>
        <v>0</v>
      </c>
      <c r="AF78" s="299"/>
      <c r="AG78" s="300"/>
      <c r="AH78" s="299"/>
      <c r="AI78" s="299"/>
      <c r="AJ78" s="300"/>
      <c r="AK78" s="299"/>
      <c r="AL78" s="301"/>
      <c r="AM78" s="314"/>
      <c r="AN78" s="301"/>
      <c r="AO78" s="302"/>
      <c r="AP78" s="301"/>
      <c r="AQ78" s="301"/>
      <c r="AR78" s="301"/>
      <c r="AS78" s="301"/>
      <c r="AT78" s="301"/>
      <c r="AU78" s="301"/>
      <c r="AV78" s="301"/>
      <c r="AW78" s="301"/>
      <c r="AX78" s="301"/>
      <c r="AY78" s="301"/>
      <c r="AZ78" s="301"/>
      <c r="BA78" s="301"/>
      <c r="BB78" s="301"/>
      <c r="BC78" s="301"/>
      <c r="BD78" s="301"/>
      <c r="BE78" s="301">
        <v>1000000</v>
      </c>
      <c r="BF78" s="301"/>
      <c r="BG78" s="303"/>
      <c r="BH78" s="304"/>
    </row>
    <row r="79" spans="1:60" s="305" customFormat="1" ht="16.5" hidden="1" customHeight="1" x14ac:dyDescent="0.4">
      <c r="A79" s="285">
        <v>56</v>
      </c>
      <c r="B79" s="286"/>
      <c r="C79" s="286"/>
      <c r="D79" s="287" t="s">
        <v>92</v>
      </c>
      <c r="E79" s="287" t="s">
        <v>138</v>
      </c>
      <c r="F79" s="288" t="s">
        <v>92</v>
      </c>
      <c r="G79" s="289" t="s">
        <v>138</v>
      </c>
      <c r="H79" s="307"/>
      <c r="I79" s="290"/>
      <c r="J79" s="291" t="s">
        <v>158</v>
      </c>
      <c r="K79" s="287"/>
      <c r="L79" s="287"/>
      <c r="M79" s="287">
        <v>46071</v>
      </c>
      <c r="N79" s="287" t="s">
        <v>23</v>
      </c>
      <c r="O79" s="287" t="s">
        <v>117</v>
      </c>
      <c r="P79" s="287"/>
      <c r="Q79" s="287" t="s">
        <v>41</v>
      </c>
      <c r="R79" s="287" t="s">
        <v>339</v>
      </c>
      <c r="S79" s="292" t="s">
        <v>746</v>
      </c>
      <c r="T79" s="293"/>
      <c r="U79" s="294">
        <v>1000000</v>
      </c>
      <c r="V79" s="294">
        <v>1000000</v>
      </c>
      <c r="W79" s="295"/>
      <c r="X79" s="296"/>
      <c r="Y79" s="287" t="s">
        <v>22</v>
      </c>
      <c r="Z79" s="297" t="s">
        <v>25</v>
      </c>
      <c r="AA79" s="313"/>
      <c r="AB79" s="313"/>
      <c r="AC79" s="298">
        <f t="shared" si="4"/>
        <v>1000000</v>
      </c>
      <c r="AD79" s="298">
        <v>1000000</v>
      </c>
      <c r="AE79" s="298">
        <f t="shared" si="5"/>
        <v>0</v>
      </c>
      <c r="AF79" s="299"/>
      <c r="AG79" s="300"/>
      <c r="AH79" s="299"/>
      <c r="AI79" s="299"/>
      <c r="AJ79" s="300"/>
      <c r="AK79" s="299"/>
      <c r="AL79" s="301"/>
      <c r="AM79" s="314"/>
      <c r="AN79" s="301"/>
      <c r="AO79" s="302"/>
      <c r="AP79" s="301"/>
      <c r="AQ79" s="301"/>
      <c r="AR79" s="301"/>
      <c r="AS79" s="301"/>
      <c r="AT79" s="301"/>
      <c r="AU79" s="301"/>
      <c r="AV79" s="301"/>
      <c r="AW79" s="301"/>
      <c r="AX79" s="301"/>
      <c r="AY79" s="301"/>
      <c r="AZ79" s="301"/>
      <c r="BA79" s="301"/>
      <c r="BB79" s="301"/>
      <c r="BC79" s="301"/>
      <c r="BD79" s="301"/>
      <c r="BE79" s="301">
        <v>1000000</v>
      </c>
      <c r="BF79" s="301"/>
      <c r="BG79" s="303"/>
      <c r="BH79" s="304"/>
    </row>
    <row r="80" spans="1:60" s="305" customFormat="1" ht="16.5" hidden="1" customHeight="1" x14ac:dyDescent="0.4">
      <c r="A80" s="285">
        <v>57</v>
      </c>
      <c r="B80" s="286"/>
      <c r="C80" s="286"/>
      <c r="D80" s="287" t="s">
        <v>137</v>
      </c>
      <c r="E80" s="287" t="s">
        <v>159</v>
      </c>
      <c r="F80" s="288" t="s">
        <v>92</v>
      </c>
      <c r="G80" s="289" t="s">
        <v>159</v>
      </c>
      <c r="H80" s="307"/>
      <c r="I80" s="290"/>
      <c r="J80" s="291" t="s">
        <v>690</v>
      </c>
      <c r="K80" s="287"/>
      <c r="L80" s="287"/>
      <c r="M80" s="287">
        <v>28355</v>
      </c>
      <c r="N80" s="287" t="s">
        <v>23</v>
      </c>
      <c r="O80" s="287" t="s">
        <v>43</v>
      </c>
      <c r="P80" s="287" t="s">
        <v>44</v>
      </c>
      <c r="Q80" s="287" t="s">
        <v>49</v>
      </c>
      <c r="R80" s="287" t="s">
        <v>29</v>
      </c>
      <c r="S80" s="292" t="s">
        <v>29</v>
      </c>
      <c r="T80" s="293" t="s">
        <v>798</v>
      </c>
      <c r="U80" s="294">
        <v>446772034</v>
      </c>
      <c r="V80" s="294">
        <v>398211208</v>
      </c>
      <c r="W80" s="295">
        <v>280270864</v>
      </c>
      <c r="X80" s="296"/>
      <c r="Y80" s="287" t="s">
        <v>28</v>
      </c>
      <c r="Z80" s="297" t="s">
        <v>28</v>
      </c>
      <c r="AA80" s="313"/>
      <c r="AB80" s="313"/>
      <c r="AC80" s="298">
        <f t="shared" si="4"/>
        <v>425568574</v>
      </c>
      <c r="AD80" s="298">
        <v>425568574</v>
      </c>
      <c r="AE80" s="298">
        <f t="shared" si="5"/>
        <v>0</v>
      </c>
      <c r="AF80" s="299"/>
      <c r="AG80" s="300">
        <v>26060892</v>
      </c>
      <c r="AH80" s="299"/>
      <c r="AI80" s="299">
        <v>30245376</v>
      </c>
      <c r="AJ80" s="300">
        <v>800000</v>
      </c>
      <c r="AK80" s="299"/>
      <c r="AL80" s="301">
        <v>57720776</v>
      </c>
      <c r="AM80" s="314">
        <v>63274576</v>
      </c>
      <c r="AN80" s="301"/>
      <c r="AO80" s="302">
        <v>32096752</v>
      </c>
      <c r="AP80" s="301"/>
      <c r="AQ80" s="301">
        <v>35024748</v>
      </c>
      <c r="AR80" s="301"/>
      <c r="AS80" s="301">
        <v>40000000</v>
      </c>
      <c r="AT80" s="301"/>
      <c r="AU80" s="301">
        <v>40000000</v>
      </c>
      <c r="AV80" s="301"/>
      <c r="AW80" s="301">
        <v>40000000</v>
      </c>
      <c r="AX80" s="301"/>
      <c r="AY80" s="301">
        <v>45000000</v>
      </c>
      <c r="AZ80" s="301"/>
      <c r="BA80" s="301">
        <v>50000000</v>
      </c>
      <c r="BB80" s="301"/>
      <c r="BC80" s="301">
        <v>23939108</v>
      </c>
      <c r="BD80" s="301"/>
      <c r="BE80" s="301">
        <v>29372498</v>
      </c>
      <c r="BF80" s="301"/>
      <c r="BG80" s="303"/>
      <c r="BH80" s="304"/>
    </row>
    <row r="81" spans="1:60" s="305" customFormat="1" ht="16.5" hidden="1" customHeight="1" x14ac:dyDescent="0.4">
      <c r="A81" s="285">
        <v>58</v>
      </c>
      <c r="B81" s="286"/>
      <c r="C81" s="286"/>
      <c r="D81" s="287" t="s">
        <v>137</v>
      </c>
      <c r="E81" s="287" t="s">
        <v>159</v>
      </c>
      <c r="F81" s="288" t="s">
        <v>92</v>
      </c>
      <c r="G81" s="289" t="s">
        <v>159</v>
      </c>
      <c r="H81" s="307"/>
      <c r="I81" s="290"/>
      <c r="J81" s="291" t="s">
        <v>690</v>
      </c>
      <c r="K81" s="287"/>
      <c r="L81" s="287"/>
      <c r="M81" s="287">
        <v>28355</v>
      </c>
      <c r="N81" s="287" t="s">
        <v>23</v>
      </c>
      <c r="O81" s="287" t="s">
        <v>43</v>
      </c>
      <c r="P81" s="287" t="s">
        <v>44</v>
      </c>
      <c r="Q81" s="287" t="s">
        <v>30</v>
      </c>
      <c r="R81" s="287" t="s">
        <v>31</v>
      </c>
      <c r="S81" s="292" t="s">
        <v>31</v>
      </c>
      <c r="T81" s="293"/>
      <c r="U81" s="294"/>
      <c r="V81" s="294">
        <v>0</v>
      </c>
      <c r="W81" s="295">
        <v>24417000</v>
      </c>
      <c r="X81" s="296"/>
      <c r="Y81" s="287" t="s">
        <v>28</v>
      </c>
      <c r="Z81" s="297" t="s">
        <v>25</v>
      </c>
      <c r="AA81" s="313"/>
      <c r="AB81" s="313"/>
      <c r="AC81" s="298">
        <f t="shared" si="4"/>
        <v>20000000</v>
      </c>
      <c r="AD81" s="298">
        <v>20000000</v>
      </c>
      <c r="AE81" s="298">
        <f t="shared" si="5"/>
        <v>0</v>
      </c>
      <c r="AF81" s="299"/>
      <c r="AG81" s="300"/>
      <c r="AH81" s="299"/>
      <c r="AI81" s="299"/>
      <c r="AJ81" s="300"/>
      <c r="AK81" s="299"/>
      <c r="AL81" s="301"/>
      <c r="AM81" s="314"/>
      <c r="AN81" s="301"/>
      <c r="AO81" s="302"/>
      <c r="AP81" s="301"/>
      <c r="AQ81" s="301"/>
      <c r="AR81" s="301"/>
      <c r="AS81" s="301">
        <v>10000000</v>
      </c>
      <c r="AT81" s="301"/>
      <c r="AU81" s="301"/>
      <c r="AV81" s="301"/>
      <c r="AW81" s="301"/>
      <c r="AX81" s="301"/>
      <c r="AY81" s="301"/>
      <c r="AZ81" s="301"/>
      <c r="BA81" s="301">
        <v>10000000</v>
      </c>
      <c r="BB81" s="301"/>
      <c r="BC81" s="301"/>
      <c r="BD81" s="301"/>
      <c r="BE81" s="301"/>
      <c r="BF81" s="301"/>
      <c r="BG81" s="303"/>
      <c r="BH81" s="304"/>
    </row>
    <row r="82" spans="1:60" s="305" customFormat="1" ht="16.5" hidden="1" customHeight="1" x14ac:dyDescent="0.4">
      <c r="A82" s="285">
        <v>59</v>
      </c>
      <c r="B82" s="286"/>
      <c r="C82" s="286"/>
      <c r="D82" s="287" t="s">
        <v>137</v>
      </c>
      <c r="E82" s="287" t="s">
        <v>159</v>
      </c>
      <c r="F82" s="288" t="s">
        <v>92</v>
      </c>
      <c r="G82" s="289" t="s">
        <v>159</v>
      </c>
      <c r="H82" s="307"/>
      <c r="I82" s="290"/>
      <c r="J82" s="291" t="s">
        <v>690</v>
      </c>
      <c r="K82" s="287"/>
      <c r="L82" s="287"/>
      <c r="M82" s="287">
        <v>28355</v>
      </c>
      <c r="N82" s="287" t="s">
        <v>23</v>
      </c>
      <c r="O82" s="287" t="s">
        <v>43</v>
      </c>
      <c r="P82" s="287" t="s">
        <v>44</v>
      </c>
      <c r="Q82" s="287" t="s">
        <v>54</v>
      </c>
      <c r="R82" s="287" t="s">
        <v>340</v>
      </c>
      <c r="S82" s="292" t="s">
        <v>340</v>
      </c>
      <c r="T82" s="293"/>
      <c r="U82" s="294">
        <v>5100000</v>
      </c>
      <c r="V82" s="294">
        <v>4215000</v>
      </c>
      <c r="W82" s="295">
        <v>1000000</v>
      </c>
      <c r="X82" s="296"/>
      <c r="Y82" s="287" t="s">
        <v>25</v>
      </c>
      <c r="Z82" s="297" t="s">
        <v>25</v>
      </c>
      <c r="AA82" s="313"/>
      <c r="AB82" s="313"/>
      <c r="AC82" s="298">
        <f t="shared" si="4"/>
        <v>10000000</v>
      </c>
      <c r="AD82" s="298">
        <v>10000000</v>
      </c>
      <c r="AE82" s="298">
        <f t="shared" si="5"/>
        <v>0</v>
      </c>
      <c r="AF82" s="299"/>
      <c r="AG82" s="300"/>
      <c r="AH82" s="299"/>
      <c r="AI82" s="299"/>
      <c r="AJ82" s="300"/>
      <c r="AK82" s="299"/>
      <c r="AL82" s="301"/>
      <c r="AM82" s="314"/>
      <c r="AN82" s="301"/>
      <c r="AO82" s="302"/>
      <c r="AP82" s="301"/>
      <c r="AQ82" s="316">
        <v>5000000</v>
      </c>
      <c r="AR82" s="301"/>
      <c r="AS82" s="301"/>
      <c r="AT82" s="301"/>
      <c r="AU82" s="301"/>
      <c r="AV82" s="301"/>
      <c r="AW82" s="301"/>
      <c r="AX82" s="301"/>
      <c r="AY82" s="301">
        <v>5000000</v>
      </c>
      <c r="AZ82" s="301"/>
      <c r="BA82" s="301"/>
      <c r="BB82" s="301"/>
      <c r="BC82" s="301"/>
      <c r="BD82" s="301"/>
      <c r="BE82" s="301"/>
      <c r="BF82" s="301"/>
      <c r="BG82" s="303"/>
      <c r="BH82" s="304"/>
    </row>
    <row r="83" spans="1:60" s="305" customFormat="1" ht="16.5" hidden="1" customHeight="1" x14ac:dyDescent="0.4">
      <c r="A83" s="285">
        <v>60</v>
      </c>
      <c r="B83" s="286"/>
      <c r="C83" s="286"/>
      <c r="D83" s="287" t="s">
        <v>137</v>
      </c>
      <c r="E83" s="287" t="s">
        <v>159</v>
      </c>
      <c r="F83" s="288" t="s">
        <v>92</v>
      </c>
      <c r="G83" s="289" t="s">
        <v>159</v>
      </c>
      <c r="H83" s="307"/>
      <c r="I83" s="290"/>
      <c r="J83" s="291" t="s">
        <v>690</v>
      </c>
      <c r="K83" s="287"/>
      <c r="L83" s="287"/>
      <c r="M83" s="287">
        <v>28355</v>
      </c>
      <c r="N83" s="287" t="s">
        <v>23</v>
      </c>
      <c r="O83" s="287" t="s">
        <v>33</v>
      </c>
      <c r="P83" s="287" t="s">
        <v>44</v>
      </c>
      <c r="Q83" s="287"/>
      <c r="R83" s="287" t="s">
        <v>345</v>
      </c>
      <c r="S83" s="292" t="s">
        <v>742</v>
      </c>
      <c r="T83" s="293"/>
      <c r="U83" s="294"/>
      <c r="V83" s="294"/>
      <c r="W83" s="295"/>
      <c r="X83" s="296"/>
      <c r="Y83" s="287" t="s">
        <v>26</v>
      </c>
      <c r="Z83" s="297" t="s">
        <v>544</v>
      </c>
      <c r="AA83" s="313"/>
      <c r="AB83" s="313"/>
      <c r="AC83" s="298">
        <f t="shared" si="4"/>
        <v>20000000</v>
      </c>
      <c r="AD83" s="298">
        <v>20000000</v>
      </c>
      <c r="AE83" s="298">
        <f t="shared" si="5"/>
        <v>0</v>
      </c>
      <c r="AF83" s="299"/>
      <c r="AG83" s="300"/>
      <c r="AH83" s="299"/>
      <c r="AI83" s="299"/>
      <c r="AJ83" s="300"/>
      <c r="AK83" s="299"/>
      <c r="AL83" s="301"/>
      <c r="AM83" s="314"/>
      <c r="AN83" s="301"/>
      <c r="AO83" s="302"/>
      <c r="AP83" s="301"/>
      <c r="AQ83" s="301"/>
      <c r="AR83" s="301"/>
      <c r="AS83" s="301">
        <v>10000000</v>
      </c>
      <c r="AT83" s="301"/>
      <c r="AU83" s="301"/>
      <c r="AV83" s="301"/>
      <c r="AW83" s="301"/>
      <c r="AX83" s="301"/>
      <c r="AY83" s="301"/>
      <c r="AZ83" s="301"/>
      <c r="BA83" s="301"/>
      <c r="BB83" s="301"/>
      <c r="BC83" s="301"/>
      <c r="BD83" s="301"/>
      <c r="BE83" s="301">
        <v>10000000</v>
      </c>
      <c r="BF83" s="301"/>
      <c r="BG83" s="303"/>
      <c r="BH83" s="304"/>
    </row>
    <row r="84" spans="1:60" s="305" customFormat="1" ht="16.5" hidden="1" customHeight="1" x14ac:dyDescent="0.4">
      <c r="A84" s="285">
        <v>61</v>
      </c>
      <c r="B84" s="286"/>
      <c r="C84" s="286"/>
      <c r="D84" s="287" t="s">
        <v>137</v>
      </c>
      <c r="E84" s="287" t="s">
        <v>159</v>
      </c>
      <c r="F84" s="288" t="s">
        <v>92</v>
      </c>
      <c r="G84" s="289" t="s">
        <v>159</v>
      </c>
      <c r="H84" s="307"/>
      <c r="I84" s="290"/>
      <c r="J84" s="291" t="s">
        <v>690</v>
      </c>
      <c r="K84" s="287"/>
      <c r="L84" s="287"/>
      <c r="M84" s="287">
        <v>28355</v>
      </c>
      <c r="N84" s="287" t="s">
        <v>23</v>
      </c>
      <c r="O84" s="287" t="s">
        <v>33</v>
      </c>
      <c r="P84" s="287" t="s">
        <v>44</v>
      </c>
      <c r="Q84" s="287" t="s">
        <v>277</v>
      </c>
      <c r="R84" s="287" t="s">
        <v>343</v>
      </c>
      <c r="S84" s="292" t="s">
        <v>748</v>
      </c>
      <c r="T84" s="293"/>
      <c r="U84" s="294"/>
      <c r="V84" s="294">
        <v>1350000</v>
      </c>
      <c r="W84" s="295"/>
      <c r="X84" s="296"/>
      <c r="Y84" s="287" t="s">
        <v>21</v>
      </c>
      <c r="Z84" s="297" t="s">
        <v>544</v>
      </c>
      <c r="AA84" s="313"/>
      <c r="AB84" s="313"/>
      <c r="AC84" s="298">
        <f t="shared" si="4"/>
        <v>0</v>
      </c>
      <c r="AD84" s="298">
        <v>0</v>
      </c>
      <c r="AE84" s="298">
        <f t="shared" si="5"/>
        <v>0</v>
      </c>
      <c r="AF84" s="299"/>
      <c r="AG84" s="300"/>
      <c r="AH84" s="299"/>
      <c r="AI84" s="299"/>
      <c r="AJ84" s="300"/>
      <c r="AK84" s="299"/>
      <c r="AL84" s="301"/>
      <c r="AM84" s="314"/>
      <c r="AN84" s="301"/>
      <c r="AO84" s="302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3"/>
      <c r="BH84" s="304"/>
    </row>
    <row r="85" spans="1:60" s="305" customFormat="1" ht="16.5" hidden="1" customHeight="1" x14ac:dyDescent="0.4">
      <c r="A85" s="285">
        <v>62</v>
      </c>
      <c r="B85" s="286"/>
      <c r="C85" s="286"/>
      <c r="D85" s="287" t="s">
        <v>137</v>
      </c>
      <c r="E85" s="287" t="s">
        <v>159</v>
      </c>
      <c r="F85" s="288" t="s">
        <v>92</v>
      </c>
      <c r="G85" s="289" t="s">
        <v>159</v>
      </c>
      <c r="H85" s="307"/>
      <c r="I85" s="290"/>
      <c r="J85" s="291" t="s">
        <v>690</v>
      </c>
      <c r="K85" s="287"/>
      <c r="L85" s="287"/>
      <c r="M85" s="287">
        <v>28355</v>
      </c>
      <c r="N85" s="287" t="s">
        <v>23</v>
      </c>
      <c r="O85" s="287" t="s">
        <v>43</v>
      </c>
      <c r="P85" s="287" t="s">
        <v>44</v>
      </c>
      <c r="Q85" s="287" t="s">
        <v>42</v>
      </c>
      <c r="R85" s="287" t="s">
        <v>338</v>
      </c>
      <c r="S85" s="292" t="s">
        <v>753</v>
      </c>
      <c r="T85" s="293"/>
      <c r="U85" s="294">
        <v>76444099</v>
      </c>
      <c r="V85" s="294">
        <v>301958221</v>
      </c>
      <c r="W85" s="295">
        <v>211103907</v>
      </c>
      <c r="X85" s="296"/>
      <c r="Y85" s="287" t="s">
        <v>28</v>
      </c>
      <c r="Z85" s="297" t="s">
        <v>28</v>
      </c>
      <c r="AA85" s="313"/>
      <c r="AB85" s="313"/>
      <c r="AC85" s="298">
        <f t="shared" si="4"/>
        <v>230000000</v>
      </c>
      <c r="AD85" s="298">
        <v>230000000</v>
      </c>
      <c r="AE85" s="298">
        <f t="shared" si="5"/>
        <v>0</v>
      </c>
      <c r="AF85" s="299"/>
      <c r="AG85" s="300"/>
      <c r="AH85" s="299"/>
      <c r="AI85" s="299">
        <v>22200000</v>
      </c>
      <c r="AJ85" s="300">
        <v>22200000</v>
      </c>
      <c r="AK85" s="299"/>
      <c r="AL85" s="301"/>
      <c r="AM85" s="314"/>
      <c r="AN85" s="301"/>
      <c r="AO85" s="302">
        <v>88800000</v>
      </c>
      <c r="AP85" s="301"/>
      <c r="AQ85" s="301"/>
      <c r="AR85" s="301"/>
      <c r="AS85" s="301"/>
      <c r="AT85" s="301"/>
      <c r="AU85" s="301">
        <v>0</v>
      </c>
      <c r="AV85" s="301"/>
      <c r="AW85" s="301"/>
      <c r="AX85" s="301"/>
      <c r="AY85" s="301"/>
      <c r="AZ85" s="301"/>
      <c r="BA85" s="301"/>
      <c r="BB85" s="301"/>
      <c r="BC85" s="301"/>
      <c r="BD85" s="301"/>
      <c r="BE85" s="301">
        <v>119000000</v>
      </c>
      <c r="BF85" s="301"/>
      <c r="BG85" s="303"/>
      <c r="BH85" s="304"/>
    </row>
    <row r="86" spans="1:60" s="305" customFormat="1" ht="16.5" hidden="1" customHeight="1" x14ac:dyDescent="0.4">
      <c r="A86" s="285">
        <v>63</v>
      </c>
      <c r="B86" s="286"/>
      <c r="C86" s="286"/>
      <c r="D86" s="287" t="s">
        <v>137</v>
      </c>
      <c r="E86" s="287" t="s">
        <v>159</v>
      </c>
      <c r="F86" s="288" t="s">
        <v>92</v>
      </c>
      <c r="G86" s="289" t="s">
        <v>159</v>
      </c>
      <c r="H86" s="307"/>
      <c r="I86" s="290"/>
      <c r="J86" s="291" t="s">
        <v>691</v>
      </c>
      <c r="K86" s="287"/>
      <c r="L86" s="287"/>
      <c r="M86" s="287">
        <v>44389</v>
      </c>
      <c r="N86" s="287" t="s">
        <v>23</v>
      </c>
      <c r="O86" s="287" t="s">
        <v>43</v>
      </c>
      <c r="P86" s="287" t="s">
        <v>44</v>
      </c>
      <c r="Q86" s="287" t="s">
        <v>19</v>
      </c>
      <c r="R86" s="287" t="s">
        <v>20</v>
      </c>
      <c r="S86" s="292" t="s">
        <v>20</v>
      </c>
      <c r="T86" s="293"/>
      <c r="U86" s="294">
        <v>30000000</v>
      </c>
      <c r="V86" s="294">
        <v>30000000</v>
      </c>
      <c r="W86" s="295">
        <v>30000000</v>
      </c>
      <c r="X86" s="296"/>
      <c r="Y86" s="287" t="s">
        <v>28</v>
      </c>
      <c r="Z86" s="297" t="s">
        <v>28</v>
      </c>
      <c r="AA86" s="313"/>
      <c r="AB86" s="313"/>
      <c r="AC86" s="298">
        <f t="shared" si="4"/>
        <v>30000000</v>
      </c>
      <c r="AD86" s="298">
        <v>30000000</v>
      </c>
      <c r="AE86" s="298">
        <f t="shared" si="5"/>
        <v>0</v>
      </c>
      <c r="AF86" s="299"/>
      <c r="AG86" s="300"/>
      <c r="AH86" s="299"/>
      <c r="AI86" s="299"/>
      <c r="AJ86" s="300"/>
      <c r="AK86" s="299"/>
      <c r="AL86" s="301"/>
      <c r="AM86" s="314"/>
      <c r="AN86" s="301"/>
      <c r="AO86" s="302"/>
      <c r="AP86" s="301"/>
      <c r="AQ86" s="301">
        <v>15000000</v>
      </c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>
        <v>15000000</v>
      </c>
      <c r="BD86" s="301"/>
      <c r="BE86" s="301"/>
      <c r="BF86" s="301"/>
      <c r="BG86" s="303"/>
      <c r="BH86" s="304"/>
    </row>
    <row r="87" spans="1:60" s="305" customFormat="1" ht="16.5" hidden="1" customHeight="1" x14ac:dyDescent="0.4">
      <c r="A87" s="285">
        <v>64</v>
      </c>
      <c r="B87" s="286"/>
      <c r="C87" s="286"/>
      <c r="D87" s="287" t="s">
        <v>137</v>
      </c>
      <c r="E87" s="287" t="s">
        <v>159</v>
      </c>
      <c r="F87" s="288" t="s">
        <v>92</v>
      </c>
      <c r="G87" s="289" t="s">
        <v>159</v>
      </c>
      <c r="H87" s="307"/>
      <c r="I87" s="290"/>
      <c r="J87" s="291" t="s">
        <v>692</v>
      </c>
      <c r="K87" s="287"/>
      <c r="L87" s="287"/>
      <c r="M87" s="287">
        <v>7558</v>
      </c>
      <c r="N87" s="287" t="s">
        <v>32</v>
      </c>
      <c r="O87" s="287" t="s">
        <v>33</v>
      </c>
      <c r="P87" s="287" t="s">
        <v>98</v>
      </c>
      <c r="Q87" s="287"/>
      <c r="R87" s="287" t="s">
        <v>31</v>
      </c>
      <c r="S87" s="292" t="s">
        <v>31</v>
      </c>
      <c r="T87" s="293"/>
      <c r="U87" s="294"/>
      <c r="V87" s="294"/>
      <c r="W87" s="295"/>
      <c r="X87" s="296"/>
      <c r="Y87" s="287" t="s">
        <v>26</v>
      </c>
      <c r="Z87" s="297" t="s">
        <v>26</v>
      </c>
      <c r="AA87" s="313"/>
      <c r="AB87" s="313"/>
      <c r="AC87" s="298">
        <f t="shared" si="4"/>
        <v>20000000</v>
      </c>
      <c r="AD87" s="298">
        <v>20000000</v>
      </c>
      <c r="AE87" s="298">
        <f t="shared" si="5"/>
        <v>0</v>
      </c>
      <c r="AF87" s="299"/>
      <c r="AG87" s="300"/>
      <c r="AH87" s="299"/>
      <c r="AI87" s="299"/>
      <c r="AJ87" s="300"/>
      <c r="AK87" s="299"/>
      <c r="AL87" s="301"/>
      <c r="AM87" s="314"/>
      <c r="AN87" s="301"/>
      <c r="AO87" s="302"/>
      <c r="AP87" s="301"/>
      <c r="AQ87" s="316">
        <v>10000000</v>
      </c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>
        <v>10000000</v>
      </c>
      <c r="BF87" s="301"/>
      <c r="BG87" s="303"/>
      <c r="BH87" s="304"/>
    </row>
    <row r="88" spans="1:60" s="305" customFormat="1" ht="16.5" hidden="1" customHeight="1" x14ac:dyDescent="0.4">
      <c r="A88" s="285">
        <v>65</v>
      </c>
      <c r="B88" s="286"/>
      <c r="C88" s="286"/>
      <c r="D88" s="287" t="s">
        <v>137</v>
      </c>
      <c r="E88" s="287" t="s">
        <v>159</v>
      </c>
      <c r="F88" s="288" t="s">
        <v>92</v>
      </c>
      <c r="G88" s="289" t="s">
        <v>159</v>
      </c>
      <c r="H88" s="307"/>
      <c r="I88" s="290"/>
      <c r="J88" s="291" t="s">
        <v>692</v>
      </c>
      <c r="K88" s="287"/>
      <c r="L88" s="287"/>
      <c r="M88" s="287">
        <v>7558</v>
      </c>
      <c r="N88" s="287" t="s">
        <v>32</v>
      </c>
      <c r="O88" s="287" t="s">
        <v>33</v>
      </c>
      <c r="P88" s="287" t="s">
        <v>98</v>
      </c>
      <c r="Q88" s="287" t="s">
        <v>30</v>
      </c>
      <c r="R88" s="287" t="s">
        <v>31</v>
      </c>
      <c r="S88" s="292" t="s">
        <v>31</v>
      </c>
      <c r="T88" s="293"/>
      <c r="U88" s="294">
        <v>8007200</v>
      </c>
      <c r="V88" s="294">
        <v>4382400</v>
      </c>
      <c r="W88" s="295"/>
      <c r="X88" s="296"/>
      <c r="Y88" s="287" t="s">
        <v>21</v>
      </c>
      <c r="Z88" s="297" t="s">
        <v>21</v>
      </c>
      <c r="AA88" s="313"/>
      <c r="AB88" s="313"/>
      <c r="AC88" s="298">
        <f t="shared" ref="AC88:AC151" si="6">AG88+AJ88+AM88+AO88+AQ88+AS88+AU88+AW88+AY88+BA88+BC88+BE88</f>
        <v>0</v>
      </c>
      <c r="AD88" s="298">
        <v>0</v>
      </c>
      <c r="AE88" s="298">
        <f t="shared" ref="AE88:AE151" si="7">AC88-AD88</f>
        <v>0</v>
      </c>
      <c r="AF88" s="299"/>
      <c r="AG88" s="300"/>
      <c r="AH88" s="299"/>
      <c r="AI88" s="299"/>
      <c r="AJ88" s="300"/>
      <c r="AK88" s="299"/>
      <c r="AL88" s="301"/>
      <c r="AM88" s="314"/>
      <c r="AN88" s="301"/>
      <c r="AO88" s="302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3"/>
      <c r="BH88" s="304"/>
    </row>
    <row r="89" spans="1:60" s="305" customFormat="1" ht="16.5" hidden="1" customHeight="1" x14ac:dyDescent="0.4">
      <c r="A89" s="285">
        <v>66</v>
      </c>
      <c r="B89" s="286"/>
      <c r="C89" s="286"/>
      <c r="D89" s="287" t="s">
        <v>137</v>
      </c>
      <c r="E89" s="287" t="s">
        <v>159</v>
      </c>
      <c r="F89" s="288" t="s">
        <v>92</v>
      </c>
      <c r="G89" s="289" t="s">
        <v>159</v>
      </c>
      <c r="H89" s="307"/>
      <c r="I89" s="290"/>
      <c r="J89" s="291" t="s">
        <v>692</v>
      </c>
      <c r="K89" s="287"/>
      <c r="L89" s="287"/>
      <c r="M89" s="287">
        <v>7558</v>
      </c>
      <c r="N89" s="287" t="s">
        <v>32</v>
      </c>
      <c r="O89" s="287" t="s">
        <v>33</v>
      </c>
      <c r="P89" s="287" t="s">
        <v>98</v>
      </c>
      <c r="Q89" s="287" t="s">
        <v>27</v>
      </c>
      <c r="R89" s="287" t="s">
        <v>340</v>
      </c>
      <c r="S89" s="292" t="s">
        <v>340</v>
      </c>
      <c r="T89" s="293"/>
      <c r="U89" s="294"/>
      <c r="V89" s="294">
        <v>14018182</v>
      </c>
      <c r="W89" s="295"/>
      <c r="X89" s="296"/>
      <c r="Y89" s="287" t="s">
        <v>25</v>
      </c>
      <c r="Z89" s="297" t="s">
        <v>25</v>
      </c>
      <c r="AA89" s="313"/>
      <c r="AB89" s="313"/>
      <c r="AC89" s="298">
        <f t="shared" si="6"/>
        <v>18000000</v>
      </c>
      <c r="AD89" s="298">
        <v>18000000</v>
      </c>
      <c r="AE89" s="298">
        <f t="shared" si="7"/>
        <v>0</v>
      </c>
      <c r="AF89" s="299"/>
      <c r="AG89" s="300"/>
      <c r="AH89" s="299"/>
      <c r="AI89" s="299"/>
      <c r="AJ89" s="300"/>
      <c r="AK89" s="299"/>
      <c r="AL89" s="301"/>
      <c r="AM89" s="314"/>
      <c r="AN89" s="301"/>
      <c r="AO89" s="302"/>
      <c r="AP89" s="301"/>
      <c r="AQ89" s="301"/>
      <c r="AR89" s="301"/>
      <c r="AS89" s="301">
        <v>8000000</v>
      </c>
      <c r="AT89" s="301"/>
      <c r="AU89" s="301"/>
      <c r="AV89" s="301"/>
      <c r="AW89" s="301"/>
      <c r="AX89" s="301"/>
      <c r="AY89" s="301"/>
      <c r="AZ89" s="301"/>
      <c r="BA89" s="301">
        <v>10000000</v>
      </c>
      <c r="BB89" s="301"/>
      <c r="BC89" s="301"/>
      <c r="BD89" s="301"/>
      <c r="BE89" s="301"/>
      <c r="BF89" s="301"/>
      <c r="BG89" s="303"/>
      <c r="BH89" s="304"/>
    </row>
    <row r="90" spans="1:60" s="305" customFormat="1" ht="16.5" hidden="1" customHeight="1" x14ac:dyDescent="0.4">
      <c r="A90" s="285">
        <v>67</v>
      </c>
      <c r="B90" s="286"/>
      <c r="C90" s="286"/>
      <c r="D90" s="287"/>
      <c r="E90" s="287"/>
      <c r="F90" s="288" t="s">
        <v>92</v>
      </c>
      <c r="G90" s="289" t="s">
        <v>159</v>
      </c>
      <c r="H90" s="307"/>
      <c r="I90" s="290"/>
      <c r="J90" s="291" t="s">
        <v>692</v>
      </c>
      <c r="K90" s="287"/>
      <c r="L90" s="287"/>
      <c r="M90" s="287">
        <v>7558</v>
      </c>
      <c r="N90" s="287" t="s">
        <v>32</v>
      </c>
      <c r="O90" s="287" t="s">
        <v>43</v>
      </c>
      <c r="P90" s="287" t="s">
        <v>98</v>
      </c>
      <c r="Q90" s="287"/>
      <c r="R90" s="287"/>
      <c r="S90" s="292" t="s">
        <v>742</v>
      </c>
      <c r="T90" s="293"/>
      <c r="U90" s="294"/>
      <c r="V90" s="294"/>
      <c r="W90" s="295">
        <v>2106000</v>
      </c>
      <c r="X90" s="296"/>
      <c r="Y90" s="287"/>
      <c r="Z90" s="297" t="s">
        <v>656</v>
      </c>
      <c r="AA90" s="313"/>
      <c r="AB90" s="313"/>
      <c r="AC90" s="298">
        <f t="shared" si="6"/>
        <v>0</v>
      </c>
      <c r="AD90" s="298">
        <v>0</v>
      </c>
      <c r="AE90" s="298">
        <f t="shared" si="7"/>
        <v>0</v>
      </c>
      <c r="AF90" s="299"/>
      <c r="AG90" s="300"/>
      <c r="AH90" s="299"/>
      <c r="AI90" s="299"/>
      <c r="AJ90" s="300"/>
      <c r="AK90" s="299"/>
      <c r="AL90" s="301"/>
      <c r="AM90" s="314"/>
      <c r="AN90" s="301"/>
      <c r="AO90" s="302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3"/>
      <c r="BH90" s="304"/>
    </row>
    <row r="91" spans="1:60" s="305" customFormat="1" ht="16.5" hidden="1" customHeight="1" x14ac:dyDescent="0.4">
      <c r="A91" s="285">
        <v>68</v>
      </c>
      <c r="B91" s="286"/>
      <c r="C91" s="286"/>
      <c r="D91" s="287" t="s">
        <v>92</v>
      </c>
      <c r="E91" s="287" t="s">
        <v>102</v>
      </c>
      <c r="F91" s="288" t="s">
        <v>92</v>
      </c>
      <c r="G91" s="289" t="s">
        <v>159</v>
      </c>
      <c r="H91" s="307"/>
      <c r="I91" s="290"/>
      <c r="J91" s="291" t="s">
        <v>329</v>
      </c>
      <c r="K91" s="287"/>
      <c r="L91" s="287"/>
      <c r="M91" s="287">
        <v>10694</v>
      </c>
      <c r="N91" s="287" t="s">
        <v>32</v>
      </c>
      <c r="O91" s="287" t="s">
        <v>33</v>
      </c>
      <c r="P91" s="287" t="s">
        <v>98</v>
      </c>
      <c r="Q91" s="287"/>
      <c r="R91" s="287" t="s">
        <v>38</v>
      </c>
      <c r="S91" s="292" t="s">
        <v>38</v>
      </c>
      <c r="T91" s="293"/>
      <c r="U91" s="294"/>
      <c r="V91" s="294">
        <v>0</v>
      </c>
      <c r="W91" s="295"/>
      <c r="X91" s="296"/>
      <c r="Y91" s="287" t="s">
        <v>56</v>
      </c>
      <c r="Z91" s="297" t="s">
        <v>618</v>
      </c>
      <c r="AA91" s="313"/>
      <c r="AB91" s="313"/>
      <c r="AC91" s="298">
        <f t="shared" si="6"/>
        <v>80000000</v>
      </c>
      <c r="AD91" s="298">
        <v>80000000</v>
      </c>
      <c r="AE91" s="298">
        <f t="shared" si="7"/>
        <v>0</v>
      </c>
      <c r="AF91" s="299"/>
      <c r="AG91" s="300"/>
      <c r="AH91" s="299"/>
      <c r="AI91" s="299"/>
      <c r="AJ91" s="300"/>
      <c r="AK91" s="299"/>
      <c r="AL91" s="301"/>
      <c r="AM91" s="314"/>
      <c r="AN91" s="301"/>
      <c r="AO91" s="302"/>
      <c r="AP91" s="301"/>
      <c r="AQ91" s="301"/>
      <c r="AR91" s="301"/>
      <c r="AS91" s="301">
        <v>50000000</v>
      </c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>
        <v>30000000</v>
      </c>
      <c r="BF91" s="301"/>
      <c r="BG91" s="303"/>
      <c r="BH91" s="304"/>
    </row>
    <row r="92" spans="1:60" s="305" customFormat="1" ht="16.5" hidden="1" customHeight="1" x14ac:dyDescent="0.4">
      <c r="A92" s="285">
        <v>69</v>
      </c>
      <c r="B92" s="286"/>
      <c r="C92" s="286"/>
      <c r="D92" s="287" t="s">
        <v>92</v>
      </c>
      <c r="E92" s="287" t="s">
        <v>102</v>
      </c>
      <c r="F92" s="288" t="s">
        <v>92</v>
      </c>
      <c r="G92" s="289" t="s">
        <v>159</v>
      </c>
      <c r="H92" s="307"/>
      <c r="I92" s="290"/>
      <c r="J92" s="291" t="s">
        <v>329</v>
      </c>
      <c r="K92" s="287"/>
      <c r="L92" s="287"/>
      <c r="M92" s="287">
        <v>10694</v>
      </c>
      <c r="N92" s="287" t="s">
        <v>32</v>
      </c>
      <c r="O92" s="287" t="s">
        <v>33</v>
      </c>
      <c r="P92" s="287" t="s">
        <v>98</v>
      </c>
      <c r="Q92" s="287"/>
      <c r="R92" s="287" t="s">
        <v>340</v>
      </c>
      <c r="S92" s="292" t="s">
        <v>340</v>
      </c>
      <c r="T92" s="293"/>
      <c r="U92" s="294"/>
      <c r="V92" s="294"/>
      <c r="W92" s="295"/>
      <c r="X92" s="296"/>
      <c r="Y92" s="287" t="s">
        <v>56</v>
      </c>
      <c r="Z92" s="297" t="s">
        <v>618</v>
      </c>
      <c r="AA92" s="313"/>
      <c r="AB92" s="313"/>
      <c r="AC92" s="298">
        <f t="shared" si="6"/>
        <v>250000000</v>
      </c>
      <c r="AD92" s="298">
        <v>250000000</v>
      </c>
      <c r="AE92" s="298">
        <f t="shared" si="7"/>
        <v>0</v>
      </c>
      <c r="AF92" s="299"/>
      <c r="AG92" s="300"/>
      <c r="AH92" s="299"/>
      <c r="AI92" s="299"/>
      <c r="AJ92" s="300"/>
      <c r="AK92" s="299"/>
      <c r="AL92" s="301">
        <v>550000000</v>
      </c>
      <c r="AM92" s="314"/>
      <c r="AN92" s="301"/>
      <c r="AO92" s="302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>
        <v>250000000</v>
      </c>
      <c r="BF92" s="301"/>
      <c r="BG92" s="303"/>
      <c r="BH92" s="304"/>
    </row>
    <row r="93" spans="1:60" s="305" customFormat="1" ht="16.5" hidden="1" customHeight="1" x14ac:dyDescent="0.4">
      <c r="A93" s="285">
        <v>70</v>
      </c>
      <c r="B93" s="286"/>
      <c r="C93" s="286"/>
      <c r="D93" s="287" t="s">
        <v>92</v>
      </c>
      <c r="E93" s="287" t="s">
        <v>102</v>
      </c>
      <c r="F93" s="288" t="s">
        <v>92</v>
      </c>
      <c r="G93" s="289" t="s">
        <v>159</v>
      </c>
      <c r="H93" s="307"/>
      <c r="I93" s="290"/>
      <c r="J93" s="291" t="s">
        <v>329</v>
      </c>
      <c r="K93" s="287"/>
      <c r="L93" s="287"/>
      <c r="M93" s="287">
        <v>10694</v>
      </c>
      <c r="N93" s="287" t="s">
        <v>32</v>
      </c>
      <c r="O93" s="287" t="s">
        <v>33</v>
      </c>
      <c r="P93" s="287" t="s">
        <v>98</v>
      </c>
      <c r="Q93" s="287"/>
      <c r="R93" s="287" t="s">
        <v>221</v>
      </c>
      <c r="S93" s="292" t="s">
        <v>745</v>
      </c>
      <c r="T93" s="293"/>
      <c r="U93" s="294"/>
      <c r="V93" s="294">
        <v>0</v>
      </c>
      <c r="W93" s="295"/>
      <c r="X93" s="296"/>
      <c r="Y93" s="287" t="s">
        <v>26</v>
      </c>
      <c r="Z93" s="297" t="s">
        <v>618</v>
      </c>
      <c r="AA93" s="313"/>
      <c r="AB93" s="313"/>
      <c r="AC93" s="298">
        <f t="shared" si="6"/>
        <v>400000000</v>
      </c>
      <c r="AD93" s="298">
        <v>400000000</v>
      </c>
      <c r="AE93" s="298">
        <f t="shared" si="7"/>
        <v>0</v>
      </c>
      <c r="AF93" s="299"/>
      <c r="AG93" s="300"/>
      <c r="AH93" s="299"/>
      <c r="AI93" s="299"/>
      <c r="AJ93" s="300"/>
      <c r="AK93" s="299"/>
      <c r="AL93" s="301"/>
      <c r="AM93" s="314"/>
      <c r="AN93" s="301"/>
      <c r="AO93" s="302"/>
      <c r="AP93" s="301"/>
      <c r="AQ93" s="301"/>
      <c r="AR93" s="301"/>
      <c r="AS93" s="301"/>
      <c r="AT93" s="301"/>
      <c r="AU93" s="301"/>
      <c r="AV93" s="301"/>
      <c r="AW93" s="301">
        <v>300000000</v>
      </c>
      <c r="AX93" s="301"/>
      <c r="AY93" s="301"/>
      <c r="AZ93" s="301"/>
      <c r="BA93" s="301"/>
      <c r="BB93" s="301"/>
      <c r="BC93" s="301"/>
      <c r="BD93" s="301"/>
      <c r="BE93" s="301">
        <v>100000000</v>
      </c>
      <c r="BF93" s="301"/>
      <c r="BG93" s="303"/>
      <c r="BH93" s="304"/>
    </row>
    <row r="94" spans="1:60" s="305" customFormat="1" ht="16.5" hidden="1" customHeight="1" x14ac:dyDescent="0.4">
      <c r="A94" s="285">
        <v>71</v>
      </c>
      <c r="B94" s="286"/>
      <c r="C94" s="286"/>
      <c r="D94" s="287" t="s">
        <v>92</v>
      </c>
      <c r="E94" s="287" t="s">
        <v>184</v>
      </c>
      <c r="F94" s="288" t="s">
        <v>92</v>
      </c>
      <c r="G94" s="289" t="s">
        <v>159</v>
      </c>
      <c r="H94" s="307"/>
      <c r="I94" s="290"/>
      <c r="J94" s="291" t="s">
        <v>497</v>
      </c>
      <c r="K94" s="287"/>
      <c r="L94" s="287"/>
      <c r="M94" s="287">
        <v>3765</v>
      </c>
      <c r="N94" s="287" t="s">
        <v>23</v>
      </c>
      <c r="O94" s="287" t="s">
        <v>33</v>
      </c>
      <c r="P94" s="287" t="s">
        <v>98</v>
      </c>
      <c r="Q94" s="287" t="s">
        <v>19</v>
      </c>
      <c r="R94" s="287" t="s">
        <v>20</v>
      </c>
      <c r="S94" s="292" t="s">
        <v>20</v>
      </c>
      <c r="T94" s="293"/>
      <c r="U94" s="294"/>
      <c r="V94" s="294">
        <v>0</v>
      </c>
      <c r="W94" s="295"/>
      <c r="X94" s="296"/>
      <c r="Y94" s="287" t="s">
        <v>25</v>
      </c>
      <c r="Z94" s="297" t="s">
        <v>544</v>
      </c>
      <c r="AA94" s="313"/>
      <c r="AB94" s="313"/>
      <c r="AC94" s="298">
        <f t="shared" si="6"/>
        <v>74000000</v>
      </c>
      <c r="AD94" s="298">
        <v>74000000</v>
      </c>
      <c r="AE94" s="298">
        <f t="shared" si="7"/>
        <v>0</v>
      </c>
      <c r="AF94" s="299"/>
      <c r="AG94" s="300"/>
      <c r="AH94" s="299"/>
      <c r="AI94" s="299">
        <v>18000000</v>
      </c>
      <c r="AJ94" s="300"/>
      <c r="AK94" s="299"/>
      <c r="AL94" s="301"/>
      <c r="AM94" s="314"/>
      <c r="AN94" s="301"/>
      <c r="AO94" s="302">
        <v>8000000</v>
      </c>
      <c r="AP94" s="301"/>
      <c r="AQ94" s="301">
        <v>8000000</v>
      </c>
      <c r="AR94" s="301"/>
      <c r="AS94" s="301">
        <v>8000000</v>
      </c>
      <c r="AT94" s="301"/>
      <c r="AU94" s="301">
        <v>8000000</v>
      </c>
      <c r="AV94" s="301"/>
      <c r="AW94" s="301">
        <v>9000000</v>
      </c>
      <c r="AX94" s="301"/>
      <c r="AY94" s="301">
        <v>9000000</v>
      </c>
      <c r="AZ94" s="301"/>
      <c r="BA94" s="301">
        <v>8000000</v>
      </c>
      <c r="BB94" s="301"/>
      <c r="BC94" s="301">
        <v>8000000</v>
      </c>
      <c r="BD94" s="301"/>
      <c r="BE94" s="301">
        <v>8000000</v>
      </c>
      <c r="BF94" s="301"/>
      <c r="BG94" s="303"/>
      <c r="BH94" s="304"/>
    </row>
    <row r="95" spans="1:60" s="305" customFormat="1" ht="16.5" hidden="1" customHeight="1" x14ac:dyDescent="0.4">
      <c r="A95" s="285">
        <v>72</v>
      </c>
      <c r="B95" s="286"/>
      <c r="C95" s="286"/>
      <c r="D95" s="287" t="s">
        <v>92</v>
      </c>
      <c r="E95" s="287" t="s">
        <v>184</v>
      </c>
      <c r="F95" s="288" t="s">
        <v>92</v>
      </c>
      <c r="G95" s="289" t="s">
        <v>159</v>
      </c>
      <c r="H95" s="307"/>
      <c r="I95" s="290"/>
      <c r="J95" s="291" t="s">
        <v>497</v>
      </c>
      <c r="K95" s="287"/>
      <c r="L95" s="287"/>
      <c r="M95" s="287">
        <v>3765</v>
      </c>
      <c r="N95" s="287" t="s">
        <v>23</v>
      </c>
      <c r="O95" s="287" t="s">
        <v>33</v>
      </c>
      <c r="P95" s="287" t="s">
        <v>98</v>
      </c>
      <c r="Q95" s="287" t="s">
        <v>27</v>
      </c>
      <c r="R95" s="287" t="s">
        <v>340</v>
      </c>
      <c r="S95" s="292" t="s">
        <v>340</v>
      </c>
      <c r="T95" s="293"/>
      <c r="U95" s="294"/>
      <c r="V95" s="294">
        <v>36980000</v>
      </c>
      <c r="W95" s="295">
        <v>120498150</v>
      </c>
      <c r="X95" s="296"/>
      <c r="Y95" s="287" t="s">
        <v>28</v>
      </c>
      <c r="Z95" s="297" t="s">
        <v>25</v>
      </c>
      <c r="AA95" s="313"/>
      <c r="AB95" s="313"/>
      <c r="AC95" s="298">
        <f t="shared" si="6"/>
        <v>40000000</v>
      </c>
      <c r="AD95" s="298">
        <v>40000000</v>
      </c>
      <c r="AE95" s="298">
        <f t="shared" si="7"/>
        <v>0</v>
      </c>
      <c r="AF95" s="299"/>
      <c r="AG95" s="300"/>
      <c r="AH95" s="299"/>
      <c r="AI95" s="299"/>
      <c r="AJ95" s="300"/>
      <c r="AK95" s="299"/>
      <c r="AL95" s="301"/>
      <c r="AM95" s="314"/>
      <c r="AN95" s="301"/>
      <c r="AO95" s="302"/>
      <c r="AP95" s="301"/>
      <c r="AQ95" s="301"/>
      <c r="AR95" s="301"/>
      <c r="AS95" s="301"/>
      <c r="AT95" s="301"/>
      <c r="AU95" s="301">
        <v>40000000</v>
      </c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3"/>
      <c r="BH95" s="304"/>
    </row>
    <row r="96" spans="1:60" s="305" customFormat="1" ht="16.5" hidden="1" customHeight="1" x14ac:dyDescent="0.4">
      <c r="A96" s="285">
        <v>73</v>
      </c>
      <c r="B96" s="286"/>
      <c r="C96" s="286"/>
      <c r="D96" s="287" t="s">
        <v>92</v>
      </c>
      <c r="E96" s="287" t="s">
        <v>184</v>
      </c>
      <c r="F96" s="288" t="s">
        <v>92</v>
      </c>
      <c r="G96" s="289" t="s">
        <v>159</v>
      </c>
      <c r="H96" s="307"/>
      <c r="I96" s="290"/>
      <c r="J96" s="291" t="s">
        <v>497</v>
      </c>
      <c r="K96" s="287"/>
      <c r="L96" s="287"/>
      <c r="M96" s="287">
        <v>3765</v>
      </c>
      <c r="N96" s="287" t="s">
        <v>23</v>
      </c>
      <c r="O96" s="287" t="s">
        <v>43</v>
      </c>
      <c r="P96" s="287" t="s">
        <v>98</v>
      </c>
      <c r="Q96" s="287" t="s">
        <v>24</v>
      </c>
      <c r="R96" s="287" t="s">
        <v>221</v>
      </c>
      <c r="S96" s="292" t="s">
        <v>745</v>
      </c>
      <c r="T96" s="293"/>
      <c r="U96" s="294"/>
      <c r="V96" s="294">
        <v>0</v>
      </c>
      <c r="W96" s="295">
        <v>11700000</v>
      </c>
      <c r="X96" s="296"/>
      <c r="Y96" s="287" t="s">
        <v>28</v>
      </c>
      <c r="Z96" s="297" t="s">
        <v>618</v>
      </c>
      <c r="AA96" s="313"/>
      <c r="AB96" s="313"/>
      <c r="AC96" s="298">
        <f t="shared" si="6"/>
        <v>0</v>
      </c>
      <c r="AD96" s="298">
        <v>0</v>
      </c>
      <c r="AE96" s="298">
        <f t="shared" si="7"/>
        <v>0</v>
      </c>
      <c r="AF96" s="299"/>
      <c r="AG96" s="300"/>
      <c r="AH96" s="299"/>
      <c r="AI96" s="299"/>
      <c r="AJ96" s="300"/>
      <c r="AK96" s="299"/>
      <c r="AL96" s="301"/>
      <c r="AM96" s="314"/>
      <c r="AN96" s="301"/>
      <c r="AO96" s="302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3"/>
      <c r="BH96" s="304"/>
    </row>
    <row r="97" spans="1:60" s="305" customFormat="1" ht="16.5" hidden="1" customHeight="1" x14ac:dyDescent="0.4">
      <c r="A97" s="285">
        <v>74</v>
      </c>
      <c r="B97" s="286"/>
      <c r="C97" s="286"/>
      <c r="D97" s="287" t="s">
        <v>92</v>
      </c>
      <c r="E97" s="287" t="s">
        <v>184</v>
      </c>
      <c r="F97" s="288" t="s">
        <v>92</v>
      </c>
      <c r="G97" s="289" t="s">
        <v>159</v>
      </c>
      <c r="H97" s="307"/>
      <c r="I97" s="290"/>
      <c r="J97" s="291" t="s">
        <v>770</v>
      </c>
      <c r="K97" s="287"/>
      <c r="L97" s="287"/>
      <c r="M97" s="287">
        <v>11897</v>
      </c>
      <c r="N97" s="287" t="s">
        <v>23</v>
      </c>
      <c r="O97" s="287" t="s">
        <v>43</v>
      </c>
      <c r="P97" s="287" t="s">
        <v>98</v>
      </c>
      <c r="Q97" s="287"/>
      <c r="R97" s="287"/>
      <c r="S97" s="292" t="s">
        <v>340</v>
      </c>
      <c r="T97" s="293"/>
      <c r="U97" s="294"/>
      <c r="V97" s="294"/>
      <c r="W97" s="295">
        <v>58541850</v>
      </c>
      <c r="X97" s="296"/>
      <c r="Y97" s="287"/>
      <c r="Z97" s="297" t="s">
        <v>656</v>
      </c>
      <c r="AA97" s="313"/>
      <c r="AB97" s="313"/>
      <c r="AC97" s="298">
        <f t="shared" si="6"/>
        <v>0</v>
      </c>
      <c r="AD97" s="298">
        <v>0</v>
      </c>
      <c r="AE97" s="298">
        <f t="shared" si="7"/>
        <v>0</v>
      </c>
      <c r="AF97" s="299"/>
      <c r="AG97" s="300"/>
      <c r="AH97" s="299"/>
      <c r="AI97" s="299"/>
      <c r="AJ97" s="300"/>
      <c r="AK97" s="299"/>
      <c r="AL97" s="301"/>
      <c r="AM97" s="314"/>
      <c r="AN97" s="301"/>
      <c r="AO97" s="302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3"/>
      <c r="BH97" s="304"/>
    </row>
    <row r="98" spans="1:60" s="305" customFormat="1" ht="16.5" hidden="1" customHeight="1" x14ac:dyDescent="0.4">
      <c r="A98" s="285">
        <v>75</v>
      </c>
      <c r="B98" s="286"/>
      <c r="C98" s="286"/>
      <c r="D98" s="287" t="s">
        <v>137</v>
      </c>
      <c r="E98" s="287" t="s">
        <v>159</v>
      </c>
      <c r="F98" s="288" t="s">
        <v>92</v>
      </c>
      <c r="G98" s="289" t="s">
        <v>159</v>
      </c>
      <c r="H98" s="307"/>
      <c r="I98" s="290"/>
      <c r="J98" s="291" t="s">
        <v>693</v>
      </c>
      <c r="K98" s="287"/>
      <c r="L98" s="287"/>
      <c r="M98" s="287">
        <v>44088</v>
      </c>
      <c r="N98" s="287" t="s">
        <v>23</v>
      </c>
      <c r="O98" s="287" t="s">
        <v>33</v>
      </c>
      <c r="P98" s="287" t="s">
        <v>98</v>
      </c>
      <c r="Q98" s="287"/>
      <c r="R98" s="287" t="s">
        <v>340</v>
      </c>
      <c r="S98" s="292" t="s">
        <v>340</v>
      </c>
      <c r="T98" s="293"/>
      <c r="U98" s="294">
        <v>0</v>
      </c>
      <c r="V98" s="294">
        <v>0</v>
      </c>
      <c r="W98" s="295"/>
      <c r="X98" s="296"/>
      <c r="Y98" s="287" t="s">
        <v>26</v>
      </c>
      <c r="Z98" s="297" t="s">
        <v>26</v>
      </c>
      <c r="AA98" s="313"/>
      <c r="AB98" s="313"/>
      <c r="AC98" s="298">
        <f t="shared" si="6"/>
        <v>40000000</v>
      </c>
      <c r="AD98" s="298">
        <v>40000000</v>
      </c>
      <c r="AE98" s="298">
        <f t="shared" si="7"/>
        <v>0</v>
      </c>
      <c r="AF98" s="299"/>
      <c r="AG98" s="300"/>
      <c r="AH98" s="299"/>
      <c r="AI98" s="299"/>
      <c r="AJ98" s="300"/>
      <c r="AK98" s="299"/>
      <c r="AL98" s="301"/>
      <c r="AM98" s="314"/>
      <c r="AN98" s="301"/>
      <c r="AO98" s="302"/>
      <c r="AP98" s="301"/>
      <c r="AQ98" s="316">
        <v>20000000</v>
      </c>
      <c r="AR98" s="301"/>
      <c r="AS98" s="301"/>
      <c r="AT98" s="301"/>
      <c r="AU98" s="301"/>
      <c r="AV98" s="301"/>
      <c r="AW98" s="301"/>
      <c r="AX98" s="301"/>
      <c r="AY98" s="301"/>
      <c r="AZ98" s="301"/>
      <c r="BA98" s="301">
        <v>20000000</v>
      </c>
      <c r="BB98" s="301"/>
      <c r="BC98" s="301"/>
      <c r="BD98" s="301"/>
      <c r="BE98" s="301"/>
      <c r="BF98" s="301"/>
      <c r="BG98" s="303"/>
      <c r="BH98" s="304"/>
    </row>
    <row r="99" spans="1:60" s="305" customFormat="1" ht="16.5" hidden="1" customHeight="1" x14ac:dyDescent="0.4">
      <c r="A99" s="285">
        <v>76</v>
      </c>
      <c r="B99" s="286"/>
      <c r="C99" s="286"/>
      <c r="D99" s="287" t="s">
        <v>137</v>
      </c>
      <c r="E99" s="287" t="s">
        <v>159</v>
      </c>
      <c r="F99" s="288" t="s">
        <v>92</v>
      </c>
      <c r="G99" s="289" t="s">
        <v>159</v>
      </c>
      <c r="H99" s="307"/>
      <c r="I99" s="290"/>
      <c r="J99" s="291" t="s">
        <v>693</v>
      </c>
      <c r="K99" s="287"/>
      <c r="L99" s="287"/>
      <c r="M99" s="287">
        <v>44088</v>
      </c>
      <c r="N99" s="287" t="s">
        <v>23</v>
      </c>
      <c r="O99" s="287" t="s">
        <v>33</v>
      </c>
      <c r="P99" s="287" t="s">
        <v>98</v>
      </c>
      <c r="Q99" s="287"/>
      <c r="R99" s="287" t="s">
        <v>345</v>
      </c>
      <c r="S99" s="292" t="s">
        <v>742</v>
      </c>
      <c r="T99" s="293"/>
      <c r="U99" s="294"/>
      <c r="V99" s="294"/>
      <c r="W99" s="295"/>
      <c r="X99" s="296"/>
      <c r="Y99" s="287" t="s">
        <v>26</v>
      </c>
      <c r="Z99" s="297" t="s">
        <v>544</v>
      </c>
      <c r="AA99" s="313"/>
      <c r="AB99" s="313"/>
      <c r="AC99" s="298">
        <f t="shared" si="6"/>
        <v>10000000</v>
      </c>
      <c r="AD99" s="298">
        <v>10000000</v>
      </c>
      <c r="AE99" s="298">
        <f t="shared" si="7"/>
        <v>0</v>
      </c>
      <c r="AF99" s="299"/>
      <c r="AG99" s="300"/>
      <c r="AH99" s="299"/>
      <c r="AI99" s="299"/>
      <c r="AJ99" s="300"/>
      <c r="AK99" s="299"/>
      <c r="AL99" s="301"/>
      <c r="AM99" s="314"/>
      <c r="AN99" s="301"/>
      <c r="AO99" s="302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>
        <v>10000000</v>
      </c>
      <c r="BF99" s="301"/>
      <c r="BG99" s="303"/>
      <c r="BH99" s="304"/>
    </row>
    <row r="100" spans="1:60" s="305" customFormat="1" ht="16.5" hidden="1" customHeight="1" x14ac:dyDescent="0.4">
      <c r="A100" s="285">
        <v>77</v>
      </c>
      <c r="B100" s="286"/>
      <c r="C100" s="286"/>
      <c r="D100" s="287" t="s">
        <v>17</v>
      </c>
      <c r="E100" s="287" t="s">
        <v>0</v>
      </c>
      <c r="F100" s="288" t="s">
        <v>92</v>
      </c>
      <c r="G100" s="289" t="s">
        <v>159</v>
      </c>
      <c r="H100" s="307"/>
      <c r="I100" s="290"/>
      <c r="J100" s="291" t="s">
        <v>721</v>
      </c>
      <c r="K100" s="287"/>
      <c r="L100" s="287"/>
      <c r="M100" s="287">
        <v>4409</v>
      </c>
      <c r="N100" s="287" t="s">
        <v>32</v>
      </c>
      <c r="O100" s="287" t="s">
        <v>33</v>
      </c>
      <c r="P100" s="287" t="s">
        <v>93</v>
      </c>
      <c r="Q100" s="287" t="s">
        <v>24</v>
      </c>
      <c r="R100" s="287" t="s">
        <v>221</v>
      </c>
      <c r="S100" s="292" t="s">
        <v>745</v>
      </c>
      <c r="T100" s="293"/>
      <c r="U100" s="294"/>
      <c r="V100" s="294">
        <v>0</v>
      </c>
      <c r="W100" s="295"/>
      <c r="X100" s="296"/>
      <c r="Y100" s="287" t="s">
        <v>26</v>
      </c>
      <c r="Z100" s="297" t="s">
        <v>544</v>
      </c>
      <c r="AA100" s="313"/>
      <c r="AB100" s="313"/>
      <c r="AC100" s="298">
        <f t="shared" si="6"/>
        <v>10000000</v>
      </c>
      <c r="AD100" s="298">
        <v>10000000</v>
      </c>
      <c r="AE100" s="298">
        <f t="shared" si="7"/>
        <v>0</v>
      </c>
      <c r="AF100" s="299"/>
      <c r="AG100" s="300"/>
      <c r="AH100" s="299"/>
      <c r="AI100" s="299"/>
      <c r="AJ100" s="300"/>
      <c r="AK100" s="299"/>
      <c r="AL100" s="301"/>
      <c r="AM100" s="314"/>
      <c r="AN100" s="301"/>
      <c r="AO100" s="302"/>
      <c r="AP100" s="301"/>
      <c r="AQ100" s="301">
        <v>10000000</v>
      </c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3"/>
      <c r="BH100" s="304"/>
    </row>
    <row r="101" spans="1:60" s="305" customFormat="1" ht="16.5" hidden="1" customHeight="1" x14ac:dyDescent="0.4">
      <c r="A101" s="285">
        <v>78</v>
      </c>
      <c r="B101" s="286"/>
      <c r="C101" s="286"/>
      <c r="D101" s="287" t="s">
        <v>17</v>
      </c>
      <c r="E101" s="287" t="s">
        <v>0</v>
      </c>
      <c r="F101" s="288" t="s">
        <v>92</v>
      </c>
      <c r="G101" s="289" t="s">
        <v>159</v>
      </c>
      <c r="H101" s="307"/>
      <c r="I101" s="290"/>
      <c r="J101" s="291" t="s">
        <v>721</v>
      </c>
      <c r="K101" s="287"/>
      <c r="L101" s="287"/>
      <c r="M101" s="287">
        <v>4409</v>
      </c>
      <c r="N101" s="287" t="s">
        <v>32</v>
      </c>
      <c r="O101" s="287" t="s">
        <v>33</v>
      </c>
      <c r="P101" s="287" t="s">
        <v>93</v>
      </c>
      <c r="Q101" s="287"/>
      <c r="R101" s="287"/>
      <c r="S101" s="292" t="s">
        <v>752</v>
      </c>
      <c r="T101" s="293"/>
      <c r="U101" s="294"/>
      <c r="V101" s="294"/>
      <c r="W101" s="295"/>
      <c r="X101" s="296"/>
      <c r="Y101" s="287"/>
      <c r="Z101" s="297" t="s">
        <v>544</v>
      </c>
      <c r="AA101" s="313"/>
      <c r="AB101" s="313"/>
      <c r="AC101" s="298">
        <f t="shared" si="6"/>
        <v>15000000</v>
      </c>
      <c r="AD101" s="298">
        <v>15000000</v>
      </c>
      <c r="AE101" s="298">
        <f t="shared" si="7"/>
        <v>0</v>
      </c>
      <c r="AF101" s="299"/>
      <c r="AG101" s="300"/>
      <c r="AH101" s="299"/>
      <c r="AI101" s="299"/>
      <c r="AJ101" s="300"/>
      <c r="AK101" s="299"/>
      <c r="AL101" s="301"/>
      <c r="AM101" s="314"/>
      <c r="AN101" s="301"/>
      <c r="AO101" s="302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>
        <v>15000000</v>
      </c>
      <c r="AZ101" s="301"/>
      <c r="BA101" s="301"/>
      <c r="BB101" s="301"/>
      <c r="BC101" s="301"/>
      <c r="BD101" s="301"/>
      <c r="BE101" s="301"/>
      <c r="BF101" s="301"/>
      <c r="BG101" s="303"/>
      <c r="BH101" s="304"/>
    </row>
    <row r="102" spans="1:60" s="305" customFormat="1" ht="16.5" hidden="1" customHeight="1" x14ac:dyDescent="0.4">
      <c r="A102" s="285">
        <v>79</v>
      </c>
      <c r="B102" s="286"/>
      <c r="C102" s="286"/>
      <c r="D102" s="287" t="s">
        <v>137</v>
      </c>
      <c r="E102" s="287" t="s">
        <v>159</v>
      </c>
      <c r="F102" s="288" t="s">
        <v>92</v>
      </c>
      <c r="G102" s="289" t="s">
        <v>159</v>
      </c>
      <c r="H102" s="307"/>
      <c r="I102" s="290"/>
      <c r="J102" s="291" t="s">
        <v>694</v>
      </c>
      <c r="K102" s="287"/>
      <c r="L102" s="287"/>
      <c r="M102" s="287">
        <v>21075</v>
      </c>
      <c r="N102" s="287" t="s">
        <v>32</v>
      </c>
      <c r="O102" s="287" t="s">
        <v>43</v>
      </c>
      <c r="P102" s="287" t="s">
        <v>93</v>
      </c>
      <c r="Q102" s="287" t="s">
        <v>36</v>
      </c>
      <c r="R102" s="287" t="s">
        <v>341</v>
      </c>
      <c r="S102" s="292" t="s">
        <v>341</v>
      </c>
      <c r="T102" s="293"/>
      <c r="U102" s="294"/>
      <c r="V102" s="294" t="s">
        <v>97</v>
      </c>
      <c r="W102" s="295">
        <v>18000000</v>
      </c>
      <c r="X102" s="296"/>
      <c r="Y102" s="287" t="s">
        <v>26</v>
      </c>
      <c r="Z102" s="297" t="s">
        <v>26</v>
      </c>
      <c r="AA102" s="313"/>
      <c r="AB102" s="313"/>
      <c r="AC102" s="298">
        <f t="shared" si="6"/>
        <v>18000000</v>
      </c>
      <c r="AD102" s="298">
        <v>18000000</v>
      </c>
      <c r="AE102" s="298">
        <f t="shared" si="7"/>
        <v>0</v>
      </c>
      <c r="AF102" s="299"/>
      <c r="AG102" s="300"/>
      <c r="AH102" s="299"/>
      <c r="AI102" s="299"/>
      <c r="AJ102" s="300"/>
      <c r="AK102" s="299"/>
      <c r="AL102" s="301"/>
      <c r="AM102" s="314"/>
      <c r="AN102" s="301"/>
      <c r="AO102" s="302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>
        <v>18000000</v>
      </c>
      <c r="BF102" s="301"/>
      <c r="BG102" s="303"/>
      <c r="BH102" s="304"/>
    </row>
    <row r="103" spans="1:60" s="305" customFormat="1" ht="16.5" hidden="1" customHeight="1" x14ac:dyDescent="0.4">
      <c r="A103" s="285">
        <v>80</v>
      </c>
      <c r="B103" s="286"/>
      <c r="C103" s="286"/>
      <c r="D103" s="287" t="s">
        <v>137</v>
      </c>
      <c r="E103" s="287" t="s">
        <v>159</v>
      </c>
      <c r="F103" s="288" t="s">
        <v>92</v>
      </c>
      <c r="G103" s="289" t="s">
        <v>159</v>
      </c>
      <c r="H103" s="307"/>
      <c r="I103" s="290"/>
      <c r="J103" s="291" t="s">
        <v>694</v>
      </c>
      <c r="K103" s="287"/>
      <c r="L103" s="287"/>
      <c r="M103" s="287">
        <v>21075</v>
      </c>
      <c r="N103" s="287" t="s">
        <v>32</v>
      </c>
      <c r="O103" s="287" t="s">
        <v>33</v>
      </c>
      <c r="P103" s="287" t="s">
        <v>93</v>
      </c>
      <c r="Q103" s="287"/>
      <c r="R103" s="287" t="s">
        <v>221</v>
      </c>
      <c r="S103" s="292" t="s">
        <v>745</v>
      </c>
      <c r="T103" s="293"/>
      <c r="U103" s="294"/>
      <c r="V103" s="294" t="s">
        <v>97</v>
      </c>
      <c r="W103" s="295"/>
      <c r="X103" s="296"/>
      <c r="Y103" s="287" t="s">
        <v>56</v>
      </c>
      <c r="Z103" s="297" t="s">
        <v>25</v>
      </c>
      <c r="AA103" s="313"/>
      <c r="AB103" s="313"/>
      <c r="AC103" s="298">
        <f t="shared" si="6"/>
        <v>600000000</v>
      </c>
      <c r="AD103" s="298">
        <v>600000000</v>
      </c>
      <c r="AE103" s="298">
        <f t="shared" si="7"/>
        <v>0</v>
      </c>
      <c r="AF103" s="299"/>
      <c r="AG103" s="300"/>
      <c r="AH103" s="299"/>
      <c r="AI103" s="299"/>
      <c r="AJ103" s="300"/>
      <c r="AK103" s="299"/>
      <c r="AL103" s="301"/>
      <c r="AM103" s="314"/>
      <c r="AN103" s="301"/>
      <c r="AO103" s="302"/>
      <c r="AP103" s="301"/>
      <c r="AQ103" s="301"/>
      <c r="AR103" s="301"/>
      <c r="AS103" s="301">
        <v>300000000</v>
      </c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>
        <v>300000000</v>
      </c>
      <c r="BF103" s="301"/>
      <c r="BG103" s="303"/>
      <c r="BH103" s="304"/>
    </row>
    <row r="104" spans="1:60" s="305" customFormat="1" ht="16.5" hidden="1" customHeight="1" x14ac:dyDescent="0.4">
      <c r="A104" s="285">
        <v>81</v>
      </c>
      <c r="B104" s="286"/>
      <c r="C104" s="286"/>
      <c r="D104" s="287" t="s">
        <v>137</v>
      </c>
      <c r="E104" s="287" t="s">
        <v>159</v>
      </c>
      <c r="F104" s="288" t="s">
        <v>92</v>
      </c>
      <c r="G104" s="289" t="s">
        <v>159</v>
      </c>
      <c r="H104" s="307"/>
      <c r="I104" s="290"/>
      <c r="J104" s="291" t="s">
        <v>694</v>
      </c>
      <c r="K104" s="287"/>
      <c r="L104" s="287"/>
      <c r="M104" s="287">
        <v>21075</v>
      </c>
      <c r="N104" s="287" t="s">
        <v>32</v>
      </c>
      <c r="O104" s="287" t="s">
        <v>33</v>
      </c>
      <c r="P104" s="287" t="s">
        <v>93</v>
      </c>
      <c r="Q104" s="287"/>
      <c r="R104" s="287" t="s">
        <v>338</v>
      </c>
      <c r="S104" s="292" t="s">
        <v>753</v>
      </c>
      <c r="T104" s="293"/>
      <c r="U104" s="294"/>
      <c r="V104" s="294">
        <v>18000000</v>
      </c>
      <c r="W104" s="295"/>
      <c r="X104" s="296"/>
      <c r="Y104" s="287" t="s">
        <v>618</v>
      </c>
      <c r="Z104" s="297" t="s">
        <v>544</v>
      </c>
      <c r="AA104" s="313"/>
      <c r="AB104" s="313"/>
      <c r="AC104" s="298">
        <f t="shared" si="6"/>
        <v>0</v>
      </c>
      <c r="AD104" s="298">
        <v>0</v>
      </c>
      <c r="AE104" s="298">
        <f t="shared" si="7"/>
        <v>0</v>
      </c>
      <c r="AF104" s="299"/>
      <c r="AG104" s="300"/>
      <c r="AH104" s="299"/>
      <c r="AI104" s="299"/>
      <c r="AJ104" s="300"/>
      <c r="AK104" s="299"/>
      <c r="AL104" s="301"/>
      <c r="AM104" s="314"/>
      <c r="AN104" s="301"/>
      <c r="AO104" s="302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3"/>
      <c r="BH104" s="304"/>
    </row>
    <row r="105" spans="1:60" s="305" customFormat="1" ht="16.5" hidden="1" customHeight="1" x14ac:dyDescent="0.4">
      <c r="A105" s="285">
        <v>82</v>
      </c>
      <c r="B105" s="286"/>
      <c r="C105" s="286"/>
      <c r="D105" s="287" t="s">
        <v>137</v>
      </c>
      <c r="E105" s="287" t="s">
        <v>159</v>
      </c>
      <c r="F105" s="288" t="s">
        <v>92</v>
      </c>
      <c r="G105" s="289" t="s">
        <v>159</v>
      </c>
      <c r="H105" s="307"/>
      <c r="I105" s="290"/>
      <c r="J105" s="291" t="s">
        <v>695</v>
      </c>
      <c r="K105" s="287"/>
      <c r="L105" s="287"/>
      <c r="M105" s="287">
        <v>59531</v>
      </c>
      <c r="N105" s="287" t="s">
        <v>32</v>
      </c>
      <c r="O105" s="287" t="s">
        <v>33</v>
      </c>
      <c r="P105" s="287" t="s">
        <v>98</v>
      </c>
      <c r="Q105" s="287" t="s">
        <v>37</v>
      </c>
      <c r="R105" s="287" t="s">
        <v>38</v>
      </c>
      <c r="S105" s="292" t="s">
        <v>38</v>
      </c>
      <c r="T105" s="293"/>
      <c r="U105" s="294" t="s">
        <v>97</v>
      </c>
      <c r="V105" s="294">
        <v>113454545.72727272</v>
      </c>
      <c r="W105" s="295"/>
      <c r="X105" s="296"/>
      <c r="Y105" s="287" t="s">
        <v>56</v>
      </c>
      <c r="Z105" s="297" t="s">
        <v>56</v>
      </c>
      <c r="AA105" s="313"/>
      <c r="AB105" s="313"/>
      <c r="AC105" s="298">
        <f t="shared" si="6"/>
        <v>55000000</v>
      </c>
      <c r="AD105" s="298">
        <v>55000000</v>
      </c>
      <c r="AE105" s="298">
        <f t="shared" si="7"/>
        <v>0</v>
      </c>
      <c r="AF105" s="299"/>
      <c r="AG105" s="300"/>
      <c r="AH105" s="299"/>
      <c r="AI105" s="299">
        <v>55000000</v>
      </c>
      <c r="AJ105" s="300"/>
      <c r="AK105" s="299"/>
      <c r="AL105" s="301"/>
      <c r="AM105" s="314"/>
      <c r="AN105" s="301"/>
      <c r="AO105" s="302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>
        <v>55000000</v>
      </c>
      <c r="BF105" s="301"/>
      <c r="BG105" s="303"/>
      <c r="BH105" s="304"/>
    </row>
    <row r="106" spans="1:60" s="305" customFormat="1" ht="16.5" hidden="1" customHeight="1" x14ac:dyDescent="0.4">
      <c r="A106" s="285">
        <v>83</v>
      </c>
      <c r="B106" s="286"/>
      <c r="C106" s="286"/>
      <c r="D106" s="287" t="s">
        <v>137</v>
      </c>
      <c r="E106" s="287" t="s">
        <v>159</v>
      </c>
      <c r="F106" s="288" t="s">
        <v>92</v>
      </c>
      <c r="G106" s="289" t="s">
        <v>159</v>
      </c>
      <c r="H106" s="307"/>
      <c r="I106" s="290"/>
      <c r="J106" s="291" t="s">
        <v>695</v>
      </c>
      <c r="K106" s="287"/>
      <c r="L106" s="287"/>
      <c r="M106" s="287">
        <v>59531</v>
      </c>
      <c r="N106" s="287" t="s">
        <v>32</v>
      </c>
      <c r="O106" s="287" t="s">
        <v>33</v>
      </c>
      <c r="P106" s="287" t="s">
        <v>98</v>
      </c>
      <c r="Q106" s="287"/>
      <c r="R106" s="287" t="s">
        <v>340</v>
      </c>
      <c r="S106" s="292" t="s">
        <v>340</v>
      </c>
      <c r="T106" s="293"/>
      <c r="U106" s="294"/>
      <c r="V106" s="294">
        <v>0</v>
      </c>
      <c r="W106" s="295"/>
      <c r="X106" s="296"/>
      <c r="Y106" s="287" t="s">
        <v>618</v>
      </c>
      <c r="Z106" s="297" t="s">
        <v>618</v>
      </c>
      <c r="AA106" s="313"/>
      <c r="AB106" s="313"/>
      <c r="AC106" s="298">
        <f t="shared" si="6"/>
        <v>110000000</v>
      </c>
      <c r="AD106" s="298">
        <v>110000000</v>
      </c>
      <c r="AE106" s="298">
        <f t="shared" si="7"/>
        <v>0</v>
      </c>
      <c r="AF106" s="299"/>
      <c r="AG106" s="300"/>
      <c r="AH106" s="299"/>
      <c r="AI106" s="299"/>
      <c r="AJ106" s="300"/>
      <c r="AK106" s="299"/>
      <c r="AL106" s="301"/>
      <c r="AM106" s="314"/>
      <c r="AN106" s="301"/>
      <c r="AO106" s="302">
        <v>55000000</v>
      </c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>
        <v>55000000</v>
      </c>
      <c r="BF106" s="301"/>
      <c r="BG106" s="303"/>
      <c r="BH106" s="304"/>
    </row>
    <row r="107" spans="1:60" s="305" customFormat="1" ht="16.5" hidden="1" customHeight="1" x14ac:dyDescent="0.4">
      <c r="A107" s="285">
        <v>84</v>
      </c>
      <c r="B107" s="286"/>
      <c r="C107" s="286"/>
      <c r="D107" s="287" t="s">
        <v>137</v>
      </c>
      <c r="E107" s="287" t="s">
        <v>159</v>
      </c>
      <c r="F107" s="288" t="s">
        <v>92</v>
      </c>
      <c r="G107" s="289" t="s">
        <v>159</v>
      </c>
      <c r="H107" s="307"/>
      <c r="I107" s="290"/>
      <c r="J107" s="291" t="s">
        <v>696</v>
      </c>
      <c r="K107" s="287"/>
      <c r="L107" s="287"/>
      <c r="M107" s="287">
        <v>59531</v>
      </c>
      <c r="N107" s="287" t="s">
        <v>32</v>
      </c>
      <c r="O107" s="287" t="s">
        <v>33</v>
      </c>
      <c r="P107" s="287" t="s">
        <v>98</v>
      </c>
      <c r="Q107" s="287"/>
      <c r="R107" s="287" t="s">
        <v>221</v>
      </c>
      <c r="S107" s="292" t="s">
        <v>745</v>
      </c>
      <c r="T107" s="293"/>
      <c r="U107" s="294"/>
      <c r="V107" s="294"/>
      <c r="W107" s="295"/>
      <c r="X107" s="296"/>
      <c r="Y107" s="287" t="s">
        <v>618</v>
      </c>
      <c r="Z107" s="297" t="s">
        <v>618</v>
      </c>
      <c r="AA107" s="313"/>
      <c r="AB107" s="313"/>
      <c r="AC107" s="298">
        <f t="shared" si="6"/>
        <v>110000000</v>
      </c>
      <c r="AD107" s="298">
        <v>110000000</v>
      </c>
      <c r="AE107" s="298">
        <f t="shared" si="7"/>
        <v>0</v>
      </c>
      <c r="AF107" s="299"/>
      <c r="AG107" s="300"/>
      <c r="AH107" s="299"/>
      <c r="AI107" s="299"/>
      <c r="AJ107" s="300"/>
      <c r="AK107" s="299"/>
      <c r="AL107" s="301"/>
      <c r="AM107" s="314"/>
      <c r="AN107" s="301"/>
      <c r="AO107" s="302"/>
      <c r="AP107" s="301"/>
      <c r="AQ107" s="301">
        <v>55000000</v>
      </c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>
        <v>55000000</v>
      </c>
      <c r="BF107" s="301"/>
      <c r="BG107" s="303"/>
      <c r="BH107" s="304"/>
    </row>
    <row r="108" spans="1:60" s="305" customFormat="1" ht="16.5" hidden="1" customHeight="1" x14ac:dyDescent="0.4">
      <c r="A108" s="285">
        <v>85</v>
      </c>
      <c r="B108" s="286"/>
      <c r="C108" s="286"/>
      <c r="D108" s="287" t="s">
        <v>92</v>
      </c>
      <c r="E108" s="287" t="s">
        <v>102</v>
      </c>
      <c r="F108" s="288" t="s">
        <v>92</v>
      </c>
      <c r="G108" s="289" t="s">
        <v>159</v>
      </c>
      <c r="H108" s="307"/>
      <c r="I108" s="290"/>
      <c r="J108" s="291" t="s">
        <v>107</v>
      </c>
      <c r="K108" s="287"/>
      <c r="L108" s="287"/>
      <c r="M108" s="287">
        <v>4259</v>
      </c>
      <c r="N108" s="287" t="s">
        <v>32</v>
      </c>
      <c r="O108" s="287" t="s">
        <v>43</v>
      </c>
      <c r="P108" s="287" t="s">
        <v>44</v>
      </c>
      <c r="Q108" s="287" t="s">
        <v>49</v>
      </c>
      <c r="R108" s="287" t="s">
        <v>29</v>
      </c>
      <c r="S108" s="292" t="s">
        <v>29</v>
      </c>
      <c r="T108" s="293"/>
      <c r="U108" s="294">
        <v>188000000</v>
      </c>
      <c r="V108" s="294">
        <v>187272720</v>
      </c>
      <c r="W108" s="295">
        <v>187272730</v>
      </c>
      <c r="X108" s="296"/>
      <c r="Y108" s="287" t="s">
        <v>28</v>
      </c>
      <c r="Z108" s="297" t="s">
        <v>28</v>
      </c>
      <c r="AA108" s="313"/>
      <c r="AB108" s="313"/>
      <c r="AC108" s="298">
        <f t="shared" si="6"/>
        <v>190000000</v>
      </c>
      <c r="AD108" s="298">
        <v>190000000</v>
      </c>
      <c r="AE108" s="298">
        <f t="shared" si="7"/>
        <v>0</v>
      </c>
      <c r="AF108" s="299"/>
      <c r="AG108" s="300"/>
      <c r="AH108" s="299"/>
      <c r="AI108" s="299"/>
      <c r="AJ108" s="300"/>
      <c r="AK108" s="299"/>
      <c r="AL108" s="301"/>
      <c r="AM108" s="314"/>
      <c r="AN108" s="301"/>
      <c r="AO108" s="302">
        <v>0</v>
      </c>
      <c r="AP108" s="301" t="s">
        <v>866</v>
      </c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>
        <v>190000000</v>
      </c>
      <c r="BF108" s="301"/>
      <c r="BG108" s="303"/>
      <c r="BH108" s="304"/>
    </row>
    <row r="109" spans="1:60" s="305" customFormat="1" ht="16.5" hidden="1" customHeight="1" x14ac:dyDescent="0.4">
      <c r="A109" s="285">
        <v>86</v>
      </c>
      <c r="B109" s="286"/>
      <c r="C109" s="286"/>
      <c r="D109" s="287" t="s">
        <v>92</v>
      </c>
      <c r="E109" s="287" t="s">
        <v>102</v>
      </c>
      <c r="F109" s="288" t="s">
        <v>92</v>
      </c>
      <c r="G109" s="289" t="s">
        <v>159</v>
      </c>
      <c r="H109" s="307"/>
      <c r="I109" s="290"/>
      <c r="J109" s="291" t="s">
        <v>107</v>
      </c>
      <c r="K109" s="287"/>
      <c r="L109" s="287"/>
      <c r="M109" s="287">
        <v>4259</v>
      </c>
      <c r="N109" s="287" t="s">
        <v>32</v>
      </c>
      <c r="O109" s="287" t="s">
        <v>43</v>
      </c>
      <c r="P109" s="287" t="s">
        <v>44</v>
      </c>
      <c r="Q109" s="287"/>
      <c r="R109" s="287"/>
      <c r="S109" s="292" t="s">
        <v>745</v>
      </c>
      <c r="T109" s="293"/>
      <c r="U109" s="294"/>
      <c r="V109" s="294"/>
      <c r="W109" s="295">
        <v>8800000</v>
      </c>
      <c r="X109" s="296"/>
      <c r="Y109" s="287"/>
      <c r="Z109" s="297" t="s">
        <v>656</v>
      </c>
      <c r="AA109" s="313"/>
      <c r="AB109" s="313"/>
      <c r="AC109" s="298">
        <f t="shared" si="6"/>
        <v>0</v>
      </c>
      <c r="AD109" s="298">
        <v>0</v>
      </c>
      <c r="AE109" s="298">
        <f t="shared" si="7"/>
        <v>0</v>
      </c>
      <c r="AF109" s="299"/>
      <c r="AG109" s="300"/>
      <c r="AH109" s="299"/>
      <c r="AI109" s="299"/>
      <c r="AJ109" s="300"/>
      <c r="AK109" s="299"/>
      <c r="AL109" s="301"/>
      <c r="AM109" s="314"/>
      <c r="AN109" s="301"/>
      <c r="AO109" s="302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3"/>
      <c r="BH109" s="304"/>
    </row>
    <row r="110" spans="1:60" s="305" customFormat="1" ht="16.5" hidden="1" customHeight="1" x14ac:dyDescent="0.4">
      <c r="A110" s="285">
        <v>87</v>
      </c>
      <c r="B110" s="286"/>
      <c r="C110" s="286"/>
      <c r="D110" s="287" t="s">
        <v>92</v>
      </c>
      <c r="E110" s="287" t="s">
        <v>102</v>
      </c>
      <c r="F110" s="288" t="s">
        <v>92</v>
      </c>
      <c r="G110" s="289" t="s">
        <v>159</v>
      </c>
      <c r="H110" s="307"/>
      <c r="I110" s="290"/>
      <c r="J110" s="291" t="s">
        <v>108</v>
      </c>
      <c r="K110" s="287"/>
      <c r="L110" s="287"/>
      <c r="M110" s="287">
        <v>44570</v>
      </c>
      <c r="N110" s="287" t="s">
        <v>32</v>
      </c>
      <c r="O110" s="287" t="s">
        <v>43</v>
      </c>
      <c r="P110" s="287" t="s">
        <v>44</v>
      </c>
      <c r="Q110" s="287" t="s">
        <v>19</v>
      </c>
      <c r="R110" s="287" t="s">
        <v>20</v>
      </c>
      <c r="S110" s="292" t="s">
        <v>20</v>
      </c>
      <c r="T110" s="293"/>
      <c r="U110" s="294">
        <v>2085000</v>
      </c>
      <c r="V110" s="294">
        <v>4160000</v>
      </c>
      <c r="W110" s="295">
        <v>5088000</v>
      </c>
      <c r="X110" s="296"/>
      <c r="Y110" s="287" t="s">
        <v>28</v>
      </c>
      <c r="Z110" s="297" t="s">
        <v>25</v>
      </c>
      <c r="AA110" s="313"/>
      <c r="AB110" s="313"/>
      <c r="AC110" s="298">
        <f t="shared" si="6"/>
        <v>5000000</v>
      </c>
      <c r="AD110" s="298">
        <v>5000000</v>
      </c>
      <c r="AE110" s="298">
        <f t="shared" si="7"/>
        <v>0</v>
      </c>
      <c r="AF110" s="299"/>
      <c r="AG110" s="300"/>
      <c r="AH110" s="299"/>
      <c r="AI110" s="299"/>
      <c r="AJ110" s="300"/>
      <c r="AK110" s="299"/>
      <c r="AL110" s="301"/>
      <c r="AM110" s="314"/>
      <c r="AN110" s="301"/>
      <c r="AO110" s="302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>
        <v>5000000</v>
      </c>
      <c r="BD110" s="301"/>
      <c r="BE110" s="301"/>
      <c r="BF110" s="301"/>
      <c r="BG110" s="303"/>
      <c r="BH110" s="304"/>
    </row>
    <row r="111" spans="1:60" s="305" customFormat="1" ht="16.5" hidden="1" customHeight="1" x14ac:dyDescent="0.4">
      <c r="A111" s="285">
        <v>88</v>
      </c>
      <c r="B111" s="286"/>
      <c r="C111" s="286"/>
      <c r="D111" s="287" t="s">
        <v>92</v>
      </c>
      <c r="E111" s="287" t="s">
        <v>102</v>
      </c>
      <c r="F111" s="288" t="s">
        <v>92</v>
      </c>
      <c r="G111" s="289" t="s">
        <v>159</v>
      </c>
      <c r="H111" s="307"/>
      <c r="I111" s="290"/>
      <c r="J111" s="291" t="s">
        <v>501</v>
      </c>
      <c r="K111" s="287"/>
      <c r="L111" s="287"/>
      <c r="M111" s="287">
        <v>4264</v>
      </c>
      <c r="N111" s="287" t="s">
        <v>40</v>
      </c>
      <c r="O111" s="287" t="s">
        <v>43</v>
      </c>
      <c r="P111" s="287" t="s">
        <v>44</v>
      </c>
      <c r="Q111" s="287" t="s">
        <v>49</v>
      </c>
      <c r="R111" s="287" t="s">
        <v>29</v>
      </c>
      <c r="S111" s="292" t="s">
        <v>29</v>
      </c>
      <c r="T111" s="293" t="s">
        <v>798</v>
      </c>
      <c r="U111" s="294">
        <v>163794486</v>
      </c>
      <c r="V111" s="294">
        <v>132283890</v>
      </c>
      <c r="W111" s="295">
        <v>69167240</v>
      </c>
      <c r="X111" s="296"/>
      <c r="Y111" s="287" t="s">
        <v>28</v>
      </c>
      <c r="Z111" s="297" t="s">
        <v>28</v>
      </c>
      <c r="AA111" s="313"/>
      <c r="AB111" s="313"/>
      <c r="AC111" s="298">
        <f t="shared" si="6"/>
        <v>60000000</v>
      </c>
      <c r="AD111" s="298">
        <v>60000000</v>
      </c>
      <c r="AE111" s="298">
        <f t="shared" si="7"/>
        <v>0</v>
      </c>
      <c r="AF111" s="299">
        <v>2285000</v>
      </c>
      <c r="AG111" s="300">
        <v>1400000</v>
      </c>
      <c r="AH111" s="299"/>
      <c r="AI111" s="299">
        <v>2852600</v>
      </c>
      <c r="AJ111" s="300">
        <v>2852600</v>
      </c>
      <c r="AK111" s="299"/>
      <c r="AL111" s="301">
        <v>2656500</v>
      </c>
      <c r="AM111" s="314">
        <v>2656500</v>
      </c>
      <c r="AN111" s="301"/>
      <c r="AO111" s="302">
        <v>4170000</v>
      </c>
      <c r="AP111" s="301"/>
      <c r="AQ111" s="301">
        <v>5000000</v>
      </c>
      <c r="AR111" s="301"/>
      <c r="AS111" s="301">
        <v>5000000</v>
      </c>
      <c r="AT111" s="301"/>
      <c r="AU111" s="301">
        <v>5000000</v>
      </c>
      <c r="AV111" s="301"/>
      <c r="AW111" s="301">
        <v>5000000</v>
      </c>
      <c r="AX111" s="301"/>
      <c r="AY111" s="301">
        <v>5000000</v>
      </c>
      <c r="AZ111" s="301"/>
      <c r="BA111" s="301">
        <v>5000000</v>
      </c>
      <c r="BB111" s="301"/>
      <c r="BC111" s="301">
        <v>5000000</v>
      </c>
      <c r="BD111" s="301"/>
      <c r="BE111" s="301">
        <v>13920900</v>
      </c>
      <c r="BF111" s="301"/>
      <c r="BG111" s="303"/>
      <c r="BH111" s="304"/>
    </row>
    <row r="112" spans="1:60" s="305" customFormat="1" ht="16.5" hidden="1" customHeight="1" x14ac:dyDescent="0.4">
      <c r="A112" s="285">
        <v>89</v>
      </c>
      <c r="B112" s="286"/>
      <c r="C112" s="286"/>
      <c r="D112" s="287" t="s">
        <v>92</v>
      </c>
      <c r="E112" s="287" t="s">
        <v>102</v>
      </c>
      <c r="F112" s="288" t="s">
        <v>92</v>
      </c>
      <c r="G112" s="289" t="s">
        <v>159</v>
      </c>
      <c r="H112" s="307"/>
      <c r="I112" s="290"/>
      <c r="J112" s="291" t="s">
        <v>501</v>
      </c>
      <c r="K112" s="287"/>
      <c r="L112" s="287"/>
      <c r="M112" s="287">
        <v>4264</v>
      </c>
      <c r="N112" s="287" t="s">
        <v>40</v>
      </c>
      <c r="O112" s="287" t="s">
        <v>43</v>
      </c>
      <c r="P112" s="287" t="s">
        <v>44</v>
      </c>
      <c r="Q112" s="287"/>
      <c r="R112" s="287" t="s">
        <v>31</v>
      </c>
      <c r="S112" s="292" t="s">
        <v>31</v>
      </c>
      <c r="T112" s="293"/>
      <c r="U112" s="294"/>
      <c r="V112" s="294">
        <v>0</v>
      </c>
      <c r="W112" s="295">
        <v>5971000</v>
      </c>
      <c r="X112" s="296"/>
      <c r="Y112" s="287" t="s">
        <v>28</v>
      </c>
      <c r="Z112" s="297" t="s">
        <v>28</v>
      </c>
      <c r="AA112" s="313"/>
      <c r="AB112" s="313"/>
      <c r="AC112" s="298">
        <f t="shared" si="6"/>
        <v>20885500</v>
      </c>
      <c r="AD112" s="298">
        <v>20885500</v>
      </c>
      <c r="AE112" s="298">
        <f t="shared" si="7"/>
        <v>0</v>
      </c>
      <c r="AF112" s="299">
        <v>7523000</v>
      </c>
      <c r="AG112" s="300">
        <v>8408500</v>
      </c>
      <c r="AH112" s="299"/>
      <c r="AI112" s="299"/>
      <c r="AJ112" s="300"/>
      <c r="AK112" s="299"/>
      <c r="AL112" s="301"/>
      <c r="AM112" s="314"/>
      <c r="AN112" s="301"/>
      <c r="AO112" s="302">
        <v>4930500</v>
      </c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>
        <v>7546500</v>
      </c>
      <c r="BF112" s="301"/>
      <c r="BG112" s="303"/>
      <c r="BH112" s="304"/>
    </row>
    <row r="113" spans="1:60" s="305" customFormat="1" ht="16.5" hidden="1" customHeight="1" x14ac:dyDescent="0.4">
      <c r="A113" s="285">
        <v>90</v>
      </c>
      <c r="B113" s="286"/>
      <c r="C113" s="286"/>
      <c r="D113" s="287" t="s">
        <v>92</v>
      </c>
      <c r="E113" s="287" t="s">
        <v>102</v>
      </c>
      <c r="F113" s="288" t="s">
        <v>92</v>
      </c>
      <c r="G113" s="289" t="s">
        <v>159</v>
      </c>
      <c r="H113" s="307"/>
      <c r="I113" s="290"/>
      <c r="J113" s="291" t="s">
        <v>109</v>
      </c>
      <c r="K113" s="287"/>
      <c r="L113" s="287"/>
      <c r="M113" s="287">
        <v>640</v>
      </c>
      <c r="N113" s="287" t="s">
        <v>23</v>
      </c>
      <c r="O113" s="287" t="s">
        <v>43</v>
      </c>
      <c r="P113" s="287" t="s">
        <v>44</v>
      </c>
      <c r="Q113" s="287" t="s">
        <v>19</v>
      </c>
      <c r="R113" s="287" t="s">
        <v>20</v>
      </c>
      <c r="S113" s="292" t="s">
        <v>20</v>
      </c>
      <c r="T113" s="293"/>
      <c r="U113" s="294">
        <v>248224084</v>
      </c>
      <c r="V113" s="294">
        <v>256133440</v>
      </c>
      <c r="W113" s="295">
        <v>224921830</v>
      </c>
      <c r="X113" s="296"/>
      <c r="Y113" s="287" t="s">
        <v>28</v>
      </c>
      <c r="Z113" s="297" t="s">
        <v>28</v>
      </c>
      <c r="AA113" s="313"/>
      <c r="AB113" s="313"/>
      <c r="AC113" s="298">
        <f t="shared" si="6"/>
        <v>59615910</v>
      </c>
      <c r="AD113" s="298">
        <v>59615910</v>
      </c>
      <c r="AE113" s="298">
        <f t="shared" si="7"/>
        <v>0</v>
      </c>
      <c r="AF113" s="299">
        <v>14309820</v>
      </c>
      <c r="AG113" s="300">
        <v>14313620</v>
      </c>
      <c r="AH113" s="299"/>
      <c r="AI113" s="299">
        <v>15825180</v>
      </c>
      <c r="AJ113" s="300">
        <v>15825180</v>
      </c>
      <c r="AK113" s="299"/>
      <c r="AL113" s="301">
        <v>14609910</v>
      </c>
      <c r="AM113" s="314">
        <v>14609910</v>
      </c>
      <c r="AN113" s="301"/>
      <c r="AO113" s="302">
        <v>14867200</v>
      </c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3"/>
      <c r="BH113" s="304"/>
    </row>
    <row r="114" spans="1:60" s="305" customFormat="1" ht="16.5" hidden="1" customHeight="1" x14ac:dyDescent="0.4">
      <c r="A114" s="285">
        <v>91</v>
      </c>
      <c r="B114" s="286"/>
      <c r="C114" s="286"/>
      <c r="D114" s="287" t="s">
        <v>92</v>
      </c>
      <c r="E114" s="287" t="s">
        <v>102</v>
      </c>
      <c r="F114" s="288" t="s">
        <v>92</v>
      </c>
      <c r="G114" s="289" t="s">
        <v>159</v>
      </c>
      <c r="H114" s="307"/>
      <c r="I114" s="290"/>
      <c r="J114" s="291" t="s">
        <v>109</v>
      </c>
      <c r="K114" s="287"/>
      <c r="L114" s="287"/>
      <c r="M114" s="287">
        <v>640</v>
      </c>
      <c r="N114" s="287" t="s">
        <v>23</v>
      </c>
      <c r="O114" s="287" t="s">
        <v>33</v>
      </c>
      <c r="P114" s="287" t="s">
        <v>44</v>
      </c>
      <c r="Q114" s="287" t="s">
        <v>27</v>
      </c>
      <c r="R114" s="287" t="s">
        <v>340</v>
      </c>
      <c r="S114" s="292" t="s">
        <v>340</v>
      </c>
      <c r="T114" s="293"/>
      <c r="U114" s="294"/>
      <c r="V114" s="294">
        <v>16950000</v>
      </c>
      <c r="W114" s="295"/>
      <c r="X114" s="296"/>
      <c r="Y114" s="287" t="s">
        <v>25</v>
      </c>
      <c r="Z114" s="297" t="s">
        <v>618</v>
      </c>
      <c r="AA114" s="313"/>
      <c r="AB114" s="313"/>
      <c r="AC114" s="298">
        <f t="shared" si="6"/>
        <v>15000000</v>
      </c>
      <c r="AD114" s="298">
        <v>15000000</v>
      </c>
      <c r="AE114" s="298">
        <f t="shared" si="7"/>
        <v>0</v>
      </c>
      <c r="AF114" s="299"/>
      <c r="AG114" s="300"/>
      <c r="AH114" s="299"/>
      <c r="AI114" s="299"/>
      <c r="AJ114" s="300"/>
      <c r="AK114" s="299"/>
      <c r="AL114" s="301"/>
      <c r="AM114" s="314"/>
      <c r="AN114" s="301"/>
      <c r="AO114" s="302"/>
      <c r="AP114" s="301"/>
      <c r="AQ114" s="301">
        <v>10000000</v>
      </c>
      <c r="AR114" s="301"/>
      <c r="AS114" s="301"/>
      <c r="AT114" s="301"/>
      <c r="AU114" s="301"/>
      <c r="AV114" s="301"/>
      <c r="AW114" s="301"/>
      <c r="AX114" s="301"/>
      <c r="AY114" s="301">
        <v>5000000</v>
      </c>
      <c r="AZ114" s="301"/>
      <c r="BA114" s="301"/>
      <c r="BB114" s="301"/>
      <c r="BC114" s="301"/>
      <c r="BD114" s="301"/>
      <c r="BE114" s="301"/>
      <c r="BF114" s="301"/>
      <c r="BG114" s="303"/>
      <c r="BH114" s="304"/>
    </row>
    <row r="115" spans="1:60" s="305" customFormat="1" ht="16.5" hidden="1" customHeight="1" x14ac:dyDescent="0.4">
      <c r="A115" s="285">
        <v>92</v>
      </c>
      <c r="B115" s="286"/>
      <c r="C115" s="286"/>
      <c r="D115" s="287" t="s">
        <v>137</v>
      </c>
      <c r="E115" s="287" t="s">
        <v>159</v>
      </c>
      <c r="F115" s="288" t="s">
        <v>92</v>
      </c>
      <c r="G115" s="289" t="s">
        <v>159</v>
      </c>
      <c r="H115" s="307"/>
      <c r="I115" s="290"/>
      <c r="J115" s="291" t="s">
        <v>697</v>
      </c>
      <c r="K115" s="287"/>
      <c r="L115" s="287"/>
      <c r="M115" s="287">
        <v>3885</v>
      </c>
      <c r="N115" s="287" t="s">
        <v>40</v>
      </c>
      <c r="O115" s="287" t="s">
        <v>43</v>
      </c>
      <c r="P115" s="287" t="s">
        <v>44</v>
      </c>
      <c r="Q115" s="287" t="s">
        <v>49</v>
      </c>
      <c r="R115" s="287" t="s">
        <v>29</v>
      </c>
      <c r="S115" s="292" t="s">
        <v>29</v>
      </c>
      <c r="T115" s="293" t="s">
        <v>798</v>
      </c>
      <c r="U115" s="294">
        <v>124806020</v>
      </c>
      <c r="V115" s="294">
        <v>136780560</v>
      </c>
      <c r="W115" s="295">
        <v>150561730</v>
      </c>
      <c r="X115" s="296"/>
      <c r="Y115" s="287" t="s">
        <v>28</v>
      </c>
      <c r="Z115" s="297" t="s">
        <v>28</v>
      </c>
      <c r="AA115" s="313"/>
      <c r="AB115" s="313"/>
      <c r="AC115" s="298">
        <f t="shared" si="6"/>
        <v>142680000</v>
      </c>
      <c r="AD115" s="298">
        <v>142680000</v>
      </c>
      <c r="AE115" s="298">
        <f t="shared" si="7"/>
        <v>0</v>
      </c>
      <c r="AF115" s="299">
        <v>5482790</v>
      </c>
      <c r="AG115" s="300">
        <v>5482790</v>
      </c>
      <c r="AH115" s="299"/>
      <c r="AI115" s="299">
        <v>12012460</v>
      </c>
      <c r="AJ115" s="300">
        <v>17692460</v>
      </c>
      <c r="AK115" s="299"/>
      <c r="AL115" s="301">
        <v>12954050</v>
      </c>
      <c r="AM115" s="314">
        <v>12954050</v>
      </c>
      <c r="AN115" s="301"/>
      <c r="AO115" s="302">
        <v>13832630</v>
      </c>
      <c r="AP115" s="301"/>
      <c r="AQ115" s="301">
        <v>11000000</v>
      </c>
      <c r="AR115" s="301"/>
      <c r="AS115" s="301">
        <v>11000000</v>
      </c>
      <c r="AT115" s="301"/>
      <c r="AU115" s="301">
        <v>14000000</v>
      </c>
      <c r="AV115" s="301"/>
      <c r="AW115" s="301">
        <v>11000000</v>
      </c>
      <c r="AX115" s="301"/>
      <c r="AY115" s="301">
        <v>11000000</v>
      </c>
      <c r="AZ115" s="301"/>
      <c r="BA115" s="301">
        <v>14000000</v>
      </c>
      <c r="BB115" s="301"/>
      <c r="BC115" s="301">
        <v>11000000</v>
      </c>
      <c r="BD115" s="301"/>
      <c r="BE115" s="301">
        <v>9718070</v>
      </c>
      <c r="BF115" s="301"/>
      <c r="BG115" s="303"/>
      <c r="BH115" s="304"/>
    </row>
    <row r="116" spans="1:60" s="305" customFormat="1" ht="16.5" hidden="1" customHeight="1" x14ac:dyDescent="0.4">
      <c r="A116" s="285">
        <v>93</v>
      </c>
      <c r="B116" s="286"/>
      <c r="C116" s="286"/>
      <c r="D116" s="287" t="s">
        <v>137</v>
      </c>
      <c r="E116" s="287" t="s">
        <v>159</v>
      </c>
      <c r="F116" s="288" t="s">
        <v>92</v>
      </c>
      <c r="G116" s="289" t="s">
        <v>159</v>
      </c>
      <c r="H116" s="307"/>
      <c r="I116" s="290"/>
      <c r="J116" s="291" t="s">
        <v>697</v>
      </c>
      <c r="K116" s="287"/>
      <c r="L116" s="287"/>
      <c r="M116" s="287">
        <v>3885</v>
      </c>
      <c r="N116" s="287" t="s">
        <v>40</v>
      </c>
      <c r="O116" s="287" t="s">
        <v>43</v>
      </c>
      <c r="P116" s="287" t="s">
        <v>44</v>
      </c>
      <c r="Q116" s="287" t="s">
        <v>30</v>
      </c>
      <c r="R116" s="287" t="s">
        <v>31</v>
      </c>
      <c r="S116" s="292" t="s">
        <v>31</v>
      </c>
      <c r="T116" s="293"/>
      <c r="U116" s="294">
        <v>20355000</v>
      </c>
      <c r="V116" s="294">
        <v>9280000</v>
      </c>
      <c r="W116" s="295">
        <v>11720000</v>
      </c>
      <c r="X116" s="296"/>
      <c r="Y116" s="287" t="s">
        <v>28</v>
      </c>
      <c r="Z116" s="297" t="s">
        <v>28</v>
      </c>
      <c r="AA116" s="313"/>
      <c r="AB116" s="313"/>
      <c r="AC116" s="298">
        <f t="shared" si="6"/>
        <v>5320000</v>
      </c>
      <c r="AD116" s="298">
        <v>5320000</v>
      </c>
      <c r="AE116" s="298">
        <f t="shared" si="7"/>
        <v>0</v>
      </c>
      <c r="AF116" s="299"/>
      <c r="AG116" s="300"/>
      <c r="AH116" s="299"/>
      <c r="AI116" s="299">
        <v>5680000</v>
      </c>
      <c r="AJ116" s="300"/>
      <c r="AK116" s="299"/>
      <c r="AL116" s="301"/>
      <c r="AM116" s="314"/>
      <c r="AN116" s="301"/>
      <c r="AO116" s="302"/>
      <c r="AP116" s="301"/>
      <c r="AQ116" s="301"/>
      <c r="AR116" s="301"/>
      <c r="AS116" s="301"/>
      <c r="AT116" s="301"/>
      <c r="AU116" s="301"/>
      <c r="AV116" s="301"/>
      <c r="AW116" s="301">
        <v>5320000</v>
      </c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3"/>
      <c r="BH116" s="304"/>
    </row>
    <row r="117" spans="1:60" s="305" customFormat="1" ht="16.5" hidden="1" customHeight="1" x14ac:dyDescent="0.4">
      <c r="A117" s="285">
        <v>94</v>
      </c>
      <c r="B117" s="286"/>
      <c r="C117" s="286"/>
      <c r="D117" s="287" t="s">
        <v>137</v>
      </c>
      <c r="E117" s="287" t="s">
        <v>159</v>
      </c>
      <c r="F117" s="288" t="s">
        <v>92</v>
      </c>
      <c r="G117" s="289" t="s">
        <v>159</v>
      </c>
      <c r="H117" s="307"/>
      <c r="I117" s="290"/>
      <c r="J117" s="291" t="s">
        <v>697</v>
      </c>
      <c r="K117" s="287"/>
      <c r="L117" s="287"/>
      <c r="M117" s="287">
        <v>3885</v>
      </c>
      <c r="N117" s="287" t="s">
        <v>40</v>
      </c>
      <c r="O117" s="287" t="s">
        <v>33</v>
      </c>
      <c r="P117" s="287" t="s">
        <v>44</v>
      </c>
      <c r="Q117" s="287"/>
      <c r="R117" s="287" t="s">
        <v>345</v>
      </c>
      <c r="S117" s="292" t="s">
        <v>742</v>
      </c>
      <c r="T117" s="293"/>
      <c r="U117" s="294"/>
      <c r="V117" s="294">
        <v>0</v>
      </c>
      <c r="W117" s="295"/>
      <c r="X117" s="296"/>
      <c r="Y117" s="287" t="s">
        <v>26</v>
      </c>
      <c r="Z117" s="297" t="s">
        <v>544</v>
      </c>
      <c r="AA117" s="313"/>
      <c r="AB117" s="313"/>
      <c r="AC117" s="298">
        <f t="shared" si="6"/>
        <v>10000000</v>
      </c>
      <c r="AD117" s="298">
        <v>10000000</v>
      </c>
      <c r="AE117" s="298">
        <f t="shared" si="7"/>
        <v>0</v>
      </c>
      <c r="AF117" s="299"/>
      <c r="AG117" s="300"/>
      <c r="AH117" s="299"/>
      <c r="AI117" s="299"/>
      <c r="AJ117" s="300"/>
      <c r="AK117" s="299"/>
      <c r="AL117" s="301"/>
      <c r="AM117" s="314"/>
      <c r="AN117" s="301"/>
      <c r="AO117" s="302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>
        <v>10000000</v>
      </c>
      <c r="BF117" s="301"/>
      <c r="BG117" s="303"/>
      <c r="BH117" s="304"/>
    </row>
    <row r="118" spans="1:60" s="305" customFormat="1" ht="16.5" hidden="1" customHeight="1" x14ac:dyDescent="0.4">
      <c r="A118" s="285">
        <v>95</v>
      </c>
      <c r="B118" s="286"/>
      <c r="C118" s="286"/>
      <c r="D118" s="287" t="s">
        <v>137</v>
      </c>
      <c r="E118" s="287" t="s">
        <v>159</v>
      </c>
      <c r="F118" s="288" t="s">
        <v>92</v>
      </c>
      <c r="G118" s="289" t="s">
        <v>159</v>
      </c>
      <c r="H118" s="307"/>
      <c r="I118" s="290"/>
      <c r="J118" s="291" t="s">
        <v>697</v>
      </c>
      <c r="K118" s="287"/>
      <c r="L118" s="287"/>
      <c r="M118" s="287">
        <v>3885</v>
      </c>
      <c r="N118" s="287" t="s">
        <v>40</v>
      </c>
      <c r="O118" s="287" t="s">
        <v>33</v>
      </c>
      <c r="P118" s="287" t="s">
        <v>44</v>
      </c>
      <c r="Q118" s="287"/>
      <c r="R118" s="287" t="s">
        <v>221</v>
      </c>
      <c r="S118" s="292" t="s">
        <v>745</v>
      </c>
      <c r="T118" s="293"/>
      <c r="U118" s="294"/>
      <c r="V118" s="294">
        <v>0</v>
      </c>
      <c r="W118" s="295"/>
      <c r="X118" s="296"/>
      <c r="Y118" s="287" t="s">
        <v>26</v>
      </c>
      <c r="Z118" s="297" t="s">
        <v>544</v>
      </c>
      <c r="AA118" s="313"/>
      <c r="AB118" s="313"/>
      <c r="AC118" s="298">
        <f t="shared" si="6"/>
        <v>15000000</v>
      </c>
      <c r="AD118" s="298">
        <v>15000000</v>
      </c>
      <c r="AE118" s="298">
        <f t="shared" si="7"/>
        <v>0</v>
      </c>
      <c r="AF118" s="299"/>
      <c r="AG118" s="300"/>
      <c r="AH118" s="299"/>
      <c r="AI118" s="299"/>
      <c r="AJ118" s="300"/>
      <c r="AK118" s="299"/>
      <c r="AL118" s="301"/>
      <c r="AM118" s="314"/>
      <c r="AN118" s="301"/>
      <c r="AO118" s="302"/>
      <c r="AP118" s="301"/>
      <c r="AQ118" s="301"/>
      <c r="AR118" s="301"/>
      <c r="AS118" s="301"/>
      <c r="AT118" s="301"/>
      <c r="AU118" s="301">
        <v>15000000</v>
      </c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3"/>
      <c r="BH118" s="304"/>
    </row>
    <row r="119" spans="1:60" s="305" customFormat="1" ht="16.5" hidden="1" customHeight="1" x14ac:dyDescent="0.4">
      <c r="A119" s="285">
        <v>96</v>
      </c>
      <c r="B119" s="286"/>
      <c r="C119" s="286"/>
      <c r="D119" s="287" t="s">
        <v>137</v>
      </c>
      <c r="E119" s="287" t="s">
        <v>159</v>
      </c>
      <c r="F119" s="288" t="s">
        <v>92</v>
      </c>
      <c r="G119" s="289" t="s">
        <v>159</v>
      </c>
      <c r="H119" s="307"/>
      <c r="I119" s="290"/>
      <c r="J119" s="291" t="s">
        <v>698</v>
      </c>
      <c r="K119" s="287"/>
      <c r="L119" s="287"/>
      <c r="M119" s="287">
        <v>16302</v>
      </c>
      <c r="N119" s="287" t="s">
        <v>32</v>
      </c>
      <c r="O119" s="287" t="s">
        <v>33</v>
      </c>
      <c r="P119" s="287" t="s">
        <v>98</v>
      </c>
      <c r="Q119" s="287" t="s">
        <v>39</v>
      </c>
      <c r="R119" s="287" t="s">
        <v>338</v>
      </c>
      <c r="S119" s="292" t="s">
        <v>745</v>
      </c>
      <c r="T119" s="293"/>
      <c r="U119" s="294">
        <v>375353609</v>
      </c>
      <c r="V119" s="294">
        <v>182536000</v>
      </c>
      <c r="W119" s="295"/>
      <c r="X119" s="296"/>
      <c r="Y119" s="287" t="s">
        <v>56</v>
      </c>
      <c r="Z119" s="297" t="s">
        <v>618</v>
      </c>
      <c r="AA119" s="313"/>
      <c r="AB119" s="313"/>
      <c r="AC119" s="298">
        <f t="shared" si="6"/>
        <v>200000000</v>
      </c>
      <c r="AD119" s="298">
        <v>200000000</v>
      </c>
      <c r="AE119" s="298">
        <f t="shared" si="7"/>
        <v>0</v>
      </c>
      <c r="AF119" s="299"/>
      <c r="AG119" s="300"/>
      <c r="AH119" s="299"/>
      <c r="AI119" s="299"/>
      <c r="AJ119" s="300"/>
      <c r="AK119" s="299"/>
      <c r="AL119" s="301"/>
      <c r="AM119" s="314"/>
      <c r="AN119" s="301"/>
      <c r="AO119" s="302">
        <v>100000000</v>
      </c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>
        <v>100000000</v>
      </c>
      <c r="BF119" s="301"/>
      <c r="BG119" s="303"/>
      <c r="BH119" s="304"/>
    </row>
    <row r="120" spans="1:60" s="305" customFormat="1" ht="16.5" hidden="1" customHeight="1" x14ac:dyDescent="0.4">
      <c r="A120" s="285">
        <v>97</v>
      </c>
      <c r="B120" s="286"/>
      <c r="C120" s="286"/>
      <c r="D120" s="287" t="s">
        <v>137</v>
      </c>
      <c r="E120" s="287" t="s">
        <v>159</v>
      </c>
      <c r="F120" s="288" t="s">
        <v>92</v>
      </c>
      <c r="G120" s="289" t="s">
        <v>159</v>
      </c>
      <c r="H120" s="307"/>
      <c r="I120" s="290"/>
      <c r="J120" s="291" t="s">
        <v>699</v>
      </c>
      <c r="K120" s="287"/>
      <c r="L120" s="287"/>
      <c r="M120" s="287">
        <v>1882</v>
      </c>
      <c r="N120" s="287" t="s">
        <v>23</v>
      </c>
      <c r="O120" s="287" t="s">
        <v>33</v>
      </c>
      <c r="P120" s="287" t="s">
        <v>98</v>
      </c>
      <c r="Q120" s="287" t="s">
        <v>19</v>
      </c>
      <c r="R120" s="287" t="s">
        <v>20</v>
      </c>
      <c r="S120" s="292" t="s">
        <v>20</v>
      </c>
      <c r="T120" s="293"/>
      <c r="U120" s="294">
        <v>5307100</v>
      </c>
      <c r="V120" s="294">
        <v>2730000</v>
      </c>
      <c r="W120" s="295"/>
      <c r="X120" s="296"/>
      <c r="Y120" s="287" t="s">
        <v>25</v>
      </c>
      <c r="Z120" s="297" t="s">
        <v>544</v>
      </c>
      <c r="AA120" s="313"/>
      <c r="AB120" s="313"/>
      <c r="AC120" s="298">
        <f t="shared" si="6"/>
        <v>2000000</v>
      </c>
      <c r="AD120" s="298">
        <v>2000000</v>
      </c>
      <c r="AE120" s="298">
        <f t="shared" si="7"/>
        <v>0</v>
      </c>
      <c r="AF120" s="299"/>
      <c r="AG120" s="300"/>
      <c r="AH120" s="299"/>
      <c r="AI120" s="299"/>
      <c r="AJ120" s="300"/>
      <c r="AK120" s="299"/>
      <c r="AL120" s="301"/>
      <c r="AM120" s="314"/>
      <c r="AN120" s="301"/>
      <c r="AO120" s="302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>
        <v>2000000</v>
      </c>
      <c r="AZ120" s="301"/>
      <c r="BA120" s="301"/>
      <c r="BB120" s="301"/>
      <c r="BC120" s="301"/>
      <c r="BD120" s="301"/>
      <c r="BE120" s="301"/>
      <c r="BF120" s="301"/>
      <c r="BG120" s="303"/>
      <c r="BH120" s="304"/>
    </row>
    <row r="121" spans="1:60" s="305" customFormat="1" ht="16.5" hidden="1" customHeight="1" x14ac:dyDescent="0.4">
      <c r="A121" s="285">
        <v>98</v>
      </c>
      <c r="B121" s="286"/>
      <c r="C121" s="286"/>
      <c r="D121" s="287" t="s">
        <v>137</v>
      </c>
      <c r="E121" s="287" t="s">
        <v>159</v>
      </c>
      <c r="F121" s="288" t="s">
        <v>92</v>
      </c>
      <c r="G121" s="289" t="s">
        <v>159</v>
      </c>
      <c r="H121" s="307"/>
      <c r="I121" s="290"/>
      <c r="J121" s="291" t="s">
        <v>699</v>
      </c>
      <c r="K121" s="287"/>
      <c r="L121" s="287"/>
      <c r="M121" s="287">
        <v>1882</v>
      </c>
      <c r="N121" s="287" t="s">
        <v>23</v>
      </c>
      <c r="O121" s="287" t="s">
        <v>33</v>
      </c>
      <c r="P121" s="287" t="s">
        <v>98</v>
      </c>
      <c r="Q121" s="287"/>
      <c r="R121" s="287" t="s">
        <v>340</v>
      </c>
      <c r="S121" s="292" t="s">
        <v>340</v>
      </c>
      <c r="T121" s="293"/>
      <c r="U121" s="294"/>
      <c r="V121" s="294"/>
      <c r="W121" s="295"/>
      <c r="X121" s="296"/>
      <c r="Y121" s="287" t="s">
        <v>26</v>
      </c>
      <c r="Z121" s="297" t="s">
        <v>26</v>
      </c>
      <c r="AA121" s="313"/>
      <c r="AB121" s="313"/>
      <c r="AC121" s="298">
        <f t="shared" si="6"/>
        <v>30000000</v>
      </c>
      <c r="AD121" s="298">
        <v>30000000</v>
      </c>
      <c r="AE121" s="298">
        <f t="shared" si="7"/>
        <v>0</v>
      </c>
      <c r="AF121" s="299"/>
      <c r="AG121" s="300"/>
      <c r="AH121" s="299"/>
      <c r="AI121" s="299"/>
      <c r="AJ121" s="300"/>
      <c r="AK121" s="299"/>
      <c r="AL121" s="301"/>
      <c r="AM121" s="314"/>
      <c r="AN121" s="301"/>
      <c r="AO121" s="302"/>
      <c r="AP121" s="301"/>
      <c r="AQ121" s="301"/>
      <c r="AR121" s="301"/>
      <c r="AS121" s="301">
        <v>10000000</v>
      </c>
      <c r="AT121" s="301"/>
      <c r="AU121" s="301"/>
      <c r="AV121" s="301"/>
      <c r="AW121" s="301"/>
      <c r="AX121" s="301"/>
      <c r="AY121" s="301">
        <v>10000000</v>
      </c>
      <c r="AZ121" s="301"/>
      <c r="BA121" s="301"/>
      <c r="BB121" s="301"/>
      <c r="BC121" s="301"/>
      <c r="BD121" s="301"/>
      <c r="BE121" s="301">
        <v>10000000</v>
      </c>
      <c r="BF121" s="301"/>
      <c r="BG121" s="303"/>
      <c r="BH121" s="304"/>
    </row>
    <row r="122" spans="1:60" s="305" customFormat="1" ht="16.5" hidden="1" customHeight="1" x14ac:dyDescent="0.4">
      <c r="A122" s="285">
        <v>99</v>
      </c>
      <c r="B122" s="286"/>
      <c r="C122" s="286"/>
      <c r="D122" s="287" t="s">
        <v>137</v>
      </c>
      <c r="E122" s="287" t="s">
        <v>159</v>
      </c>
      <c r="F122" s="288" t="s">
        <v>92</v>
      </c>
      <c r="G122" s="289" t="s">
        <v>159</v>
      </c>
      <c r="H122" s="307"/>
      <c r="I122" s="290"/>
      <c r="J122" s="291" t="s">
        <v>700</v>
      </c>
      <c r="K122" s="287"/>
      <c r="L122" s="287"/>
      <c r="M122" s="287">
        <v>15464</v>
      </c>
      <c r="N122" s="287" t="s">
        <v>32</v>
      </c>
      <c r="O122" s="287" t="s">
        <v>33</v>
      </c>
      <c r="P122" s="287" t="s">
        <v>98</v>
      </c>
      <c r="Q122" s="287" t="s">
        <v>36</v>
      </c>
      <c r="R122" s="287" t="s">
        <v>341</v>
      </c>
      <c r="S122" s="292" t="s">
        <v>341</v>
      </c>
      <c r="T122" s="293"/>
      <c r="U122" s="294"/>
      <c r="V122" s="294">
        <v>442051620</v>
      </c>
      <c r="W122" s="295"/>
      <c r="X122" s="296"/>
      <c r="Y122" s="287" t="s">
        <v>56</v>
      </c>
      <c r="Z122" s="297" t="s">
        <v>618</v>
      </c>
      <c r="AA122" s="313"/>
      <c r="AB122" s="313"/>
      <c r="AC122" s="298">
        <f t="shared" si="6"/>
        <v>200000000</v>
      </c>
      <c r="AD122" s="298">
        <v>200000000</v>
      </c>
      <c r="AE122" s="298">
        <f t="shared" si="7"/>
        <v>0</v>
      </c>
      <c r="AF122" s="299"/>
      <c r="AG122" s="300"/>
      <c r="AH122" s="299"/>
      <c r="AI122" s="299">
        <v>200000000</v>
      </c>
      <c r="AJ122" s="300"/>
      <c r="AK122" s="299"/>
      <c r="AL122" s="301"/>
      <c r="AM122" s="314"/>
      <c r="AN122" s="301"/>
      <c r="AO122" s="302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>
        <v>200000000</v>
      </c>
      <c r="BF122" s="301"/>
      <c r="BG122" s="303"/>
      <c r="BH122" s="304"/>
    </row>
    <row r="123" spans="1:60" s="305" customFormat="1" ht="16.5" hidden="1" customHeight="1" x14ac:dyDescent="0.4">
      <c r="A123" s="285">
        <v>100</v>
      </c>
      <c r="B123" s="286"/>
      <c r="C123" s="286"/>
      <c r="D123" s="287" t="s">
        <v>137</v>
      </c>
      <c r="E123" s="287" t="s">
        <v>159</v>
      </c>
      <c r="F123" s="288" t="s">
        <v>92</v>
      </c>
      <c r="G123" s="289" t="s">
        <v>159</v>
      </c>
      <c r="H123" s="307"/>
      <c r="I123" s="290"/>
      <c r="J123" s="291" t="s">
        <v>700</v>
      </c>
      <c r="K123" s="287"/>
      <c r="L123" s="287"/>
      <c r="M123" s="287">
        <v>15464</v>
      </c>
      <c r="N123" s="287" t="s">
        <v>32</v>
      </c>
      <c r="O123" s="287" t="s">
        <v>33</v>
      </c>
      <c r="P123" s="287" t="s">
        <v>98</v>
      </c>
      <c r="Q123" s="287" t="s">
        <v>42</v>
      </c>
      <c r="R123" s="287" t="s">
        <v>338</v>
      </c>
      <c r="S123" s="292" t="s">
        <v>753</v>
      </c>
      <c r="T123" s="293"/>
      <c r="U123" s="294"/>
      <c r="V123" s="294">
        <v>4400000</v>
      </c>
      <c r="W123" s="295"/>
      <c r="X123" s="296"/>
      <c r="Y123" s="287" t="s">
        <v>21</v>
      </c>
      <c r="Z123" s="297" t="s">
        <v>28</v>
      </c>
      <c r="AA123" s="313"/>
      <c r="AB123" s="313"/>
      <c r="AC123" s="298">
        <f t="shared" si="6"/>
        <v>50000000</v>
      </c>
      <c r="AD123" s="298">
        <v>50000000</v>
      </c>
      <c r="AE123" s="298">
        <f t="shared" si="7"/>
        <v>0</v>
      </c>
      <c r="AF123" s="299"/>
      <c r="AG123" s="300"/>
      <c r="AH123" s="299"/>
      <c r="AI123" s="299"/>
      <c r="AJ123" s="300"/>
      <c r="AK123" s="299"/>
      <c r="AL123" s="301"/>
      <c r="AM123" s="314"/>
      <c r="AN123" s="301"/>
      <c r="AO123" s="302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>
        <v>50000000</v>
      </c>
      <c r="BF123" s="301"/>
      <c r="BG123" s="303"/>
      <c r="BH123" s="304"/>
    </row>
    <row r="124" spans="1:60" s="305" customFormat="1" ht="16.5" hidden="1" customHeight="1" x14ac:dyDescent="0.4">
      <c r="A124" s="285">
        <v>101</v>
      </c>
      <c r="B124" s="286"/>
      <c r="C124" s="286"/>
      <c r="D124" s="287" t="s">
        <v>137</v>
      </c>
      <c r="E124" s="287" t="s">
        <v>159</v>
      </c>
      <c r="F124" s="288" t="s">
        <v>92</v>
      </c>
      <c r="G124" s="289" t="s">
        <v>159</v>
      </c>
      <c r="H124" s="307"/>
      <c r="I124" s="290"/>
      <c r="J124" s="291" t="s">
        <v>701</v>
      </c>
      <c r="K124" s="287"/>
      <c r="L124" s="287"/>
      <c r="M124" s="287">
        <v>61911</v>
      </c>
      <c r="N124" s="287" t="s">
        <v>23</v>
      </c>
      <c r="O124" s="287" t="s">
        <v>43</v>
      </c>
      <c r="P124" s="287" t="s">
        <v>44</v>
      </c>
      <c r="Q124" s="287"/>
      <c r="R124" s="287" t="s">
        <v>29</v>
      </c>
      <c r="S124" s="292" t="s">
        <v>29</v>
      </c>
      <c r="T124" s="293" t="s">
        <v>798</v>
      </c>
      <c r="U124" s="294"/>
      <c r="V124" s="294">
        <v>0</v>
      </c>
      <c r="W124" s="295">
        <v>177563320</v>
      </c>
      <c r="X124" s="296"/>
      <c r="Y124" s="287" t="s">
        <v>28</v>
      </c>
      <c r="Z124" s="297" t="s">
        <v>28</v>
      </c>
      <c r="AA124" s="313"/>
      <c r="AB124" s="313"/>
      <c r="AC124" s="298">
        <f t="shared" si="6"/>
        <v>265205820</v>
      </c>
      <c r="AD124" s="298">
        <v>265205820</v>
      </c>
      <c r="AE124" s="298">
        <f t="shared" si="7"/>
        <v>0</v>
      </c>
      <c r="AF124" s="299">
        <v>10889000</v>
      </c>
      <c r="AG124" s="300">
        <v>10889000</v>
      </c>
      <c r="AH124" s="299"/>
      <c r="AI124" s="299">
        <v>3799140</v>
      </c>
      <c r="AJ124" s="300">
        <v>3799140</v>
      </c>
      <c r="AK124" s="299" t="s">
        <v>815</v>
      </c>
      <c r="AL124" s="301"/>
      <c r="AM124" s="314"/>
      <c r="AN124" s="301" t="s">
        <v>821</v>
      </c>
      <c r="AO124" s="302">
        <v>45167860</v>
      </c>
      <c r="AP124" s="301"/>
      <c r="AQ124" s="301">
        <v>10000000</v>
      </c>
      <c r="AR124" s="301"/>
      <c r="AS124" s="301">
        <v>10000000</v>
      </c>
      <c r="AT124" s="301"/>
      <c r="AU124" s="301">
        <v>60000000</v>
      </c>
      <c r="AV124" s="301"/>
      <c r="AW124" s="301">
        <v>10000000</v>
      </c>
      <c r="AX124" s="301"/>
      <c r="AY124" s="301">
        <v>10000000</v>
      </c>
      <c r="AZ124" s="301"/>
      <c r="BA124" s="301">
        <v>69111000</v>
      </c>
      <c r="BB124" s="301"/>
      <c r="BC124" s="301">
        <v>10000000</v>
      </c>
      <c r="BD124" s="301"/>
      <c r="BE124" s="301">
        <v>26238820</v>
      </c>
      <c r="BF124" s="301"/>
      <c r="BG124" s="303"/>
      <c r="BH124" s="304"/>
    </row>
    <row r="125" spans="1:60" s="305" customFormat="1" ht="16.5" hidden="1" customHeight="1" x14ac:dyDescent="0.4">
      <c r="A125" s="285">
        <v>102</v>
      </c>
      <c r="B125" s="286"/>
      <c r="C125" s="286"/>
      <c r="D125" s="287" t="s">
        <v>137</v>
      </c>
      <c r="E125" s="287" t="s">
        <v>159</v>
      </c>
      <c r="F125" s="288" t="s">
        <v>92</v>
      </c>
      <c r="G125" s="289" t="s">
        <v>159</v>
      </c>
      <c r="H125" s="307"/>
      <c r="I125" s="290"/>
      <c r="J125" s="291" t="s">
        <v>701</v>
      </c>
      <c r="K125" s="287"/>
      <c r="L125" s="287"/>
      <c r="M125" s="287">
        <v>61911</v>
      </c>
      <c r="N125" s="287" t="s">
        <v>23</v>
      </c>
      <c r="O125" s="287" t="s">
        <v>43</v>
      </c>
      <c r="P125" s="287" t="s">
        <v>44</v>
      </c>
      <c r="Q125" s="287"/>
      <c r="R125" s="287" t="s">
        <v>31</v>
      </c>
      <c r="S125" s="292" t="s">
        <v>31</v>
      </c>
      <c r="T125" s="293"/>
      <c r="U125" s="294"/>
      <c r="V125" s="294">
        <v>0</v>
      </c>
      <c r="W125" s="295">
        <v>14493400</v>
      </c>
      <c r="X125" s="296"/>
      <c r="Y125" s="287" t="s">
        <v>28</v>
      </c>
      <c r="Z125" s="297" t="s">
        <v>28</v>
      </c>
      <c r="AA125" s="313"/>
      <c r="AB125" s="313"/>
      <c r="AC125" s="298">
        <f t="shared" si="6"/>
        <v>6000000</v>
      </c>
      <c r="AD125" s="298">
        <v>6000000</v>
      </c>
      <c r="AE125" s="298">
        <f t="shared" si="7"/>
        <v>0</v>
      </c>
      <c r="AF125" s="299"/>
      <c r="AG125" s="300"/>
      <c r="AH125" s="299"/>
      <c r="AI125" s="299"/>
      <c r="AJ125" s="300"/>
      <c r="AK125" s="299"/>
      <c r="AL125" s="301"/>
      <c r="AM125" s="314"/>
      <c r="AN125" s="301"/>
      <c r="AO125" s="302">
        <v>0</v>
      </c>
      <c r="AP125" s="301"/>
      <c r="AQ125" s="301"/>
      <c r="AR125" s="301"/>
      <c r="AS125" s="301"/>
      <c r="AT125" s="301"/>
      <c r="AU125" s="301">
        <v>2000000</v>
      </c>
      <c r="AV125" s="301"/>
      <c r="AW125" s="301"/>
      <c r="AX125" s="301"/>
      <c r="AY125" s="301"/>
      <c r="AZ125" s="301"/>
      <c r="BA125" s="301">
        <v>2000000</v>
      </c>
      <c r="BB125" s="301"/>
      <c r="BC125" s="301"/>
      <c r="BD125" s="301"/>
      <c r="BE125" s="301">
        <v>2000000</v>
      </c>
      <c r="BF125" s="301"/>
      <c r="BG125" s="303"/>
      <c r="BH125" s="304"/>
    </row>
    <row r="126" spans="1:60" s="305" customFormat="1" ht="16.5" hidden="1" customHeight="1" x14ac:dyDescent="0.4">
      <c r="A126" s="285">
        <v>103</v>
      </c>
      <c r="B126" s="286"/>
      <c r="C126" s="286"/>
      <c r="D126" s="287" t="s">
        <v>137</v>
      </c>
      <c r="E126" s="287" t="s">
        <v>159</v>
      </c>
      <c r="F126" s="288" t="s">
        <v>92</v>
      </c>
      <c r="G126" s="289" t="s">
        <v>159</v>
      </c>
      <c r="H126" s="307"/>
      <c r="I126" s="290"/>
      <c r="J126" s="291" t="s">
        <v>701</v>
      </c>
      <c r="K126" s="287"/>
      <c r="L126" s="287"/>
      <c r="M126" s="287">
        <v>61911</v>
      </c>
      <c r="N126" s="287" t="s">
        <v>23</v>
      </c>
      <c r="O126" s="287" t="s">
        <v>33</v>
      </c>
      <c r="P126" s="287" t="s">
        <v>44</v>
      </c>
      <c r="Q126" s="287"/>
      <c r="R126" s="287" t="s">
        <v>340</v>
      </c>
      <c r="S126" s="292" t="s">
        <v>340</v>
      </c>
      <c r="T126" s="293"/>
      <c r="U126" s="294"/>
      <c r="V126" s="294" t="s">
        <v>97</v>
      </c>
      <c r="W126" s="295"/>
      <c r="X126" s="296"/>
      <c r="Y126" s="287" t="s">
        <v>26</v>
      </c>
      <c r="Z126" s="297" t="s">
        <v>544</v>
      </c>
      <c r="AA126" s="313"/>
      <c r="AB126" s="313"/>
      <c r="AC126" s="298">
        <f t="shared" si="6"/>
        <v>0</v>
      </c>
      <c r="AD126" s="298">
        <v>0</v>
      </c>
      <c r="AE126" s="298">
        <f t="shared" si="7"/>
        <v>0</v>
      </c>
      <c r="AF126" s="299"/>
      <c r="AG126" s="300"/>
      <c r="AH126" s="299"/>
      <c r="AI126" s="299"/>
      <c r="AJ126" s="300"/>
      <c r="AK126" s="299"/>
      <c r="AL126" s="301"/>
      <c r="AM126" s="314"/>
      <c r="AN126" s="301"/>
      <c r="AO126" s="302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3"/>
      <c r="BH126" s="304"/>
    </row>
    <row r="127" spans="1:60" s="305" customFormat="1" ht="16.5" hidden="1" customHeight="1" x14ac:dyDescent="0.4">
      <c r="A127" s="285">
        <v>104</v>
      </c>
      <c r="B127" s="286"/>
      <c r="C127" s="286"/>
      <c r="D127" s="287" t="s">
        <v>137</v>
      </c>
      <c r="E127" s="287" t="s">
        <v>159</v>
      </c>
      <c r="F127" s="288" t="s">
        <v>92</v>
      </c>
      <c r="G127" s="289" t="s">
        <v>159</v>
      </c>
      <c r="H127" s="307"/>
      <c r="I127" s="290"/>
      <c r="J127" s="291" t="s">
        <v>701</v>
      </c>
      <c r="K127" s="287"/>
      <c r="L127" s="287"/>
      <c r="M127" s="287">
        <v>61911</v>
      </c>
      <c r="N127" s="287" t="s">
        <v>23</v>
      </c>
      <c r="O127" s="287" t="s">
        <v>43</v>
      </c>
      <c r="P127" s="287" t="s">
        <v>44</v>
      </c>
      <c r="Q127" s="287"/>
      <c r="R127" s="287" t="s">
        <v>349</v>
      </c>
      <c r="S127" s="292" t="s">
        <v>349</v>
      </c>
      <c r="T127" s="293"/>
      <c r="U127" s="294"/>
      <c r="V127" s="294"/>
      <c r="W127" s="295">
        <v>234104600</v>
      </c>
      <c r="X127" s="296"/>
      <c r="Y127" s="287" t="s">
        <v>28</v>
      </c>
      <c r="Z127" s="297" t="s">
        <v>28</v>
      </c>
      <c r="AA127" s="313"/>
      <c r="AB127" s="313"/>
      <c r="AC127" s="298">
        <f t="shared" si="6"/>
        <v>150000000</v>
      </c>
      <c r="AD127" s="298">
        <v>150000000</v>
      </c>
      <c r="AE127" s="298">
        <f t="shared" si="7"/>
        <v>0</v>
      </c>
      <c r="AF127" s="299"/>
      <c r="AG127" s="300"/>
      <c r="AH127" s="299"/>
      <c r="AI127" s="299"/>
      <c r="AJ127" s="300"/>
      <c r="AK127" s="299"/>
      <c r="AL127" s="301">
        <v>7500000</v>
      </c>
      <c r="AM127" s="314">
        <v>7500000</v>
      </c>
      <c r="AN127" s="301"/>
      <c r="AO127" s="302"/>
      <c r="AP127" s="301"/>
      <c r="AQ127" s="301"/>
      <c r="AR127" s="301"/>
      <c r="AS127" s="301">
        <v>50000000</v>
      </c>
      <c r="AT127" s="301"/>
      <c r="AU127" s="301"/>
      <c r="AV127" s="301"/>
      <c r="AW127" s="301">
        <v>50000000</v>
      </c>
      <c r="AX127" s="301"/>
      <c r="AY127" s="301"/>
      <c r="AZ127" s="301"/>
      <c r="BA127" s="301">
        <v>42500000</v>
      </c>
      <c r="BB127" s="301"/>
      <c r="BC127" s="301"/>
      <c r="BD127" s="301"/>
      <c r="BE127" s="301"/>
      <c r="BF127" s="301"/>
      <c r="BG127" s="303"/>
      <c r="BH127" s="304"/>
    </row>
    <row r="128" spans="1:60" s="305" customFormat="1" ht="16.5" hidden="1" customHeight="1" x14ac:dyDescent="0.4">
      <c r="A128" s="285">
        <v>105</v>
      </c>
      <c r="B128" s="286"/>
      <c r="C128" s="286"/>
      <c r="D128" s="287" t="s">
        <v>137</v>
      </c>
      <c r="E128" s="287" t="s">
        <v>159</v>
      </c>
      <c r="F128" s="288" t="s">
        <v>92</v>
      </c>
      <c r="G128" s="289" t="s">
        <v>159</v>
      </c>
      <c r="H128" s="307"/>
      <c r="I128" s="290"/>
      <c r="J128" s="291" t="s">
        <v>701</v>
      </c>
      <c r="K128" s="287"/>
      <c r="L128" s="287"/>
      <c r="M128" s="287">
        <v>61911</v>
      </c>
      <c r="N128" s="287" t="s">
        <v>23</v>
      </c>
      <c r="O128" s="287" t="s">
        <v>33</v>
      </c>
      <c r="P128" s="287" t="s">
        <v>44</v>
      </c>
      <c r="Q128" s="287"/>
      <c r="R128" s="287" t="s">
        <v>349</v>
      </c>
      <c r="S128" s="292" t="s">
        <v>349</v>
      </c>
      <c r="T128" s="293"/>
      <c r="U128" s="294"/>
      <c r="V128" s="294"/>
      <c r="W128" s="295">
        <v>0</v>
      </c>
      <c r="X128" s="296"/>
      <c r="Y128" s="287" t="s">
        <v>28</v>
      </c>
      <c r="Z128" s="297" t="s">
        <v>28</v>
      </c>
      <c r="AA128" s="313"/>
      <c r="AB128" s="313"/>
      <c r="AC128" s="298">
        <f t="shared" si="6"/>
        <v>50000000</v>
      </c>
      <c r="AD128" s="298">
        <v>50000000</v>
      </c>
      <c r="AE128" s="298">
        <f t="shared" si="7"/>
        <v>0</v>
      </c>
      <c r="AF128" s="299"/>
      <c r="AG128" s="300"/>
      <c r="AH128" s="299"/>
      <c r="AI128" s="299"/>
      <c r="AJ128" s="300"/>
      <c r="AK128" s="299"/>
      <c r="AL128" s="301"/>
      <c r="AM128" s="314"/>
      <c r="AN128" s="301"/>
      <c r="AO128" s="302"/>
      <c r="AP128" s="301"/>
      <c r="AQ128" s="301">
        <v>25000000</v>
      </c>
      <c r="AR128" s="301"/>
      <c r="AS128" s="301"/>
      <c r="AT128" s="301"/>
      <c r="AU128" s="301"/>
      <c r="AV128" s="301"/>
      <c r="AW128" s="301"/>
      <c r="AX128" s="301"/>
      <c r="AY128" s="301">
        <v>25000000</v>
      </c>
      <c r="AZ128" s="301"/>
      <c r="BA128" s="301"/>
      <c r="BB128" s="301"/>
      <c r="BC128" s="301"/>
      <c r="BD128" s="301"/>
      <c r="BE128" s="301"/>
      <c r="BF128" s="301"/>
      <c r="BG128" s="303"/>
      <c r="BH128" s="304"/>
    </row>
    <row r="129" spans="1:60" s="305" customFormat="1" ht="16.5" hidden="1" customHeight="1" x14ac:dyDescent="0.4">
      <c r="A129" s="285">
        <v>106</v>
      </c>
      <c r="B129" s="286"/>
      <c r="C129" s="286"/>
      <c r="D129" s="287" t="s">
        <v>137</v>
      </c>
      <c r="E129" s="287" t="s">
        <v>159</v>
      </c>
      <c r="F129" s="288" t="s">
        <v>92</v>
      </c>
      <c r="G129" s="289" t="s">
        <v>159</v>
      </c>
      <c r="H129" s="307"/>
      <c r="I129" s="290"/>
      <c r="J129" s="291" t="s">
        <v>701</v>
      </c>
      <c r="K129" s="287"/>
      <c r="L129" s="287"/>
      <c r="M129" s="287">
        <v>61911</v>
      </c>
      <c r="N129" s="287" t="s">
        <v>23</v>
      </c>
      <c r="O129" s="287" t="s">
        <v>33</v>
      </c>
      <c r="P129" s="287" t="s">
        <v>44</v>
      </c>
      <c r="Q129" s="287"/>
      <c r="R129" s="287" t="s">
        <v>342</v>
      </c>
      <c r="S129" s="292" t="s">
        <v>741</v>
      </c>
      <c r="T129" s="293"/>
      <c r="U129" s="294"/>
      <c r="V129" s="294"/>
      <c r="W129" s="295"/>
      <c r="X129" s="296"/>
      <c r="Y129" s="287" t="s">
        <v>26</v>
      </c>
      <c r="Z129" s="297" t="s">
        <v>544</v>
      </c>
      <c r="AA129" s="313"/>
      <c r="AB129" s="313"/>
      <c r="AC129" s="298">
        <f t="shared" si="6"/>
        <v>10000000</v>
      </c>
      <c r="AD129" s="298">
        <v>10000000</v>
      </c>
      <c r="AE129" s="298">
        <f t="shared" si="7"/>
        <v>0</v>
      </c>
      <c r="AF129" s="299"/>
      <c r="AG129" s="300"/>
      <c r="AH129" s="299"/>
      <c r="AI129" s="299"/>
      <c r="AJ129" s="300"/>
      <c r="AK129" s="299"/>
      <c r="AL129" s="301"/>
      <c r="AM129" s="314"/>
      <c r="AN129" s="301"/>
      <c r="AO129" s="302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>
        <v>10000000</v>
      </c>
      <c r="BF129" s="301"/>
      <c r="BG129" s="303"/>
      <c r="BH129" s="304"/>
    </row>
    <row r="130" spans="1:60" s="305" customFormat="1" ht="16.5" hidden="1" customHeight="1" x14ac:dyDescent="0.4">
      <c r="A130" s="285">
        <v>107</v>
      </c>
      <c r="B130" s="286"/>
      <c r="C130" s="286"/>
      <c r="D130" s="287" t="s">
        <v>137</v>
      </c>
      <c r="E130" s="287" t="s">
        <v>159</v>
      </c>
      <c r="F130" s="288" t="s">
        <v>92</v>
      </c>
      <c r="G130" s="289" t="s">
        <v>159</v>
      </c>
      <c r="H130" s="307"/>
      <c r="I130" s="290"/>
      <c r="J130" s="291" t="s">
        <v>701</v>
      </c>
      <c r="K130" s="287"/>
      <c r="L130" s="287"/>
      <c r="M130" s="287">
        <v>61911</v>
      </c>
      <c r="N130" s="287" t="s">
        <v>23</v>
      </c>
      <c r="O130" s="287" t="s">
        <v>33</v>
      </c>
      <c r="P130" s="287" t="s">
        <v>44</v>
      </c>
      <c r="Q130" s="287"/>
      <c r="R130" s="287" t="s">
        <v>345</v>
      </c>
      <c r="S130" s="292" t="s">
        <v>742</v>
      </c>
      <c r="T130" s="293"/>
      <c r="U130" s="294"/>
      <c r="V130" s="294"/>
      <c r="W130" s="295"/>
      <c r="X130" s="296"/>
      <c r="Y130" s="287" t="s">
        <v>26</v>
      </c>
      <c r="Z130" s="297" t="s">
        <v>544</v>
      </c>
      <c r="AA130" s="313"/>
      <c r="AB130" s="313"/>
      <c r="AC130" s="298">
        <f t="shared" si="6"/>
        <v>10000000</v>
      </c>
      <c r="AD130" s="298">
        <v>10000000</v>
      </c>
      <c r="AE130" s="298">
        <f t="shared" si="7"/>
        <v>0</v>
      </c>
      <c r="AF130" s="299"/>
      <c r="AG130" s="300"/>
      <c r="AH130" s="299"/>
      <c r="AI130" s="299"/>
      <c r="AJ130" s="300"/>
      <c r="AK130" s="299"/>
      <c r="AL130" s="301"/>
      <c r="AM130" s="314"/>
      <c r="AN130" s="301"/>
      <c r="AO130" s="302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>
        <v>10000000</v>
      </c>
      <c r="BF130" s="301"/>
      <c r="BG130" s="303"/>
      <c r="BH130" s="304"/>
    </row>
    <row r="131" spans="1:60" s="305" customFormat="1" ht="16.5" hidden="1" customHeight="1" x14ac:dyDescent="0.4">
      <c r="A131" s="285">
        <v>108</v>
      </c>
      <c r="B131" s="286"/>
      <c r="C131" s="286"/>
      <c r="D131" s="287" t="s">
        <v>137</v>
      </c>
      <c r="E131" s="287" t="s">
        <v>159</v>
      </c>
      <c r="F131" s="288" t="s">
        <v>92</v>
      </c>
      <c r="G131" s="289" t="s">
        <v>159</v>
      </c>
      <c r="H131" s="307"/>
      <c r="I131" s="290"/>
      <c r="J131" s="291" t="s">
        <v>701</v>
      </c>
      <c r="K131" s="287"/>
      <c r="L131" s="287"/>
      <c r="M131" s="287">
        <v>61911</v>
      </c>
      <c r="N131" s="287" t="s">
        <v>23</v>
      </c>
      <c r="O131" s="287" t="s">
        <v>33</v>
      </c>
      <c r="P131" s="287" t="s">
        <v>44</v>
      </c>
      <c r="Q131" s="287"/>
      <c r="R131" s="287" t="s">
        <v>221</v>
      </c>
      <c r="S131" s="292" t="s">
        <v>745</v>
      </c>
      <c r="T131" s="293"/>
      <c r="U131" s="294"/>
      <c r="V131" s="294"/>
      <c r="W131" s="295"/>
      <c r="X131" s="296"/>
      <c r="Y131" s="287" t="s">
        <v>26</v>
      </c>
      <c r="Z131" s="297" t="s">
        <v>544</v>
      </c>
      <c r="AA131" s="313"/>
      <c r="AB131" s="313"/>
      <c r="AC131" s="298">
        <f t="shared" si="6"/>
        <v>30000000</v>
      </c>
      <c r="AD131" s="298">
        <v>30000000</v>
      </c>
      <c r="AE131" s="298">
        <f t="shared" si="7"/>
        <v>0</v>
      </c>
      <c r="AF131" s="299"/>
      <c r="AG131" s="300"/>
      <c r="AH131" s="299"/>
      <c r="AI131" s="299"/>
      <c r="AJ131" s="300"/>
      <c r="AK131" s="299"/>
      <c r="AL131" s="301"/>
      <c r="AM131" s="314"/>
      <c r="AN131" s="301"/>
      <c r="AO131" s="302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>
        <v>15000000</v>
      </c>
      <c r="AZ131" s="301"/>
      <c r="BA131" s="301"/>
      <c r="BB131" s="301"/>
      <c r="BC131" s="301"/>
      <c r="BD131" s="301"/>
      <c r="BE131" s="301">
        <v>15000000</v>
      </c>
      <c r="BF131" s="301"/>
      <c r="BG131" s="303"/>
      <c r="BH131" s="304"/>
    </row>
    <row r="132" spans="1:60" s="305" customFormat="1" ht="16.5" hidden="1" customHeight="1" x14ac:dyDescent="0.4">
      <c r="A132" s="285">
        <v>109</v>
      </c>
      <c r="B132" s="286"/>
      <c r="C132" s="286"/>
      <c r="D132" s="287" t="s">
        <v>137</v>
      </c>
      <c r="E132" s="287" t="s">
        <v>159</v>
      </c>
      <c r="F132" s="288" t="s">
        <v>92</v>
      </c>
      <c r="G132" s="289" t="s">
        <v>159</v>
      </c>
      <c r="H132" s="307"/>
      <c r="I132" s="290"/>
      <c r="J132" s="291" t="s">
        <v>701</v>
      </c>
      <c r="K132" s="287"/>
      <c r="L132" s="287"/>
      <c r="M132" s="287">
        <v>61911</v>
      </c>
      <c r="N132" s="287" t="s">
        <v>23</v>
      </c>
      <c r="O132" s="287" t="s">
        <v>33</v>
      </c>
      <c r="P132" s="287" t="s">
        <v>44</v>
      </c>
      <c r="Q132" s="287"/>
      <c r="R132" s="287" t="s">
        <v>351</v>
      </c>
      <c r="S132" s="292" t="s">
        <v>351</v>
      </c>
      <c r="T132" s="293"/>
      <c r="U132" s="294"/>
      <c r="V132" s="294"/>
      <c r="W132" s="295"/>
      <c r="X132" s="296"/>
      <c r="Y132" s="287" t="s">
        <v>26</v>
      </c>
      <c r="Z132" s="297" t="s">
        <v>544</v>
      </c>
      <c r="AA132" s="313"/>
      <c r="AB132" s="313"/>
      <c r="AC132" s="298">
        <f t="shared" si="6"/>
        <v>0</v>
      </c>
      <c r="AD132" s="298">
        <v>0</v>
      </c>
      <c r="AE132" s="298">
        <f t="shared" si="7"/>
        <v>0</v>
      </c>
      <c r="AF132" s="299"/>
      <c r="AG132" s="300"/>
      <c r="AH132" s="299"/>
      <c r="AI132" s="299"/>
      <c r="AJ132" s="300"/>
      <c r="AK132" s="299"/>
      <c r="AL132" s="301"/>
      <c r="AM132" s="314"/>
      <c r="AN132" s="301"/>
      <c r="AO132" s="302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3"/>
      <c r="BH132" s="304"/>
    </row>
    <row r="133" spans="1:60" s="305" customFormat="1" ht="16.5" hidden="1" customHeight="1" x14ac:dyDescent="0.4">
      <c r="A133" s="285">
        <v>110</v>
      </c>
      <c r="B133" s="286"/>
      <c r="C133" s="286"/>
      <c r="D133" s="287" t="s">
        <v>92</v>
      </c>
      <c r="E133" s="287" t="s">
        <v>102</v>
      </c>
      <c r="F133" s="288" t="s">
        <v>92</v>
      </c>
      <c r="G133" s="289" t="s">
        <v>159</v>
      </c>
      <c r="H133" s="307"/>
      <c r="I133" s="290"/>
      <c r="J133" s="291" t="s">
        <v>114</v>
      </c>
      <c r="K133" s="287"/>
      <c r="L133" s="287"/>
      <c r="M133" s="287">
        <v>41551</v>
      </c>
      <c r="N133" s="287" t="s">
        <v>32</v>
      </c>
      <c r="O133" s="287" t="s">
        <v>43</v>
      </c>
      <c r="P133" s="287" t="s">
        <v>44</v>
      </c>
      <c r="Q133" s="287"/>
      <c r="R133" s="287" t="s">
        <v>29</v>
      </c>
      <c r="S133" s="292" t="s">
        <v>29</v>
      </c>
      <c r="T133" s="293"/>
      <c r="U133" s="294"/>
      <c r="V133" s="294"/>
      <c r="W133" s="295">
        <v>240400001</v>
      </c>
      <c r="X133" s="296"/>
      <c r="Y133" s="287" t="s">
        <v>28</v>
      </c>
      <c r="Z133" s="297" t="s">
        <v>25</v>
      </c>
      <c r="AA133" s="313"/>
      <c r="AB133" s="313"/>
      <c r="AC133" s="298">
        <f t="shared" si="6"/>
        <v>110000000</v>
      </c>
      <c r="AD133" s="298">
        <v>110000000</v>
      </c>
      <c r="AE133" s="298">
        <f t="shared" si="7"/>
        <v>0</v>
      </c>
      <c r="AF133" s="299"/>
      <c r="AG133" s="300"/>
      <c r="AH133" s="299"/>
      <c r="AI133" s="299"/>
      <c r="AJ133" s="300"/>
      <c r="AK133" s="299"/>
      <c r="AL133" s="301"/>
      <c r="AM133" s="314"/>
      <c r="AN133" s="301"/>
      <c r="AO133" s="302"/>
      <c r="AP133" s="301"/>
      <c r="AQ133" s="301"/>
      <c r="AR133" s="301"/>
      <c r="AS133" s="301">
        <v>55000000</v>
      </c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>
        <v>55000000</v>
      </c>
      <c r="BF133" s="301"/>
      <c r="BG133" s="303"/>
      <c r="BH133" s="304"/>
    </row>
    <row r="134" spans="1:60" s="305" customFormat="1" ht="16.5" hidden="1" customHeight="1" x14ac:dyDescent="0.4">
      <c r="A134" s="285">
        <v>111</v>
      </c>
      <c r="B134" s="286"/>
      <c r="C134" s="286"/>
      <c r="D134" s="287" t="s">
        <v>92</v>
      </c>
      <c r="E134" s="287" t="s">
        <v>102</v>
      </c>
      <c r="F134" s="288" t="s">
        <v>92</v>
      </c>
      <c r="G134" s="289" t="s">
        <v>159</v>
      </c>
      <c r="H134" s="307"/>
      <c r="I134" s="290"/>
      <c r="J134" s="291" t="s">
        <v>114</v>
      </c>
      <c r="K134" s="287"/>
      <c r="L134" s="287"/>
      <c r="M134" s="287">
        <v>41551</v>
      </c>
      <c r="N134" s="287" t="s">
        <v>32</v>
      </c>
      <c r="O134" s="287" t="s">
        <v>33</v>
      </c>
      <c r="P134" s="287" t="s">
        <v>44</v>
      </c>
      <c r="Q134" s="287" t="s">
        <v>19</v>
      </c>
      <c r="R134" s="287" t="s">
        <v>20</v>
      </c>
      <c r="S134" s="292" t="s">
        <v>20</v>
      </c>
      <c r="T134" s="293"/>
      <c r="U134" s="294" t="s">
        <v>97</v>
      </c>
      <c r="V134" s="294">
        <v>2140000</v>
      </c>
      <c r="W134" s="295"/>
      <c r="X134" s="296"/>
      <c r="Y134" s="287" t="s">
        <v>21</v>
      </c>
      <c r="Z134" s="297" t="s">
        <v>544</v>
      </c>
      <c r="AA134" s="313"/>
      <c r="AB134" s="313"/>
      <c r="AC134" s="298">
        <f t="shared" si="6"/>
        <v>0</v>
      </c>
      <c r="AD134" s="298">
        <v>0</v>
      </c>
      <c r="AE134" s="298">
        <f t="shared" si="7"/>
        <v>0</v>
      </c>
      <c r="AF134" s="299"/>
      <c r="AG134" s="300"/>
      <c r="AH134" s="299"/>
      <c r="AI134" s="299"/>
      <c r="AJ134" s="300"/>
      <c r="AK134" s="299"/>
      <c r="AL134" s="301"/>
      <c r="AM134" s="314"/>
      <c r="AN134" s="301"/>
      <c r="AO134" s="302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3"/>
      <c r="BH134" s="304"/>
    </row>
    <row r="135" spans="1:60" s="305" customFormat="1" ht="16.5" hidden="1" customHeight="1" x14ac:dyDescent="0.4">
      <c r="A135" s="285">
        <v>112</v>
      </c>
      <c r="B135" s="286"/>
      <c r="C135" s="286"/>
      <c r="D135" s="287" t="s">
        <v>92</v>
      </c>
      <c r="E135" s="287" t="s">
        <v>102</v>
      </c>
      <c r="F135" s="288" t="s">
        <v>92</v>
      </c>
      <c r="G135" s="289" t="s">
        <v>159</v>
      </c>
      <c r="H135" s="307"/>
      <c r="I135" s="290"/>
      <c r="J135" s="291" t="s">
        <v>114</v>
      </c>
      <c r="K135" s="287"/>
      <c r="L135" s="287"/>
      <c r="M135" s="287">
        <v>41551</v>
      </c>
      <c r="N135" s="287" t="s">
        <v>32</v>
      </c>
      <c r="O135" s="287" t="s">
        <v>33</v>
      </c>
      <c r="P135" s="287" t="s">
        <v>98</v>
      </c>
      <c r="Q135" s="287" t="s">
        <v>27</v>
      </c>
      <c r="R135" s="287" t="s">
        <v>340</v>
      </c>
      <c r="S135" s="292" t="s">
        <v>340</v>
      </c>
      <c r="T135" s="293"/>
      <c r="U135" s="294"/>
      <c r="V135" s="294">
        <v>418899998</v>
      </c>
      <c r="W135" s="295"/>
      <c r="X135" s="296"/>
      <c r="Y135" s="287" t="s">
        <v>25</v>
      </c>
      <c r="Z135" s="297" t="s">
        <v>618</v>
      </c>
      <c r="AA135" s="313"/>
      <c r="AB135" s="313"/>
      <c r="AC135" s="298">
        <f t="shared" si="6"/>
        <v>280000000</v>
      </c>
      <c r="AD135" s="298">
        <v>280000000</v>
      </c>
      <c r="AE135" s="298">
        <f t="shared" si="7"/>
        <v>0</v>
      </c>
      <c r="AF135" s="299"/>
      <c r="AG135" s="300"/>
      <c r="AH135" s="299"/>
      <c r="AI135" s="299"/>
      <c r="AJ135" s="300"/>
      <c r="AK135" s="299"/>
      <c r="AL135" s="301"/>
      <c r="AM135" s="314"/>
      <c r="AN135" s="301"/>
      <c r="AO135" s="302"/>
      <c r="AP135" s="301"/>
      <c r="AQ135" s="301">
        <v>200000000</v>
      </c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>
        <v>80000000</v>
      </c>
      <c r="BF135" s="301"/>
      <c r="BG135" s="303"/>
      <c r="BH135" s="304"/>
    </row>
    <row r="136" spans="1:60" s="305" customFormat="1" ht="16.5" hidden="1" customHeight="1" x14ac:dyDescent="0.4">
      <c r="A136" s="285">
        <v>113</v>
      </c>
      <c r="B136" s="286"/>
      <c r="C136" s="286"/>
      <c r="D136" s="287" t="s">
        <v>92</v>
      </c>
      <c r="E136" s="287" t="s">
        <v>102</v>
      </c>
      <c r="F136" s="288" t="s">
        <v>92</v>
      </c>
      <c r="G136" s="289" t="s">
        <v>159</v>
      </c>
      <c r="H136" s="307"/>
      <c r="I136" s="290"/>
      <c r="J136" s="291" t="s">
        <v>114</v>
      </c>
      <c r="K136" s="287"/>
      <c r="L136" s="287"/>
      <c r="M136" s="287">
        <v>41551</v>
      </c>
      <c r="N136" s="287" t="s">
        <v>32</v>
      </c>
      <c r="O136" s="287" t="s">
        <v>33</v>
      </c>
      <c r="P136" s="287" t="s">
        <v>44</v>
      </c>
      <c r="Q136" s="287"/>
      <c r="R136" s="287" t="s">
        <v>221</v>
      </c>
      <c r="S136" s="292" t="s">
        <v>745</v>
      </c>
      <c r="T136" s="293"/>
      <c r="U136" s="294"/>
      <c r="V136" s="294">
        <v>0</v>
      </c>
      <c r="W136" s="295"/>
      <c r="X136" s="296"/>
      <c r="Y136" s="287" t="s">
        <v>26</v>
      </c>
      <c r="Z136" s="297" t="s">
        <v>544</v>
      </c>
      <c r="AA136" s="313"/>
      <c r="AB136" s="313"/>
      <c r="AC136" s="298">
        <f t="shared" si="6"/>
        <v>200000000</v>
      </c>
      <c r="AD136" s="298">
        <v>200000000</v>
      </c>
      <c r="AE136" s="298">
        <f t="shared" si="7"/>
        <v>0</v>
      </c>
      <c r="AF136" s="299"/>
      <c r="AG136" s="300"/>
      <c r="AH136" s="299"/>
      <c r="AI136" s="299"/>
      <c r="AJ136" s="300"/>
      <c r="AK136" s="299"/>
      <c r="AL136" s="301"/>
      <c r="AM136" s="314"/>
      <c r="AN136" s="301"/>
      <c r="AO136" s="302"/>
      <c r="AP136" s="301"/>
      <c r="AQ136" s="301">
        <v>150000000</v>
      </c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>
        <v>50000000</v>
      </c>
      <c r="BF136" s="301"/>
      <c r="BG136" s="303"/>
      <c r="BH136" s="304"/>
    </row>
    <row r="137" spans="1:60" s="305" customFormat="1" ht="16.5" hidden="1" customHeight="1" x14ac:dyDescent="0.4">
      <c r="A137" s="285">
        <v>114</v>
      </c>
      <c r="B137" s="286"/>
      <c r="C137" s="286"/>
      <c r="D137" s="287" t="s">
        <v>92</v>
      </c>
      <c r="E137" s="287" t="s">
        <v>193</v>
      </c>
      <c r="F137" s="288" t="s">
        <v>92</v>
      </c>
      <c r="G137" s="289" t="s">
        <v>159</v>
      </c>
      <c r="H137" s="307"/>
      <c r="I137" s="290"/>
      <c r="J137" s="291" t="s">
        <v>263</v>
      </c>
      <c r="K137" s="287"/>
      <c r="L137" s="287"/>
      <c r="M137" s="287">
        <v>14432</v>
      </c>
      <c r="N137" s="287" t="s">
        <v>32</v>
      </c>
      <c r="O137" s="287" t="s">
        <v>43</v>
      </c>
      <c r="P137" s="287" t="s">
        <v>98</v>
      </c>
      <c r="Q137" s="287" t="s">
        <v>24</v>
      </c>
      <c r="R137" s="287" t="s">
        <v>221</v>
      </c>
      <c r="S137" s="292" t="s">
        <v>745</v>
      </c>
      <c r="T137" s="293"/>
      <c r="U137" s="294"/>
      <c r="V137" s="294">
        <v>49636364</v>
      </c>
      <c r="W137" s="295">
        <v>55522727</v>
      </c>
      <c r="X137" s="296"/>
      <c r="Y137" s="287" t="s">
        <v>28</v>
      </c>
      <c r="Z137" s="297" t="s">
        <v>28</v>
      </c>
      <c r="AA137" s="313"/>
      <c r="AB137" s="313"/>
      <c r="AC137" s="298">
        <f t="shared" si="6"/>
        <v>37090910</v>
      </c>
      <c r="AD137" s="298">
        <v>37090910</v>
      </c>
      <c r="AE137" s="298">
        <f t="shared" si="7"/>
        <v>0</v>
      </c>
      <c r="AF137" s="299">
        <v>16545455</v>
      </c>
      <c r="AG137" s="300">
        <v>16545455</v>
      </c>
      <c r="AH137" s="299"/>
      <c r="AI137" s="299"/>
      <c r="AJ137" s="300">
        <v>4000000</v>
      </c>
      <c r="AK137" s="299"/>
      <c r="AL137" s="301"/>
      <c r="AM137" s="314"/>
      <c r="AN137" s="301"/>
      <c r="AO137" s="302">
        <v>16545455</v>
      </c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3"/>
      <c r="BH137" s="304"/>
    </row>
    <row r="138" spans="1:60" s="305" customFormat="1" ht="16.5" hidden="1" customHeight="1" x14ac:dyDescent="0.4">
      <c r="A138" s="285">
        <v>115</v>
      </c>
      <c r="B138" s="286"/>
      <c r="C138" s="286"/>
      <c r="D138" s="287" t="s">
        <v>92</v>
      </c>
      <c r="E138" s="287" t="s">
        <v>193</v>
      </c>
      <c r="F138" s="288" t="s">
        <v>92</v>
      </c>
      <c r="G138" s="289" t="s">
        <v>159</v>
      </c>
      <c r="H138" s="307"/>
      <c r="I138" s="290"/>
      <c r="J138" s="291" t="s">
        <v>263</v>
      </c>
      <c r="K138" s="287"/>
      <c r="L138" s="287"/>
      <c r="M138" s="287">
        <v>14432</v>
      </c>
      <c r="N138" s="287" t="s">
        <v>32</v>
      </c>
      <c r="O138" s="287" t="s">
        <v>43</v>
      </c>
      <c r="P138" s="287" t="s">
        <v>44</v>
      </c>
      <c r="Q138" s="287" t="s">
        <v>88</v>
      </c>
      <c r="R138" s="287" t="s">
        <v>344</v>
      </c>
      <c r="S138" s="292" t="s">
        <v>749</v>
      </c>
      <c r="T138" s="293"/>
      <c r="U138" s="294"/>
      <c r="V138" s="294">
        <v>518104681</v>
      </c>
      <c r="W138" s="295">
        <v>599447728</v>
      </c>
      <c r="X138" s="296"/>
      <c r="Y138" s="287" t="s">
        <v>28</v>
      </c>
      <c r="Z138" s="297" t="s">
        <v>28</v>
      </c>
      <c r="AA138" s="313"/>
      <c r="AB138" s="313"/>
      <c r="AC138" s="298">
        <f t="shared" si="6"/>
        <v>507272727.63636363</v>
      </c>
      <c r="AD138" s="298">
        <v>507272727.63636363</v>
      </c>
      <c r="AE138" s="298">
        <f t="shared" si="7"/>
        <v>0</v>
      </c>
      <c r="AF138" s="299"/>
      <c r="AG138" s="300"/>
      <c r="AH138" s="299"/>
      <c r="AI138" s="299">
        <v>253636363.63636363</v>
      </c>
      <c r="AJ138" s="300">
        <v>253636363.63636363</v>
      </c>
      <c r="AK138" s="299"/>
      <c r="AL138" s="301">
        <v>253636364</v>
      </c>
      <c r="AM138" s="314">
        <v>253636364</v>
      </c>
      <c r="AN138" s="301"/>
      <c r="AO138" s="302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>
        <v>0</v>
      </c>
      <c r="BF138" s="301"/>
      <c r="BG138" s="303"/>
      <c r="BH138" s="304"/>
    </row>
    <row r="139" spans="1:60" s="305" customFormat="1" ht="16.5" hidden="1" customHeight="1" x14ac:dyDescent="0.4">
      <c r="A139" s="285">
        <v>116</v>
      </c>
      <c r="B139" s="286"/>
      <c r="C139" s="286"/>
      <c r="D139" s="287" t="s">
        <v>137</v>
      </c>
      <c r="E139" s="287" t="s">
        <v>159</v>
      </c>
      <c r="F139" s="288" t="s">
        <v>92</v>
      </c>
      <c r="G139" s="289" t="s">
        <v>159</v>
      </c>
      <c r="H139" s="307"/>
      <c r="I139" s="290"/>
      <c r="J139" s="291" t="s">
        <v>702</v>
      </c>
      <c r="K139" s="287"/>
      <c r="L139" s="287"/>
      <c r="M139" s="287">
        <v>39986</v>
      </c>
      <c r="N139" s="287" t="s">
        <v>32</v>
      </c>
      <c r="O139" s="287" t="s">
        <v>33</v>
      </c>
      <c r="P139" s="287" t="s">
        <v>98</v>
      </c>
      <c r="Q139" s="287"/>
      <c r="R139" s="287" t="s">
        <v>221</v>
      </c>
      <c r="S139" s="292" t="s">
        <v>745</v>
      </c>
      <c r="T139" s="293"/>
      <c r="U139" s="294"/>
      <c r="V139" s="294"/>
      <c r="W139" s="295"/>
      <c r="X139" s="296"/>
      <c r="Y139" s="287" t="s">
        <v>618</v>
      </c>
      <c r="Z139" s="297" t="s">
        <v>618</v>
      </c>
      <c r="AA139" s="313"/>
      <c r="AB139" s="313"/>
      <c r="AC139" s="298">
        <f t="shared" si="6"/>
        <v>240000000</v>
      </c>
      <c r="AD139" s="298">
        <v>240000000</v>
      </c>
      <c r="AE139" s="298">
        <f t="shared" si="7"/>
        <v>0</v>
      </c>
      <c r="AF139" s="299"/>
      <c r="AG139" s="300"/>
      <c r="AH139" s="299"/>
      <c r="AI139" s="299"/>
      <c r="AJ139" s="300"/>
      <c r="AK139" s="299"/>
      <c r="AL139" s="301"/>
      <c r="AM139" s="314"/>
      <c r="AN139" s="301"/>
      <c r="AO139" s="302"/>
      <c r="AP139" s="301"/>
      <c r="AQ139" s="301">
        <v>120000000</v>
      </c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>
        <v>120000000</v>
      </c>
      <c r="BD139" s="301"/>
      <c r="BE139" s="301"/>
      <c r="BF139" s="301"/>
      <c r="BG139" s="303"/>
      <c r="BH139" s="304"/>
    </row>
    <row r="140" spans="1:60" s="305" customFormat="1" ht="16.5" hidden="1" customHeight="1" x14ac:dyDescent="0.4">
      <c r="A140" s="285">
        <v>117</v>
      </c>
      <c r="B140" s="286"/>
      <c r="C140" s="286"/>
      <c r="D140" s="287" t="s">
        <v>137</v>
      </c>
      <c r="E140" s="287" t="s">
        <v>159</v>
      </c>
      <c r="F140" s="288" t="s">
        <v>92</v>
      </c>
      <c r="G140" s="289" t="s">
        <v>159</v>
      </c>
      <c r="H140" s="307"/>
      <c r="I140" s="290"/>
      <c r="J140" s="291" t="s">
        <v>703</v>
      </c>
      <c r="K140" s="287"/>
      <c r="L140" s="287"/>
      <c r="M140" s="287">
        <v>7424</v>
      </c>
      <c r="N140" s="287" t="s">
        <v>23</v>
      </c>
      <c r="O140" s="287" t="s">
        <v>33</v>
      </c>
      <c r="P140" s="287" t="s">
        <v>98</v>
      </c>
      <c r="Q140" s="287"/>
      <c r="R140" s="287" t="s">
        <v>341</v>
      </c>
      <c r="S140" s="292" t="s">
        <v>341</v>
      </c>
      <c r="T140" s="293"/>
      <c r="U140" s="294">
        <v>0</v>
      </c>
      <c r="V140" s="294">
        <v>0</v>
      </c>
      <c r="W140" s="295"/>
      <c r="X140" s="296"/>
      <c r="Y140" s="287" t="s">
        <v>26</v>
      </c>
      <c r="Z140" s="297" t="s">
        <v>544</v>
      </c>
      <c r="AA140" s="313"/>
      <c r="AB140" s="313"/>
      <c r="AC140" s="298">
        <f t="shared" si="6"/>
        <v>0</v>
      </c>
      <c r="AD140" s="298">
        <v>0</v>
      </c>
      <c r="AE140" s="298">
        <f t="shared" si="7"/>
        <v>0</v>
      </c>
      <c r="AF140" s="299"/>
      <c r="AG140" s="300"/>
      <c r="AH140" s="299"/>
      <c r="AI140" s="299">
        <v>10000000</v>
      </c>
      <c r="AJ140" s="300"/>
      <c r="AK140" s="299"/>
      <c r="AL140" s="301"/>
      <c r="AM140" s="314"/>
      <c r="AN140" s="301"/>
      <c r="AO140" s="302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3"/>
      <c r="BH140" s="304"/>
    </row>
    <row r="141" spans="1:60" s="305" customFormat="1" ht="16.5" hidden="1" customHeight="1" x14ac:dyDescent="0.4">
      <c r="A141" s="285">
        <v>118</v>
      </c>
      <c r="B141" s="286"/>
      <c r="C141" s="286"/>
      <c r="D141" s="287" t="s">
        <v>137</v>
      </c>
      <c r="E141" s="287" t="s">
        <v>159</v>
      </c>
      <c r="F141" s="288" t="s">
        <v>92</v>
      </c>
      <c r="G141" s="289" t="s">
        <v>159</v>
      </c>
      <c r="H141" s="307"/>
      <c r="I141" s="290"/>
      <c r="J141" s="291" t="s">
        <v>703</v>
      </c>
      <c r="K141" s="287"/>
      <c r="L141" s="287"/>
      <c r="M141" s="287">
        <v>7424</v>
      </c>
      <c r="N141" s="287" t="s">
        <v>23</v>
      </c>
      <c r="O141" s="287" t="s">
        <v>33</v>
      </c>
      <c r="P141" s="287" t="s">
        <v>98</v>
      </c>
      <c r="Q141" s="287"/>
      <c r="R141" s="287" t="s">
        <v>347</v>
      </c>
      <c r="S141" s="292" t="s">
        <v>750</v>
      </c>
      <c r="T141" s="293"/>
      <c r="U141" s="294"/>
      <c r="V141" s="294">
        <v>0</v>
      </c>
      <c r="W141" s="295"/>
      <c r="X141" s="296"/>
      <c r="Y141" s="287" t="s">
        <v>26</v>
      </c>
      <c r="Z141" s="297" t="s">
        <v>544</v>
      </c>
      <c r="AA141" s="313"/>
      <c r="AB141" s="313"/>
      <c r="AC141" s="298">
        <f t="shared" si="6"/>
        <v>15000000</v>
      </c>
      <c r="AD141" s="298">
        <v>15000000</v>
      </c>
      <c r="AE141" s="298">
        <f t="shared" si="7"/>
        <v>0</v>
      </c>
      <c r="AF141" s="299"/>
      <c r="AG141" s="300"/>
      <c r="AH141" s="299"/>
      <c r="AI141" s="299"/>
      <c r="AJ141" s="300"/>
      <c r="AK141" s="299"/>
      <c r="AL141" s="301"/>
      <c r="AM141" s="314"/>
      <c r="AN141" s="301"/>
      <c r="AO141" s="302"/>
      <c r="AP141" s="301"/>
      <c r="AQ141" s="301"/>
      <c r="AR141" s="301"/>
      <c r="AS141" s="301">
        <v>15000000</v>
      </c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3"/>
      <c r="BH141" s="304"/>
    </row>
    <row r="142" spans="1:60" s="305" customFormat="1" ht="16.5" hidden="1" customHeight="1" x14ac:dyDescent="0.4">
      <c r="A142" s="285">
        <v>119</v>
      </c>
      <c r="B142" s="286"/>
      <c r="C142" s="286"/>
      <c r="D142" s="287"/>
      <c r="E142" s="287"/>
      <c r="F142" s="288" t="s">
        <v>92</v>
      </c>
      <c r="G142" s="289" t="s">
        <v>850</v>
      </c>
      <c r="H142" s="307"/>
      <c r="I142" s="290"/>
      <c r="J142" s="291" t="s">
        <v>851</v>
      </c>
      <c r="K142" s="287"/>
      <c r="L142" s="287"/>
      <c r="M142" s="287">
        <v>46568</v>
      </c>
      <c r="N142" s="287"/>
      <c r="O142" s="287"/>
      <c r="P142" s="287"/>
      <c r="Q142" s="287"/>
      <c r="R142" s="287"/>
      <c r="S142" s="292" t="s">
        <v>20</v>
      </c>
      <c r="T142" s="293"/>
      <c r="U142" s="294"/>
      <c r="V142" s="294"/>
      <c r="W142" s="295"/>
      <c r="X142" s="296"/>
      <c r="Y142" s="287"/>
      <c r="Z142" s="297" t="s">
        <v>28</v>
      </c>
      <c r="AA142" s="313"/>
      <c r="AB142" s="313"/>
      <c r="AC142" s="298">
        <f t="shared" si="6"/>
        <v>19800000</v>
      </c>
      <c r="AD142" s="298">
        <v>19800000</v>
      </c>
      <c r="AE142" s="298">
        <f t="shared" si="7"/>
        <v>0</v>
      </c>
      <c r="AF142" s="299"/>
      <c r="AG142" s="300"/>
      <c r="AH142" s="299"/>
      <c r="AI142" s="299"/>
      <c r="AJ142" s="300"/>
      <c r="AK142" s="299"/>
      <c r="AL142" s="301"/>
      <c r="AM142" s="314"/>
      <c r="AN142" s="301"/>
      <c r="AO142" s="302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>
        <v>19800000</v>
      </c>
      <c r="BF142" s="301"/>
      <c r="BG142" s="303"/>
      <c r="BH142" s="304"/>
    </row>
    <row r="143" spans="1:60" s="305" customFormat="1" ht="16.5" hidden="1" customHeight="1" x14ac:dyDescent="0.4">
      <c r="A143" s="285">
        <v>120</v>
      </c>
      <c r="B143" s="286"/>
      <c r="C143" s="286"/>
      <c r="D143" s="287" t="s">
        <v>137</v>
      </c>
      <c r="E143" s="287" t="s">
        <v>159</v>
      </c>
      <c r="F143" s="288" t="s">
        <v>92</v>
      </c>
      <c r="G143" s="289" t="s">
        <v>159</v>
      </c>
      <c r="H143" s="307"/>
      <c r="I143" s="290"/>
      <c r="J143" s="291" t="s">
        <v>704</v>
      </c>
      <c r="K143" s="287"/>
      <c r="L143" s="287"/>
      <c r="M143" s="287">
        <v>46568</v>
      </c>
      <c r="N143" s="287" t="s">
        <v>32</v>
      </c>
      <c r="O143" s="287" t="s">
        <v>33</v>
      </c>
      <c r="P143" s="287" t="s">
        <v>44</v>
      </c>
      <c r="Q143" s="287"/>
      <c r="R143" s="287" t="s">
        <v>221</v>
      </c>
      <c r="S143" s="292" t="s">
        <v>745</v>
      </c>
      <c r="T143" s="293"/>
      <c r="U143" s="294">
        <v>0</v>
      </c>
      <c r="V143" s="294">
        <v>0</v>
      </c>
      <c r="W143" s="295"/>
      <c r="X143" s="296"/>
      <c r="Y143" s="287" t="s">
        <v>618</v>
      </c>
      <c r="Z143" s="297" t="s">
        <v>618</v>
      </c>
      <c r="AA143" s="313"/>
      <c r="AB143" s="313"/>
      <c r="AC143" s="298">
        <f t="shared" si="6"/>
        <v>132000000</v>
      </c>
      <c r="AD143" s="298">
        <v>132000000</v>
      </c>
      <c r="AE143" s="298">
        <f t="shared" si="7"/>
        <v>0</v>
      </c>
      <c r="AF143" s="299"/>
      <c r="AG143" s="300"/>
      <c r="AH143" s="299"/>
      <c r="AI143" s="299"/>
      <c r="AJ143" s="300"/>
      <c r="AK143" s="299"/>
      <c r="AL143" s="301"/>
      <c r="AM143" s="314"/>
      <c r="AN143" s="301"/>
      <c r="AO143" s="302"/>
      <c r="AP143" s="301"/>
      <c r="AQ143" s="301">
        <v>120000000</v>
      </c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>
        <v>12000000</v>
      </c>
      <c r="BF143" s="301"/>
      <c r="BG143" s="303"/>
      <c r="BH143" s="304"/>
    </row>
    <row r="144" spans="1:60" s="305" customFormat="1" ht="16.5" hidden="1" customHeight="1" x14ac:dyDescent="0.4">
      <c r="A144" s="285">
        <v>121</v>
      </c>
      <c r="B144" s="286"/>
      <c r="C144" s="286"/>
      <c r="D144" s="287" t="s">
        <v>137</v>
      </c>
      <c r="E144" s="287" t="s">
        <v>159</v>
      </c>
      <c r="F144" s="288" t="s">
        <v>92</v>
      </c>
      <c r="G144" s="289" t="s">
        <v>159</v>
      </c>
      <c r="H144" s="307"/>
      <c r="I144" s="290"/>
      <c r="J144" s="291" t="s">
        <v>705</v>
      </c>
      <c r="K144" s="287"/>
      <c r="L144" s="287"/>
      <c r="M144" s="287">
        <v>58763</v>
      </c>
      <c r="N144" s="287" t="s">
        <v>32</v>
      </c>
      <c r="O144" s="287" t="s">
        <v>43</v>
      </c>
      <c r="P144" s="287" t="s">
        <v>93</v>
      </c>
      <c r="Q144" s="287" t="s">
        <v>24</v>
      </c>
      <c r="R144" s="287" t="s">
        <v>221</v>
      </c>
      <c r="S144" s="292" t="s">
        <v>745</v>
      </c>
      <c r="T144" s="293"/>
      <c r="U144" s="294">
        <v>303696000</v>
      </c>
      <c r="V144" s="294">
        <v>771824391</v>
      </c>
      <c r="W144" s="295">
        <v>915590910</v>
      </c>
      <c r="X144" s="296"/>
      <c r="Y144" s="287" t="s">
        <v>28</v>
      </c>
      <c r="Z144" s="297" t="s">
        <v>28</v>
      </c>
      <c r="AA144" s="313"/>
      <c r="AB144" s="313"/>
      <c r="AC144" s="298">
        <f t="shared" si="6"/>
        <v>430000000</v>
      </c>
      <c r="AD144" s="298">
        <v>430000000</v>
      </c>
      <c r="AE144" s="298">
        <f t="shared" si="7"/>
        <v>0</v>
      </c>
      <c r="AF144" s="299">
        <v>430000000</v>
      </c>
      <c r="AG144" s="300">
        <v>430000000</v>
      </c>
      <c r="AH144" s="299"/>
      <c r="AI144" s="299"/>
      <c r="AJ144" s="300"/>
      <c r="AK144" s="299"/>
      <c r="AL144" s="301"/>
      <c r="AM144" s="314"/>
      <c r="AN144" s="301"/>
      <c r="AO144" s="302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3"/>
      <c r="BH144" s="304"/>
    </row>
    <row r="145" spans="1:60" s="305" customFormat="1" ht="16.5" hidden="1" customHeight="1" x14ac:dyDescent="0.4">
      <c r="A145" s="285">
        <v>122</v>
      </c>
      <c r="B145" s="286"/>
      <c r="C145" s="286"/>
      <c r="D145" s="287" t="s">
        <v>137</v>
      </c>
      <c r="E145" s="287" t="s">
        <v>159</v>
      </c>
      <c r="F145" s="288" t="s">
        <v>92</v>
      </c>
      <c r="G145" s="289" t="s">
        <v>159</v>
      </c>
      <c r="H145" s="307"/>
      <c r="I145" s="290"/>
      <c r="J145" s="291" t="s">
        <v>705</v>
      </c>
      <c r="K145" s="287"/>
      <c r="L145" s="287"/>
      <c r="M145" s="287">
        <v>58763</v>
      </c>
      <c r="N145" s="287" t="s">
        <v>32</v>
      </c>
      <c r="O145" s="287" t="s">
        <v>33</v>
      </c>
      <c r="P145" s="287" t="s">
        <v>93</v>
      </c>
      <c r="Q145" s="287" t="s">
        <v>24</v>
      </c>
      <c r="R145" s="287" t="s">
        <v>221</v>
      </c>
      <c r="S145" s="292" t="s">
        <v>745</v>
      </c>
      <c r="T145" s="293"/>
      <c r="U145" s="294"/>
      <c r="V145" s="294">
        <v>0</v>
      </c>
      <c r="W145" s="295">
        <v>0</v>
      </c>
      <c r="X145" s="296"/>
      <c r="Y145" s="287" t="s">
        <v>26</v>
      </c>
      <c r="Z145" s="297" t="s">
        <v>25</v>
      </c>
      <c r="AA145" s="313"/>
      <c r="AB145" s="313"/>
      <c r="AC145" s="298">
        <f t="shared" si="6"/>
        <v>450000000</v>
      </c>
      <c r="AD145" s="298">
        <v>450000000</v>
      </c>
      <c r="AE145" s="298">
        <f t="shared" si="7"/>
        <v>0</v>
      </c>
      <c r="AF145" s="299"/>
      <c r="AG145" s="300"/>
      <c r="AH145" s="299"/>
      <c r="AI145" s="299"/>
      <c r="AJ145" s="300"/>
      <c r="AK145" s="299"/>
      <c r="AL145" s="301"/>
      <c r="AM145" s="314"/>
      <c r="AN145" s="301"/>
      <c r="AO145" s="302"/>
      <c r="AP145" s="301"/>
      <c r="AQ145" s="301"/>
      <c r="AR145" s="301"/>
      <c r="AS145" s="301"/>
      <c r="AT145" s="301"/>
      <c r="AU145" s="301"/>
      <c r="AV145" s="301"/>
      <c r="AW145" s="301">
        <v>450000000</v>
      </c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3"/>
      <c r="BH145" s="304"/>
    </row>
    <row r="146" spans="1:60" s="305" customFormat="1" ht="16.5" hidden="1" customHeight="1" x14ac:dyDescent="0.4">
      <c r="A146" s="285">
        <v>123</v>
      </c>
      <c r="B146" s="286"/>
      <c r="C146" s="286"/>
      <c r="D146" s="287" t="s">
        <v>137</v>
      </c>
      <c r="E146" s="287" t="s">
        <v>159</v>
      </c>
      <c r="F146" s="288" t="s">
        <v>92</v>
      </c>
      <c r="G146" s="289" t="s">
        <v>159</v>
      </c>
      <c r="H146" s="307"/>
      <c r="I146" s="290"/>
      <c r="J146" s="291" t="s">
        <v>706</v>
      </c>
      <c r="K146" s="287"/>
      <c r="L146" s="287"/>
      <c r="M146" s="287">
        <v>4350</v>
      </c>
      <c r="N146" s="287" t="s">
        <v>32</v>
      </c>
      <c r="O146" s="287" t="s">
        <v>43</v>
      </c>
      <c r="P146" s="287" t="s">
        <v>44</v>
      </c>
      <c r="Q146" s="287" t="s">
        <v>19</v>
      </c>
      <c r="R146" s="287" t="s">
        <v>20</v>
      </c>
      <c r="S146" s="292" t="s">
        <v>20</v>
      </c>
      <c r="T146" s="293"/>
      <c r="U146" s="294">
        <v>7587000</v>
      </c>
      <c r="V146" s="294">
        <v>4491300</v>
      </c>
      <c r="W146" s="295">
        <v>1455900</v>
      </c>
      <c r="X146" s="296"/>
      <c r="Y146" s="287" t="s">
        <v>25</v>
      </c>
      <c r="Z146" s="297" t="s">
        <v>28</v>
      </c>
      <c r="AA146" s="313"/>
      <c r="AB146" s="313"/>
      <c r="AC146" s="298">
        <f t="shared" si="6"/>
        <v>1400000</v>
      </c>
      <c r="AD146" s="298">
        <v>1400000</v>
      </c>
      <c r="AE146" s="298">
        <f t="shared" si="7"/>
        <v>0</v>
      </c>
      <c r="AF146" s="299"/>
      <c r="AG146" s="300"/>
      <c r="AH146" s="299"/>
      <c r="AI146" s="299"/>
      <c r="AJ146" s="300"/>
      <c r="AK146" s="299"/>
      <c r="AL146" s="301"/>
      <c r="AM146" s="314"/>
      <c r="AN146" s="301"/>
      <c r="AO146" s="302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>
        <v>1400000</v>
      </c>
      <c r="BF146" s="301"/>
      <c r="BG146" s="303"/>
      <c r="BH146" s="304"/>
    </row>
    <row r="147" spans="1:60" s="305" customFormat="1" ht="16.5" hidden="1" customHeight="1" x14ac:dyDescent="0.4">
      <c r="A147" s="285">
        <v>124</v>
      </c>
      <c r="B147" s="286"/>
      <c r="C147" s="286"/>
      <c r="D147" s="287" t="s">
        <v>92</v>
      </c>
      <c r="E147" s="287" t="s">
        <v>193</v>
      </c>
      <c r="F147" s="288" t="s">
        <v>92</v>
      </c>
      <c r="G147" s="289" t="s">
        <v>159</v>
      </c>
      <c r="H147" s="307"/>
      <c r="I147" s="290"/>
      <c r="J147" s="291" t="s">
        <v>74</v>
      </c>
      <c r="K147" s="287"/>
      <c r="L147" s="287"/>
      <c r="M147" s="287">
        <v>7997</v>
      </c>
      <c r="N147" s="287" t="s">
        <v>32</v>
      </c>
      <c r="O147" s="287" t="s">
        <v>43</v>
      </c>
      <c r="P147" s="287" t="s">
        <v>44</v>
      </c>
      <c r="Q147" s="287" t="s">
        <v>88</v>
      </c>
      <c r="R147" s="287" t="s">
        <v>341</v>
      </c>
      <c r="S147" s="292" t="s">
        <v>341</v>
      </c>
      <c r="T147" s="293"/>
      <c r="U147" s="294">
        <v>226363636</v>
      </c>
      <c r="V147" s="294">
        <v>225454545</v>
      </c>
      <c r="W147" s="295">
        <v>4720000</v>
      </c>
      <c r="X147" s="296"/>
      <c r="Y147" s="287" t="s">
        <v>56</v>
      </c>
      <c r="Z147" s="297" t="s">
        <v>56</v>
      </c>
      <c r="AA147" s="313"/>
      <c r="AB147" s="313"/>
      <c r="AC147" s="298">
        <f t="shared" si="6"/>
        <v>0</v>
      </c>
      <c r="AD147" s="298">
        <v>0</v>
      </c>
      <c r="AE147" s="298">
        <f t="shared" si="7"/>
        <v>0</v>
      </c>
      <c r="AF147" s="299"/>
      <c r="AG147" s="300"/>
      <c r="AH147" s="299"/>
      <c r="AI147" s="299"/>
      <c r="AJ147" s="300"/>
      <c r="AK147" s="299"/>
      <c r="AL147" s="301"/>
      <c r="AM147" s="314"/>
      <c r="AN147" s="301"/>
      <c r="AO147" s="302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>
        <v>0</v>
      </c>
      <c r="BF147" s="301"/>
      <c r="BG147" s="303"/>
      <c r="BH147" s="304"/>
    </row>
    <row r="148" spans="1:60" s="305" customFormat="1" ht="16.5" hidden="1" customHeight="1" x14ac:dyDescent="0.4">
      <c r="A148" s="285">
        <v>125</v>
      </c>
      <c r="B148" s="286"/>
      <c r="C148" s="286"/>
      <c r="D148" s="287" t="s">
        <v>92</v>
      </c>
      <c r="E148" s="287" t="s">
        <v>193</v>
      </c>
      <c r="F148" s="288" t="s">
        <v>92</v>
      </c>
      <c r="G148" s="289" t="s">
        <v>159</v>
      </c>
      <c r="H148" s="307"/>
      <c r="I148" s="290"/>
      <c r="J148" s="291" t="s">
        <v>74</v>
      </c>
      <c r="K148" s="287"/>
      <c r="L148" s="287"/>
      <c r="M148" s="287">
        <v>7997</v>
      </c>
      <c r="N148" s="287" t="s">
        <v>32</v>
      </c>
      <c r="O148" s="287" t="s">
        <v>33</v>
      </c>
      <c r="P148" s="287" t="s">
        <v>44</v>
      </c>
      <c r="Q148" s="287" t="s">
        <v>42</v>
      </c>
      <c r="R148" s="287" t="s">
        <v>341</v>
      </c>
      <c r="S148" s="292" t="s">
        <v>341</v>
      </c>
      <c r="T148" s="293"/>
      <c r="U148" s="294">
        <v>20800000</v>
      </c>
      <c r="V148" s="294">
        <v>12800000</v>
      </c>
      <c r="W148" s="295">
        <v>0</v>
      </c>
      <c r="X148" s="296"/>
      <c r="Y148" s="287" t="s">
        <v>28</v>
      </c>
      <c r="Z148" s="297" t="s">
        <v>656</v>
      </c>
      <c r="AA148" s="313"/>
      <c r="AB148" s="313"/>
      <c r="AC148" s="298">
        <f t="shared" si="6"/>
        <v>0</v>
      </c>
      <c r="AD148" s="298">
        <v>0</v>
      </c>
      <c r="AE148" s="298">
        <f t="shared" si="7"/>
        <v>0</v>
      </c>
      <c r="AF148" s="299"/>
      <c r="AG148" s="300"/>
      <c r="AH148" s="299"/>
      <c r="AI148" s="299"/>
      <c r="AJ148" s="300"/>
      <c r="AK148" s="299"/>
      <c r="AL148" s="301"/>
      <c r="AM148" s="314"/>
      <c r="AN148" s="301"/>
      <c r="AO148" s="302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>
        <v>0</v>
      </c>
      <c r="BF148" s="301"/>
      <c r="BG148" s="303"/>
      <c r="BH148" s="304"/>
    </row>
    <row r="149" spans="1:60" s="305" customFormat="1" ht="16.5" hidden="1" customHeight="1" x14ac:dyDescent="0.4">
      <c r="A149" s="285">
        <v>126</v>
      </c>
      <c r="B149" s="286"/>
      <c r="C149" s="286"/>
      <c r="D149" s="287" t="s">
        <v>92</v>
      </c>
      <c r="E149" s="287" t="s">
        <v>193</v>
      </c>
      <c r="F149" s="288" t="s">
        <v>92</v>
      </c>
      <c r="G149" s="289" t="s">
        <v>159</v>
      </c>
      <c r="H149" s="307"/>
      <c r="I149" s="290"/>
      <c r="J149" s="291" t="s">
        <v>74</v>
      </c>
      <c r="K149" s="287"/>
      <c r="L149" s="287"/>
      <c r="M149" s="287">
        <v>7997</v>
      </c>
      <c r="N149" s="287" t="s">
        <v>32</v>
      </c>
      <c r="O149" s="287" t="s">
        <v>33</v>
      </c>
      <c r="P149" s="287" t="s">
        <v>44</v>
      </c>
      <c r="Q149" s="287" t="s">
        <v>39</v>
      </c>
      <c r="R149" s="287" t="s">
        <v>338</v>
      </c>
      <c r="S149" s="292" t="s">
        <v>753</v>
      </c>
      <c r="T149" s="293"/>
      <c r="U149" s="294">
        <v>113090909</v>
      </c>
      <c r="V149" s="294">
        <v>0</v>
      </c>
      <c r="W149" s="295"/>
      <c r="X149" s="296"/>
      <c r="Y149" s="287" t="s">
        <v>22</v>
      </c>
      <c r="Z149" s="297" t="s">
        <v>22</v>
      </c>
      <c r="AA149" s="313"/>
      <c r="AB149" s="313"/>
      <c r="AC149" s="298">
        <f t="shared" si="6"/>
        <v>0</v>
      </c>
      <c r="AD149" s="298">
        <v>0</v>
      </c>
      <c r="AE149" s="298">
        <f t="shared" si="7"/>
        <v>0</v>
      </c>
      <c r="AF149" s="299"/>
      <c r="AG149" s="300"/>
      <c r="AH149" s="299"/>
      <c r="AI149" s="299"/>
      <c r="AJ149" s="300"/>
      <c r="AK149" s="299"/>
      <c r="AL149" s="301"/>
      <c r="AM149" s="314"/>
      <c r="AN149" s="301"/>
      <c r="AO149" s="302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>
        <v>0</v>
      </c>
      <c r="BF149" s="301"/>
      <c r="BG149" s="303"/>
      <c r="BH149" s="304"/>
    </row>
    <row r="150" spans="1:60" s="305" customFormat="1" ht="16.5" hidden="1" customHeight="1" x14ac:dyDescent="0.4">
      <c r="A150" s="285">
        <v>127</v>
      </c>
      <c r="B150" s="286"/>
      <c r="C150" s="286"/>
      <c r="D150" s="287" t="s">
        <v>137</v>
      </c>
      <c r="E150" s="287" t="s">
        <v>159</v>
      </c>
      <c r="F150" s="288" t="s">
        <v>92</v>
      </c>
      <c r="G150" s="289" t="s">
        <v>159</v>
      </c>
      <c r="H150" s="307"/>
      <c r="I150" s="290"/>
      <c r="J150" s="291" t="s">
        <v>708</v>
      </c>
      <c r="K150" s="287"/>
      <c r="L150" s="287"/>
      <c r="M150" s="287">
        <v>3692</v>
      </c>
      <c r="N150" s="287" t="s">
        <v>32</v>
      </c>
      <c r="O150" s="287" t="s">
        <v>33</v>
      </c>
      <c r="P150" s="287" t="s">
        <v>93</v>
      </c>
      <c r="Q150" s="287"/>
      <c r="R150" s="287" t="s">
        <v>31</v>
      </c>
      <c r="S150" s="292" t="s">
        <v>31</v>
      </c>
      <c r="T150" s="293"/>
      <c r="U150" s="294"/>
      <c r="V150" s="294">
        <v>0</v>
      </c>
      <c r="W150" s="295"/>
      <c r="X150" s="296"/>
      <c r="Y150" s="287" t="s">
        <v>26</v>
      </c>
      <c r="Z150" s="297" t="s">
        <v>26</v>
      </c>
      <c r="AA150" s="313"/>
      <c r="AB150" s="313"/>
      <c r="AC150" s="298">
        <f t="shared" si="6"/>
        <v>12000000</v>
      </c>
      <c r="AD150" s="298">
        <v>12000000</v>
      </c>
      <c r="AE150" s="298">
        <f t="shared" si="7"/>
        <v>0</v>
      </c>
      <c r="AF150" s="299"/>
      <c r="AG150" s="300"/>
      <c r="AH150" s="299"/>
      <c r="AI150" s="299"/>
      <c r="AJ150" s="300"/>
      <c r="AK150" s="299"/>
      <c r="AL150" s="301"/>
      <c r="AM150" s="314"/>
      <c r="AN150" s="301"/>
      <c r="AO150" s="302"/>
      <c r="AP150" s="301"/>
      <c r="AQ150" s="316">
        <v>3000000</v>
      </c>
      <c r="AR150" s="301"/>
      <c r="AS150" s="301">
        <v>3000000</v>
      </c>
      <c r="AT150" s="301"/>
      <c r="AU150" s="301"/>
      <c r="AV150" s="301"/>
      <c r="AW150" s="301"/>
      <c r="AX150" s="301"/>
      <c r="AY150" s="301">
        <v>3000000</v>
      </c>
      <c r="AZ150" s="301"/>
      <c r="BA150" s="301"/>
      <c r="BB150" s="301"/>
      <c r="BC150" s="301"/>
      <c r="BD150" s="301"/>
      <c r="BE150" s="301">
        <v>3000000</v>
      </c>
      <c r="BF150" s="301"/>
      <c r="BG150" s="303"/>
      <c r="BH150" s="304"/>
    </row>
    <row r="151" spans="1:60" s="305" customFormat="1" ht="16.5" hidden="1" customHeight="1" x14ac:dyDescent="0.4">
      <c r="A151" s="285">
        <v>128</v>
      </c>
      <c r="B151" s="286"/>
      <c r="C151" s="286"/>
      <c r="D151" s="287" t="s">
        <v>137</v>
      </c>
      <c r="E151" s="287" t="s">
        <v>159</v>
      </c>
      <c r="F151" s="288" t="s">
        <v>92</v>
      </c>
      <c r="G151" s="289" t="s">
        <v>159</v>
      </c>
      <c r="H151" s="307"/>
      <c r="I151" s="290"/>
      <c r="J151" s="291" t="s">
        <v>708</v>
      </c>
      <c r="K151" s="287"/>
      <c r="L151" s="287"/>
      <c r="M151" s="287">
        <v>3692</v>
      </c>
      <c r="N151" s="287" t="s">
        <v>32</v>
      </c>
      <c r="O151" s="287" t="s">
        <v>43</v>
      </c>
      <c r="P151" s="287" t="s">
        <v>93</v>
      </c>
      <c r="Q151" s="287" t="s">
        <v>36</v>
      </c>
      <c r="R151" s="287" t="s">
        <v>341</v>
      </c>
      <c r="S151" s="292" t="s">
        <v>341</v>
      </c>
      <c r="T151" s="293"/>
      <c r="U151" s="294">
        <v>18000000</v>
      </c>
      <c r="V151" s="294">
        <v>21636363.636363633</v>
      </c>
      <c r="W151" s="295">
        <v>18000000</v>
      </c>
      <c r="X151" s="296"/>
      <c r="Y151" s="287" t="s">
        <v>28</v>
      </c>
      <c r="Z151" s="297" t="s">
        <v>28</v>
      </c>
      <c r="AA151" s="313"/>
      <c r="AB151" s="313"/>
      <c r="AC151" s="298">
        <f t="shared" si="6"/>
        <v>10000000</v>
      </c>
      <c r="AD151" s="298">
        <v>10000000</v>
      </c>
      <c r="AE151" s="298">
        <f t="shared" si="7"/>
        <v>0</v>
      </c>
      <c r="AF151" s="299"/>
      <c r="AG151" s="300"/>
      <c r="AH151" s="299"/>
      <c r="AI151" s="299"/>
      <c r="AJ151" s="300"/>
      <c r="AK151" s="299"/>
      <c r="AL151" s="301"/>
      <c r="AM151" s="314"/>
      <c r="AN151" s="301"/>
      <c r="AO151" s="302">
        <v>10000000</v>
      </c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3"/>
      <c r="BH151" s="304"/>
    </row>
    <row r="152" spans="1:60" s="305" customFormat="1" ht="16.5" hidden="1" customHeight="1" x14ac:dyDescent="0.4">
      <c r="A152" s="285">
        <v>129</v>
      </c>
      <c r="B152" s="286"/>
      <c r="C152" s="286"/>
      <c r="D152" s="287" t="s">
        <v>137</v>
      </c>
      <c r="E152" s="287" t="s">
        <v>159</v>
      </c>
      <c r="F152" s="288" t="s">
        <v>92</v>
      </c>
      <c r="G152" s="289" t="s">
        <v>159</v>
      </c>
      <c r="H152" s="307"/>
      <c r="I152" s="290"/>
      <c r="J152" s="291" t="s">
        <v>708</v>
      </c>
      <c r="K152" s="287"/>
      <c r="L152" s="287"/>
      <c r="M152" s="287">
        <v>3692</v>
      </c>
      <c r="N152" s="287" t="s">
        <v>32</v>
      </c>
      <c r="O152" s="287" t="s">
        <v>33</v>
      </c>
      <c r="P152" s="287" t="s">
        <v>93</v>
      </c>
      <c r="Q152" s="287"/>
      <c r="R152" s="287" t="s">
        <v>342</v>
      </c>
      <c r="S152" s="292" t="s">
        <v>741</v>
      </c>
      <c r="T152" s="293"/>
      <c r="U152" s="294"/>
      <c r="V152" s="294"/>
      <c r="W152" s="295"/>
      <c r="X152" s="296"/>
      <c r="Y152" s="287" t="s">
        <v>26</v>
      </c>
      <c r="Z152" s="297" t="s">
        <v>544</v>
      </c>
      <c r="AA152" s="313"/>
      <c r="AB152" s="313"/>
      <c r="AC152" s="298">
        <f t="shared" ref="AC152:AC215" si="8">AG152+AJ152+AM152+AO152+AQ152+AS152+AU152+AW152+AY152+BA152+BC152+BE152</f>
        <v>10000000</v>
      </c>
      <c r="AD152" s="298">
        <v>10000000</v>
      </c>
      <c r="AE152" s="298">
        <f t="shared" ref="AE152:AE215" si="9">AC152-AD152</f>
        <v>0</v>
      </c>
      <c r="AF152" s="299"/>
      <c r="AG152" s="300"/>
      <c r="AH152" s="299"/>
      <c r="AI152" s="299"/>
      <c r="AJ152" s="300"/>
      <c r="AK152" s="299"/>
      <c r="AL152" s="301"/>
      <c r="AM152" s="314"/>
      <c r="AN152" s="301"/>
      <c r="AO152" s="302"/>
      <c r="AP152" s="301"/>
      <c r="AQ152" s="301"/>
      <c r="AR152" s="301"/>
      <c r="AS152" s="301"/>
      <c r="AT152" s="301"/>
      <c r="AU152" s="301"/>
      <c r="AV152" s="301"/>
      <c r="AW152" s="301"/>
      <c r="AX152" s="301"/>
      <c r="AY152" s="301"/>
      <c r="AZ152" s="301"/>
      <c r="BA152" s="301"/>
      <c r="BB152" s="301"/>
      <c r="BC152" s="301"/>
      <c r="BD152" s="301"/>
      <c r="BE152" s="301">
        <v>10000000</v>
      </c>
      <c r="BF152" s="301"/>
      <c r="BG152" s="303"/>
      <c r="BH152" s="304"/>
    </row>
    <row r="153" spans="1:60" s="305" customFormat="1" ht="16.5" hidden="1" customHeight="1" x14ac:dyDescent="0.4">
      <c r="A153" s="285">
        <v>130</v>
      </c>
      <c r="B153" s="286"/>
      <c r="C153" s="286"/>
      <c r="D153" s="287" t="s">
        <v>137</v>
      </c>
      <c r="E153" s="287" t="s">
        <v>159</v>
      </c>
      <c r="F153" s="288" t="s">
        <v>92</v>
      </c>
      <c r="G153" s="289" t="s">
        <v>159</v>
      </c>
      <c r="H153" s="307"/>
      <c r="I153" s="290"/>
      <c r="J153" s="291" t="s">
        <v>708</v>
      </c>
      <c r="K153" s="287"/>
      <c r="L153" s="287"/>
      <c r="M153" s="287">
        <v>3692</v>
      </c>
      <c r="N153" s="287" t="s">
        <v>32</v>
      </c>
      <c r="O153" s="287" t="s">
        <v>33</v>
      </c>
      <c r="P153" s="287" t="s">
        <v>93</v>
      </c>
      <c r="Q153" s="287"/>
      <c r="R153" s="287" t="s">
        <v>345</v>
      </c>
      <c r="S153" s="292" t="s">
        <v>742</v>
      </c>
      <c r="T153" s="293"/>
      <c r="U153" s="294"/>
      <c r="V153" s="294"/>
      <c r="W153" s="295"/>
      <c r="X153" s="296"/>
      <c r="Y153" s="287" t="s">
        <v>26</v>
      </c>
      <c r="Z153" s="297" t="s">
        <v>544</v>
      </c>
      <c r="AA153" s="313"/>
      <c r="AB153" s="313"/>
      <c r="AC153" s="298">
        <f t="shared" si="8"/>
        <v>10000000</v>
      </c>
      <c r="AD153" s="298">
        <v>10000000</v>
      </c>
      <c r="AE153" s="298">
        <f t="shared" si="9"/>
        <v>0</v>
      </c>
      <c r="AF153" s="299"/>
      <c r="AG153" s="300"/>
      <c r="AH153" s="299"/>
      <c r="AI153" s="299"/>
      <c r="AJ153" s="300"/>
      <c r="AK153" s="299"/>
      <c r="AL153" s="301"/>
      <c r="AM153" s="314"/>
      <c r="AN153" s="301"/>
      <c r="AO153" s="302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>
        <v>10000000</v>
      </c>
      <c r="BF153" s="301"/>
      <c r="BG153" s="303"/>
      <c r="BH153" s="304"/>
    </row>
    <row r="154" spans="1:60" s="305" customFormat="1" ht="16.5" hidden="1" customHeight="1" x14ac:dyDescent="0.4">
      <c r="A154" s="285">
        <v>131</v>
      </c>
      <c r="B154" s="286"/>
      <c r="C154" s="286"/>
      <c r="D154" s="287" t="s">
        <v>92</v>
      </c>
      <c r="E154" s="287" t="s">
        <v>184</v>
      </c>
      <c r="F154" s="288" t="s">
        <v>92</v>
      </c>
      <c r="G154" s="289" t="s">
        <v>159</v>
      </c>
      <c r="H154" s="307"/>
      <c r="I154" s="290"/>
      <c r="J154" s="291" t="s">
        <v>89</v>
      </c>
      <c r="K154" s="287"/>
      <c r="L154" s="287"/>
      <c r="M154" s="287">
        <v>1586</v>
      </c>
      <c r="N154" s="287" t="s">
        <v>32</v>
      </c>
      <c r="O154" s="287" t="s">
        <v>33</v>
      </c>
      <c r="P154" s="287" t="s">
        <v>98</v>
      </c>
      <c r="Q154" s="287" t="s">
        <v>49</v>
      </c>
      <c r="R154" s="287" t="s">
        <v>29</v>
      </c>
      <c r="S154" s="292" t="s">
        <v>29</v>
      </c>
      <c r="T154" s="293"/>
      <c r="U154" s="294">
        <v>417165106</v>
      </c>
      <c r="V154" s="294">
        <v>422715540</v>
      </c>
      <c r="W154" s="295"/>
      <c r="X154" s="296"/>
      <c r="Y154" s="287" t="s">
        <v>56</v>
      </c>
      <c r="Z154" s="297" t="s">
        <v>56</v>
      </c>
      <c r="AA154" s="313"/>
      <c r="AB154" s="313"/>
      <c r="AC154" s="298">
        <f t="shared" si="8"/>
        <v>275000000</v>
      </c>
      <c r="AD154" s="298">
        <v>275000000</v>
      </c>
      <c r="AE154" s="298">
        <f t="shared" si="9"/>
        <v>0</v>
      </c>
      <c r="AF154" s="299"/>
      <c r="AG154" s="300"/>
      <c r="AH154" s="299"/>
      <c r="AI154" s="299">
        <v>60000000</v>
      </c>
      <c r="AJ154" s="300"/>
      <c r="AK154" s="299"/>
      <c r="AL154" s="301">
        <v>30000000</v>
      </c>
      <c r="AM154" s="314"/>
      <c r="AN154" s="301"/>
      <c r="AO154" s="302">
        <v>30000000</v>
      </c>
      <c r="AP154" s="301"/>
      <c r="AQ154" s="301">
        <v>30000000</v>
      </c>
      <c r="AR154" s="301"/>
      <c r="AS154" s="301">
        <v>30000000</v>
      </c>
      <c r="AT154" s="301"/>
      <c r="AU154" s="301">
        <v>30000000</v>
      </c>
      <c r="AV154" s="301"/>
      <c r="AW154" s="301">
        <v>30000000</v>
      </c>
      <c r="AX154" s="301"/>
      <c r="AY154" s="301">
        <v>30000000</v>
      </c>
      <c r="AZ154" s="301"/>
      <c r="BA154" s="301">
        <v>30000000</v>
      </c>
      <c r="BB154" s="301"/>
      <c r="BC154" s="301">
        <v>30000000</v>
      </c>
      <c r="BD154" s="301"/>
      <c r="BE154" s="301">
        <v>35000000</v>
      </c>
      <c r="BF154" s="301"/>
      <c r="BG154" s="303"/>
      <c r="BH154" s="304"/>
    </row>
    <row r="155" spans="1:60" s="305" customFormat="1" ht="16.5" hidden="1" customHeight="1" x14ac:dyDescent="0.4">
      <c r="A155" s="285">
        <v>132</v>
      </c>
      <c r="B155" s="286"/>
      <c r="C155" s="286"/>
      <c r="D155" s="287" t="s">
        <v>92</v>
      </c>
      <c r="E155" s="287" t="s">
        <v>184</v>
      </c>
      <c r="F155" s="288" t="s">
        <v>92</v>
      </c>
      <c r="G155" s="289" t="s">
        <v>159</v>
      </c>
      <c r="H155" s="307"/>
      <c r="I155" s="290"/>
      <c r="J155" s="291" t="s">
        <v>89</v>
      </c>
      <c r="K155" s="287"/>
      <c r="L155" s="287"/>
      <c r="M155" s="287">
        <v>1586</v>
      </c>
      <c r="N155" s="287" t="s">
        <v>32</v>
      </c>
      <c r="O155" s="287" t="s">
        <v>43</v>
      </c>
      <c r="P155" s="287" t="s">
        <v>98</v>
      </c>
      <c r="Q155" s="287"/>
      <c r="R155" s="287" t="s">
        <v>20</v>
      </c>
      <c r="S155" s="292" t="s">
        <v>20</v>
      </c>
      <c r="T155" s="293"/>
      <c r="U155" s="294"/>
      <c r="V155" s="294"/>
      <c r="W155" s="295">
        <v>4563000</v>
      </c>
      <c r="X155" s="296"/>
      <c r="Y155" s="287" t="s">
        <v>28</v>
      </c>
      <c r="Z155" s="297" t="s">
        <v>618</v>
      </c>
      <c r="AA155" s="313"/>
      <c r="AB155" s="313"/>
      <c r="AC155" s="298">
        <f t="shared" si="8"/>
        <v>0</v>
      </c>
      <c r="AD155" s="298">
        <v>0</v>
      </c>
      <c r="AE155" s="298">
        <f t="shared" si="9"/>
        <v>0</v>
      </c>
      <c r="AF155" s="299"/>
      <c r="AG155" s="300"/>
      <c r="AH155" s="299"/>
      <c r="AI155" s="299"/>
      <c r="AJ155" s="300"/>
      <c r="AK155" s="299"/>
      <c r="AL155" s="301"/>
      <c r="AM155" s="314"/>
      <c r="AN155" s="301"/>
      <c r="AO155" s="302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3"/>
      <c r="BH155" s="304"/>
    </row>
    <row r="156" spans="1:60" s="305" customFormat="1" ht="16.5" hidden="1" customHeight="1" x14ac:dyDescent="0.4">
      <c r="A156" s="285">
        <v>133</v>
      </c>
      <c r="B156" s="286"/>
      <c r="C156" s="286"/>
      <c r="D156" s="287" t="s">
        <v>92</v>
      </c>
      <c r="E156" s="287" t="s">
        <v>184</v>
      </c>
      <c r="F156" s="288" t="s">
        <v>92</v>
      </c>
      <c r="G156" s="289" t="s">
        <v>159</v>
      </c>
      <c r="H156" s="307"/>
      <c r="I156" s="290"/>
      <c r="J156" s="291" t="s">
        <v>89</v>
      </c>
      <c r="K156" s="287"/>
      <c r="L156" s="287"/>
      <c r="M156" s="287">
        <v>1586</v>
      </c>
      <c r="N156" s="287" t="s">
        <v>32</v>
      </c>
      <c r="O156" s="287" t="s">
        <v>33</v>
      </c>
      <c r="P156" s="287" t="s">
        <v>98</v>
      </c>
      <c r="Q156" s="287" t="s">
        <v>27</v>
      </c>
      <c r="R156" s="287" t="s">
        <v>340</v>
      </c>
      <c r="S156" s="292" t="s">
        <v>340</v>
      </c>
      <c r="T156" s="293"/>
      <c r="U156" s="294">
        <v>16000000</v>
      </c>
      <c r="V156" s="294">
        <v>17600000</v>
      </c>
      <c r="W156" s="295"/>
      <c r="X156" s="296"/>
      <c r="Y156" s="287" t="s">
        <v>544</v>
      </c>
      <c r="Z156" s="297" t="s">
        <v>544</v>
      </c>
      <c r="AA156" s="313"/>
      <c r="AB156" s="313"/>
      <c r="AC156" s="298">
        <f t="shared" si="8"/>
        <v>0</v>
      </c>
      <c r="AD156" s="298">
        <v>0</v>
      </c>
      <c r="AE156" s="298">
        <f t="shared" si="9"/>
        <v>0</v>
      </c>
      <c r="AF156" s="299"/>
      <c r="AG156" s="300"/>
      <c r="AH156" s="299"/>
      <c r="AI156" s="299"/>
      <c r="AJ156" s="300"/>
      <c r="AK156" s="299"/>
      <c r="AL156" s="301">
        <v>100000000</v>
      </c>
      <c r="AM156" s="314"/>
      <c r="AN156" s="301"/>
      <c r="AO156" s="302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3"/>
      <c r="BH156" s="304"/>
    </row>
    <row r="157" spans="1:60" s="305" customFormat="1" ht="16.5" hidden="1" customHeight="1" x14ac:dyDescent="0.4">
      <c r="A157" s="285">
        <v>134</v>
      </c>
      <c r="B157" s="286"/>
      <c r="C157" s="286"/>
      <c r="D157" s="287" t="s">
        <v>92</v>
      </c>
      <c r="E157" s="287" t="s">
        <v>184</v>
      </c>
      <c r="F157" s="288" t="s">
        <v>92</v>
      </c>
      <c r="G157" s="289" t="s">
        <v>159</v>
      </c>
      <c r="H157" s="307"/>
      <c r="I157" s="290"/>
      <c r="J157" s="291" t="s">
        <v>89</v>
      </c>
      <c r="K157" s="287"/>
      <c r="L157" s="287"/>
      <c r="M157" s="287">
        <v>1586</v>
      </c>
      <c r="N157" s="287" t="s">
        <v>32</v>
      </c>
      <c r="O157" s="287" t="s">
        <v>43</v>
      </c>
      <c r="P157" s="287" t="s">
        <v>98</v>
      </c>
      <c r="Q157" s="287"/>
      <c r="R157" s="287" t="s">
        <v>349</v>
      </c>
      <c r="S157" s="292" t="s">
        <v>349</v>
      </c>
      <c r="T157" s="293"/>
      <c r="U157" s="294"/>
      <c r="V157" s="294"/>
      <c r="W157" s="295">
        <v>6010000</v>
      </c>
      <c r="X157" s="296"/>
      <c r="Y157" s="287" t="s">
        <v>28</v>
      </c>
      <c r="Z157" s="297" t="s">
        <v>56</v>
      </c>
      <c r="AA157" s="313"/>
      <c r="AB157" s="313"/>
      <c r="AC157" s="298">
        <f t="shared" si="8"/>
        <v>6000000</v>
      </c>
      <c r="AD157" s="298">
        <v>6000000</v>
      </c>
      <c r="AE157" s="298">
        <f t="shared" si="9"/>
        <v>0</v>
      </c>
      <c r="AF157" s="299"/>
      <c r="AG157" s="300"/>
      <c r="AH157" s="299"/>
      <c r="AI157" s="299"/>
      <c r="AJ157" s="300"/>
      <c r="AK157" s="299"/>
      <c r="AL157" s="301"/>
      <c r="AM157" s="314"/>
      <c r="AN157" s="301"/>
      <c r="AO157" s="302"/>
      <c r="AP157" s="301"/>
      <c r="AQ157" s="301">
        <v>2000000</v>
      </c>
      <c r="AR157" s="301"/>
      <c r="AS157" s="301">
        <v>2000000</v>
      </c>
      <c r="AT157" s="301"/>
      <c r="AU157" s="301">
        <v>2000000</v>
      </c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3"/>
      <c r="BH157" s="304"/>
    </row>
    <row r="158" spans="1:60" s="305" customFormat="1" ht="16.5" hidden="1" customHeight="1" x14ac:dyDescent="0.4">
      <c r="A158" s="285">
        <v>135</v>
      </c>
      <c r="B158" s="286"/>
      <c r="C158" s="286"/>
      <c r="D158" s="287" t="s">
        <v>92</v>
      </c>
      <c r="E158" s="287" t="s">
        <v>184</v>
      </c>
      <c r="F158" s="288" t="s">
        <v>92</v>
      </c>
      <c r="G158" s="289" t="s">
        <v>159</v>
      </c>
      <c r="H158" s="307"/>
      <c r="I158" s="290"/>
      <c r="J158" s="291" t="s">
        <v>89</v>
      </c>
      <c r="K158" s="287"/>
      <c r="L158" s="287"/>
      <c r="M158" s="287">
        <v>1586</v>
      </c>
      <c r="N158" s="287" t="s">
        <v>32</v>
      </c>
      <c r="O158" s="287" t="s">
        <v>33</v>
      </c>
      <c r="P158" s="287" t="s">
        <v>98</v>
      </c>
      <c r="Q158" s="287" t="s">
        <v>24</v>
      </c>
      <c r="R158" s="287" t="s">
        <v>221</v>
      </c>
      <c r="S158" s="292" t="s">
        <v>745</v>
      </c>
      <c r="T158" s="293"/>
      <c r="U158" s="294">
        <v>19200000</v>
      </c>
      <c r="V158" s="294">
        <v>0</v>
      </c>
      <c r="W158" s="295"/>
      <c r="X158" s="296"/>
      <c r="Y158" s="287" t="s">
        <v>544</v>
      </c>
      <c r="Z158" s="297" t="s">
        <v>544</v>
      </c>
      <c r="AA158" s="313"/>
      <c r="AB158" s="313"/>
      <c r="AC158" s="298">
        <f t="shared" si="8"/>
        <v>10000000</v>
      </c>
      <c r="AD158" s="298">
        <v>10000000</v>
      </c>
      <c r="AE158" s="298">
        <f t="shared" si="9"/>
        <v>0</v>
      </c>
      <c r="AF158" s="299"/>
      <c r="AG158" s="300"/>
      <c r="AH158" s="299"/>
      <c r="AI158" s="299"/>
      <c r="AJ158" s="300"/>
      <c r="AK158" s="299"/>
      <c r="AL158" s="301"/>
      <c r="AM158" s="314"/>
      <c r="AN158" s="301"/>
      <c r="AO158" s="302"/>
      <c r="AP158" s="301"/>
      <c r="AQ158" s="301"/>
      <c r="AR158" s="301"/>
      <c r="AS158" s="301"/>
      <c r="AT158" s="301"/>
      <c r="AU158" s="301"/>
      <c r="AV158" s="301"/>
      <c r="AW158" s="301">
        <v>10000000</v>
      </c>
      <c r="AX158" s="301"/>
      <c r="AY158" s="301"/>
      <c r="AZ158" s="301"/>
      <c r="BA158" s="301"/>
      <c r="BB158" s="301"/>
      <c r="BC158" s="301"/>
      <c r="BD158" s="301"/>
      <c r="BE158" s="301"/>
      <c r="BF158" s="301"/>
      <c r="BG158" s="303"/>
      <c r="BH158" s="304"/>
    </row>
    <row r="159" spans="1:60" s="305" customFormat="1" ht="16.5" hidden="1" customHeight="1" x14ac:dyDescent="0.4">
      <c r="A159" s="285">
        <v>136</v>
      </c>
      <c r="B159" s="286"/>
      <c r="C159" s="286"/>
      <c r="D159" s="287" t="s">
        <v>92</v>
      </c>
      <c r="E159" s="287" t="s">
        <v>102</v>
      </c>
      <c r="F159" s="288" t="s">
        <v>92</v>
      </c>
      <c r="G159" s="289" t="s">
        <v>159</v>
      </c>
      <c r="H159" s="307"/>
      <c r="I159" s="290"/>
      <c r="J159" s="291" t="s">
        <v>219</v>
      </c>
      <c r="K159" s="287"/>
      <c r="L159" s="287"/>
      <c r="M159" s="287">
        <v>4139</v>
      </c>
      <c r="N159" s="287" t="s">
        <v>32</v>
      </c>
      <c r="O159" s="287" t="s">
        <v>33</v>
      </c>
      <c r="P159" s="287" t="s">
        <v>44</v>
      </c>
      <c r="Q159" s="287" t="s">
        <v>19</v>
      </c>
      <c r="R159" s="287" t="s">
        <v>29</v>
      </c>
      <c r="S159" s="292" t="s">
        <v>29</v>
      </c>
      <c r="T159" s="293"/>
      <c r="U159" s="294"/>
      <c r="V159" s="294">
        <v>37521000</v>
      </c>
      <c r="W159" s="295">
        <v>99580000</v>
      </c>
      <c r="X159" s="296"/>
      <c r="Y159" s="287" t="s">
        <v>28</v>
      </c>
      <c r="Z159" s="297" t="s">
        <v>28</v>
      </c>
      <c r="AA159" s="313"/>
      <c r="AB159" s="313"/>
      <c r="AC159" s="298">
        <f t="shared" si="8"/>
        <v>98000000</v>
      </c>
      <c r="AD159" s="298">
        <v>98000000</v>
      </c>
      <c r="AE159" s="298">
        <f t="shared" si="9"/>
        <v>0</v>
      </c>
      <c r="AF159" s="299"/>
      <c r="AG159" s="300"/>
      <c r="AH159" s="299"/>
      <c r="AI159" s="299"/>
      <c r="AJ159" s="300"/>
      <c r="AK159" s="299"/>
      <c r="AL159" s="301"/>
      <c r="AM159" s="314"/>
      <c r="AN159" s="301"/>
      <c r="AO159" s="302"/>
      <c r="AP159" s="301"/>
      <c r="AQ159" s="301"/>
      <c r="AR159" s="301"/>
      <c r="AS159" s="301">
        <v>36000000</v>
      </c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>
        <v>62000000</v>
      </c>
      <c r="BF159" s="301"/>
      <c r="BG159" s="303"/>
      <c r="BH159" s="304"/>
    </row>
    <row r="160" spans="1:60" s="305" customFormat="1" ht="16.5" hidden="1" customHeight="1" x14ac:dyDescent="0.4">
      <c r="A160" s="285">
        <v>137</v>
      </c>
      <c r="B160" s="286"/>
      <c r="C160" s="286"/>
      <c r="D160" s="287" t="s">
        <v>92</v>
      </c>
      <c r="E160" s="287" t="s">
        <v>102</v>
      </c>
      <c r="F160" s="288" t="s">
        <v>92</v>
      </c>
      <c r="G160" s="289" t="s">
        <v>159</v>
      </c>
      <c r="H160" s="307"/>
      <c r="I160" s="290"/>
      <c r="J160" s="291" t="s">
        <v>219</v>
      </c>
      <c r="K160" s="287"/>
      <c r="L160" s="287"/>
      <c r="M160" s="287">
        <v>4139</v>
      </c>
      <c r="N160" s="287" t="s">
        <v>32</v>
      </c>
      <c r="O160" s="287" t="s">
        <v>33</v>
      </c>
      <c r="P160" s="287" t="s">
        <v>44</v>
      </c>
      <c r="Q160" s="287" t="s">
        <v>220</v>
      </c>
      <c r="R160" s="287" t="s">
        <v>161</v>
      </c>
      <c r="S160" s="292" t="s">
        <v>29</v>
      </c>
      <c r="T160" s="293"/>
      <c r="U160" s="294">
        <v>2240818</v>
      </c>
      <c r="V160" s="294">
        <v>0</v>
      </c>
      <c r="W160" s="295">
        <v>0</v>
      </c>
      <c r="X160" s="296"/>
      <c r="Y160" s="287" t="s">
        <v>22</v>
      </c>
      <c r="Z160" s="297" t="s">
        <v>544</v>
      </c>
      <c r="AA160" s="313"/>
      <c r="AB160" s="313"/>
      <c r="AC160" s="298">
        <f t="shared" si="8"/>
        <v>0</v>
      </c>
      <c r="AD160" s="298">
        <v>0</v>
      </c>
      <c r="AE160" s="298">
        <f t="shared" si="9"/>
        <v>0</v>
      </c>
      <c r="AF160" s="299"/>
      <c r="AG160" s="300"/>
      <c r="AH160" s="299"/>
      <c r="AI160" s="299"/>
      <c r="AJ160" s="300"/>
      <c r="AK160" s="299"/>
      <c r="AL160" s="301"/>
      <c r="AM160" s="314"/>
      <c r="AN160" s="301"/>
      <c r="AO160" s="302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3"/>
      <c r="BH160" s="304"/>
    </row>
    <row r="161" spans="1:60" s="305" customFormat="1" ht="16.5" hidden="1" customHeight="1" x14ac:dyDescent="0.4">
      <c r="A161" s="285">
        <v>138</v>
      </c>
      <c r="B161" s="286"/>
      <c r="C161" s="286"/>
      <c r="D161" s="287" t="s">
        <v>92</v>
      </c>
      <c r="E161" s="287" t="s">
        <v>102</v>
      </c>
      <c r="F161" s="288" t="s">
        <v>92</v>
      </c>
      <c r="G161" s="289" t="s">
        <v>159</v>
      </c>
      <c r="H161" s="307"/>
      <c r="I161" s="290"/>
      <c r="J161" s="291" t="s">
        <v>219</v>
      </c>
      <c r="K161" s="287"/>
      <c r="L161" s="287"/>
      <c r="M161" s="287">
        <v>4139</v>
      </c>
      <c r="N161" s="287" t="s">
        <v>32</v>
      </c>
      <c r="O161" s="287" t="s">
        <v>43</v>
      </c>
      <c r="P161" s="287" t="s">
        <v>44</v>
      </c>
      <c r="Q161" s="287" t="s">
        <v>37</v>
      </c>
      <c r="R161" s="287" t="s">
        <v>38</v>
      </c>
      <c r="S161" s="292" t="s">
        <v>38</v>
      </c>
      <c r="T161" s="293"/>
      <c r="U161" s="294">
        <v>91750000</v>
      </c>
      <c r="V161" s="294">
        <v>60625000</v>
      </c>
      <c r="W161" s="295"/>
      <c r="X161" s="296"/>
      <c r="Y161" s="287" t="s">
        <v>21</v>
      </c>
      <c r="Z161" s="297" t="s">
        <v>544</v>
      </c>
      <c r="AA161" s="313"/>
      <c r="AB161" s="313"/>
      <c r="AC161" s="298">
        <f t="shared" si="8"/>
        <v>0</v>
      </c>
      <c r="AD161" s="298">
        <v>0</v>
      </c>
      <c r="AE161" s="298">
        <f t="shared" si="9"/>
        <v>0</v>
      </c>
      <c r="AF161" s="299"/>
      <c r="AG161" s="300"/>
      <c r="AH161" s="299"/>
      <c r="AI161" s="299"/>
      <c r="AJ161" s="300"/>
      <c r="AK161" s="299"/>
      <c r="AL161" s="301"/>
      <c r="AM161" s="314"/>
      <c r="AN161" s="301"/>
      <c r="AO161" s="302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3"/>
      <c r="BH161" s="304"/>
    </row>
    <row r="162" spans="1:60" s="305" customFormat="1" ht="16.5" hidden="1" customHeight="1" x14ac:dyDescent="0.4">
      <c r="A162" s="285">
        <v>139</v>
      </c>
      <c r="B162" s="286"/>
      <c r="C162" s="286"/>
      <c r="D162" s="287" t="s">
        <v>92</v>
      </c>
      <c r="E162" s="287" t="s">
        <v>102</v>
      </c>
      <c r="F162" s="288" t="s">
        <v>92</v>
      </c>
      <c r="G162" s="289" t="s">
        <v>159</v>
      </c>
      <c r="H162" s="307"/>
      <c r="I162" s="290"/>
      <c r="J162" s="291" t="s">
        <v>219</v>
      </c>
      <c r="K162" s="287"/>
      <c r="L162" s="287"/>
      <c r="M162" s="287">
        <v>4139</v>
      </c>
      <c r="N162" s="287" t="s">
        <v>32</v>
      </c>
      <c r="O162" s="287" t="s">
        <v>43</v>
      </c>
      <c r="P162" s="287" t="s">
        <v>44</v>
      </c>
      <c r="Q162" s="287" t="s">
        <v>27</v>
      </c>
      <c r="R162" s="287" t="s">
        <v>340</v>
      </c>
      <c r="S162" s="292" t="s">
        <v>340</v>
      </c>
      <c r="T162" s="293"/>
      <c r="U162" s="294">
        <v>17450000</v>
      </c>
      <c r="V162" s="294">
        <v>25015000</v>
      </c>
      <c r="W162" s="295"/>
      <c r="X162" s="296"/>
      <c r="Y162" s="287" t="s">
        <v>25</v>
      </c>
      <c r="Z162" s="297" t="s">
        <v>544</v>
      </c>
      <c r="AA162" s="313"/>
      <c r="AB162" s="313"/>
      <c r="AC162" s="298">
        <f t="shared" si="8"/>
        <v>30000000</v>
      </c>
      <c r="AD162" s="298">
        <v>30000000</v>
      </c>
      <c r="AE162" s="298">
        <f t="shared" si="9"/>
        <v>0</v>
      </c>
      <c r="AF162" s="299"/>
      <c r="AG162" s="300"/>
      <c r="AH162" s="299"/>
      <c r="AI162" s="299"/>
      <c r="AJ162" s="300"/>
      <c r="AK162" s="299"/>
      <c r="AL162" s="301"/>
      <c r="AM162" s="314"/>
      <c r="AN162" s="301"/>
      <c r="AO162" s="302">
        <v>10000000</v>
      </c>
      <c r="AP162" s="301"/>
      <c r="AQ162" s="301"/>
      <c r="AR162" s="301"/>
      <c r="AS162" s="301"/>
      <c r="AT162" s="301"/>
      <c r="AU162" s="301">
        <v>20000000</v>
      </c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3"/>
      <c r="BH162" s="304"/>
    </row>
    <row r="163" spans="1:60" s="305" customFormat="1" ht="16.5" hidden="1" customHeight="1" x14ac:dyDescent="0.4">
      <c r="A163" s="285">
        <v>140</v>
      </c>
      <c r="B163" s="286"/>
      <c r="C163" s="286"/>
      <c r="D163" s="287" t="s">
        <v>92</v>
      </c>
      <c r="E163" s="287" t="s">
        <v>102</v>
      </c>
      <c r="F163" s="288" t="s">
        <v>92</v>
      </c>
      <c r="G163" s="289" t="s">
        <v>159</v>
      </c>
      <c r="H163" s="307"/>
      <c r="I163" s="290"/>
      <c r="J163" s="291" t="s">
        <v>219</v>
      </c>
      <c r="K163" s="287"/>
      <c r="L163" s="287"/>
      <c r="M163" s="287">
        <v>4139</v>
      </c>
      <c r="N163" s="287" t="s">
        <v>32</v>
      </c>
      <c r="O163" s="287" t="s">
        <v>33</v>
      </c>
      <c r="P163" s="287" t="s">
        <v>44</v>
      </c>
      <c r="Q163" s="287" t="s">
        <v>24</v>
      </c>
      <c r="R163" s="287" t="s">
        <v>221</v>
      </c>
      <c r="S163" s="292" t="s">
        <v>745</v>
      </c>
      <c r="T163" s="293"/>
      <c r="U163" s="294">
        <v>20000000</v>
      </c>
      <c r="V163" s="294">
        <v>0</v>
      </c>
      <c r="W163" s="295"/>
      <c r="X163" s="296"/>
      <c r="Y163" s="287" t="s">
        <v>22</v>
      </c>
      <c r="Z163" s="297" t="s">
        <v>544</v>
      </c>
      <c r="AA163" s="313"/>
      <c r="AB163" s="313"/>
      <c r="AC163" s="298">
        <f t="shared" si="8"/>
        <v>20000000</v>
      </c>
      <c r="AD163" s="298">
        <v>20000000</v>
      </c>
      <c r="AE163" s="298">
        <f t="shared" si="9"/>
        <v>0</v>
      </c>
      <c r="AF163" s="299"/>
      <c r="AG163" s="300"/>
      <c r="AH163" s="299"/>
      <c r="AI163" s="299"/>
      <c r="AJ163" s="300"/>
      <c r="AK163" s="299"/>
      <c r="AL163" s="301"/>
      <c r="AM163" s="314"/>
      <c r="AN163" s="301"/>
      <c r="AO163" s="302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>
        <v>20000000</v>
      </c>
      <c r="BB163" s="301"/>
      <c r="BC163" s="301"/>
      <c r="BD163" s="301"/>
      <c r="BE163" s="301"/>
      <c r="BF163" s="301"/>
      <c r="BG163" s="303"/>
      <c r="BH163" s="304"/>
    </row>
    <row r="164" spans="1:60" s="305" customFormat="1" ht="16.5" hidden="1" customHeight="1" x14ac:dyDescent="0.4">
      <c r="A164" s="285">
        <v>141</v>
      </c>
      <c r="B164" s="286"/>
      <c r="C164" s="286"/>
      <c r="D164" s="287" t="s">
        <v>137</v>
      </c>
      <c r="E164" s="287" t="s">
        <v>159</v>
      </c>
      <c r="F164" s="288" t="s">
        <v>92</v>
      </c>
      <c r="G164" s="289" t="s">
        <v>159</v>
      </c>
      <c r="H164" s="307"/>
      <c r="I164" s="290"/>
      <c r="J164" s="291" t="s">
        <v>709</v>
      </c>
      <c r="K164" s="287"/>
      <c r="L164" s="287"/>
      <c r="M164" s="287">
        <v>14420</v>
      </c>
      <c r="N164" s="287" t="s">
        <v>23</v>
      </c>
      <c r="O164" s="287" t="s">
        <v>33</v>
      </c>
      <c r="P164" s="287" t="s">
        <v>98</v>
      </c>
      <c r="Q164" s="287"/>
      <c r="R164" s="287" t="s">
        <v>341</v>
      </c>
      <c r="S164" s="292" t="s">
        <v>341</v>
      </c>
      <c r="T164" s="293"/>
      <c r="U164" s="294">
        <v>0</v>
      </c>
      <c r="V164" s="294">
        <v>0</v>
      </c>
      <c r="W164" s="295"/>
      <c r="X164" s="296"/>
      <c r="Y164" s="287" t="s">
        <v>26</v>
      </c>
      <c r="Z164" s="297" t="s">
        <v>26</v>
      </c>
      <c r="AA164" s="313"/>
      <c r="AB164" s="313"/>
      <c r="AC164" s="298">
        <f t="shared" si="8"/>
        <v>10000000</v>
      </c>
      <c r="AD164" s="298">
        <v>10000000</v>
      </c>
      <c r="AE164" s="298">
        <f t="shared" si="9"/>
        <v>0</v>
      </c>
      <c r="AF164" s="299"/>
      <c r="AG164" s="300"/>
      <c r="AH164" s="299"/>
      <c r="AI164" s="299"/>
      <c r="AJ164" s="300"/>
      <c r="AK164" s="299"/>
      <c r="AL164" s="301"/>
      <c r="AM164" s="314"/>
      <c r="AN164" s="301"/>
      <c r="AO164" s="302"/>
      <c r="AP164" s="301"/>
      <c r="AQ164" s="301"/>
      <c r="AR164" s="301"/>
      <c r="AS164" s="301">
        <v>10000000</v>
      </c>
      <c r="AT164" s="301"/>
      <c r="AU164" s="301"/>
      <c r="AV164" s="301"/>
      <c r="AW164" s="301"/>
      <c r="AX164" s="301"/>
      <c r="AY164" s="301"/>
      <c r="AZ164" s="301"/>
      <c r="BA164" s="301"/>
      <c r="BB164" s="301"/>
      <c r="BC164" s="301"/>
      <c r="BD164" s="301"/>
      <c r="BE164" s="301"/>
      <c r="BF164" s="301"/>
      <c r="BG164" s="303"/>
      <c r="BH164" s="304"/>
    </row>
    <row r="165" spans="1:60" s="305" customFormat="1" ht="16.5" hidden="1" customHeight="1" x14ac:dyDescent="0.4">
      <c r="A165" s="285">
        <v>142</v>
      </c>
      <c r="B165" s="286"/>
      <c r="C165" s="286"/>
      <c r="D165" s="287" t="s">
        <v>137</v>
      </c>
      <c r="E165" s="287" t="s">
        <v>159</v>
      </c>
      <c r="F165" s="288" t="s">
        <v>92</v>
      </c>
      <c r="G165" s="289" t="s">
        <v>159</v>
      </c>
      <c r="H165" s="307"/>
      <c r="I165" s="290"/>
      <c r="J165" s="291" t="s">
        <v>709</v>
      </c>
      <c r="K165" s="287"/>
      <c r="L165" s="287"/>
      <c r="M165" s="287">
        <v>14420</v>
      </c>
      <c r="N165" s="287" t="s">
        <v>23</v>
      </c>
      <c r="O165" s="287" t="s">
        <v>33</v>
      </c>
      <c r="P165" s="287" t="s">
        <v>98</v>
      </c>
      <c r="Q165" s="287"/>
      <c r="R165" s="287" t="s">
        <v>342</v>
      </c>
      <c r="S165" s="292" t="s">
        <v>741</v>
      </c>
      <c r="T165" s="293"/>
      <c r="U165" s="294"/>
      <c r="V165" s="294"/>
      <c r="W165" s="295"/>
      <c r="X165" s="296"/>
      <c r="Y165" s="287" t="s">
        <v>26</v>
      </c>
      <c r="Z165" s="297" t="s">
        <v>544</v>
      </c>
      <c r="AA165" s="313"/>
      <c r="AB165" s="313"/>
      <c r="AC165" s="298">
        <f t="shared" si="8"/>
        <v>10000000</v>
      </c>
      <c r="AD165" s="298">
        <v>10000000</v>
      </c>
      <c r="AE165" s="298">
        <f t="shared" si="9"/>
        <v>0</v>
      </c>
      <c r="AF165" s="299"/>
      <c r="AG165" s="300"/>
      <c r="AH165" s="299"/>
      <c r="AI165" s="299"/>
      <c r="AJ165" s="300"/>
      <c r="AK165" s="299"/>
      <c r="AL165" s="301"/>
      <c r="AM165" s="314"/>
      <c r="AN165" s="301"/>
      <c r="AO165" s="302"/>
      <c r="AP165" s="301"/>
      <c r="AQ165" s="301"/>
      <c r="AR165" s="301"/>
      <c r="AS165" s="301"/>
      <c r="AT165" s="301"/>
      <c r="AU165" s="301"/>
      <c r="AV165" s="301"/>
      <c r="AW165" s="301"/>
      <c r="AX165" s="301"/>
      <c r="AY165" s="301"/>
      <c r="AZ165" s="301"/>
      <c r="BA165" s="301"/>
      <c r="BB165" s="301"/>
      <c r="BC165" s="301"/>
      <c r="BD165" s="301"/>
      <c r="BE165" s="301">
        <v>10000000</v>
      </c>
      <c r="BF165" s="301"/>
      <c r="BG165" s="303"/>
      <c r="BH165" s="304"/>
    </row>
    <row r="166" spans="1:60" s="305" customFormat="1" ht="16.5" hidden="1" customHeight="1" x14ac:dyDescent="0.4">
      <c r="A166" s="285">
        <v>143</v>
      </c>
      <c r="B166" s="286"/>
      <c r="C166" s="286"/>
      <c r="D166" s="287" t="s">
        <v>137</v>
      </c>
      <c r="E166" s="287" t="s">
        <v>159</v>
      </c>
      <c r="F166" s="288" t="s">
        <v>92</v>
      </c>
      <c r="G166" s="289" t="s">
        <v>159</v>
      </c>
      <c r="H166" s="307"/>
      <c r="I166" s="290"/>
      <c r="J166" s="291" t="s">
        <v>709</v>
      </c>
      <c r="K166" s="287"/>
      <c r="L166" s="287"/>
      <c r="M166" s="287">
        <v>14420</v>
      </c>
      <c r="N166" s="287" t="s">
        <v>23</v>
      </c>
      <c r="O166" s="287" t="s">
        <v>33</v>
      </c>
      <c r="P166" s="287" t="s">
        <v>98</v>
      </c>
      <c r="Q166" s="287"/>
      <c r="R166" s="287" t="s">
        <v>345</v>
      </c>
      <c r="S166" s="292" t="s">
        <v>742</v>
      </c>
      <c r="T166" s="293"/>
      <c r="U166" s="294"/>
      <c r="V166" s="294"/>
      <c r="W166" s="295"/>
      <c r="X166" s="296"/>
      <c r="Y166" s="287" t="s">
        <v>26</v>
      </c>
      <c r="Z166" s="297" t="s">
        <v>544</v>
      </c>
      <c r="AA166" s="313"/>
      <c r="AB166" s="313"/>
      <c r="AC166" s="298">
        <f t="shared" si="8"/>
        <v>10000000</v>
      </c>
      <c r="AD166" s="298">
        <v>10000000</v>
      </c>
      <c r="AE166" s="298">
        <f t="shared" si="9"/>
        <v>0</v>
      </c>
      <c r="AF166" s="299"/>
      <c r="AG166" s="300"/>
      <c r="AH166" s="299"/>
      <c r="AI166" s="299"/>
      <c r="AJ166" s="300"/>
      <c r="AK166" s="299"/>
      <c r="AL166" s="301"/>
      <c r="AM166" s="314"/>
      <c r="AN166" s="301"/>
      <c r="AO166" s="302"/>
      <c r="AP166" s="301"/>
      <c r="AQ166" s="301"/>
      <c r="AR166" s="301"/>
      <c r="AS166" s="301"/>
      <c r="AT166" s="301"/>
      <c r="AU166" s="301"/>
      <c r="AV166" s="301"/>
      <c r="AW166" s="301"/>
      <c r="AX166" s="301"/>
      <c r="AY166" s="301"/>
      <c r="AZ166" s="301"/>
      <c r="BA166" s="301"/>
      <c r="BB166" s="301"/>
      <c r="BC166" s="301"/>
      <c r="BD166" s="301"/>
      <c r="BE166" s="301">
        <v>10000000</v>
      </c>
      <c r="BF166" s="301"/>
      <c r="BG166" s="303"/>
      <c r="BH166" s="304"/>
    </row>
    <row r="167" spans="1:60" s="305" customFormat="1" ht="16.5" hidden="1" customHeight="1" x14ac:dyDescent="0.4">
      <c r="A167" s="285">
        <v>144</v>
      </c>
      <c r="B167" s="286"/>
      <c r="C167" s="286"/>
      <c r="D167" s="287" t="s">
        <v>92</v>
      </c>
      <c r="E167" s="287" t="s">
        <v>184</v>
      </c>
      <c r="F167" s="288" t="s">
        <v>92</v>
      </c>
      <c r="G167" s="289" t="s">
        <v>159</v>
      </c>
      <c r="H167" s="307"/>
      <c r="I167" s="290"/>
      <c r="J167" s="291" t="s">
        <v>191</v>
      </c>
      <c r="K167" s="287"/>
      <c r="L167" s="287"/>
      <c r="M167" s="287">
        <v>4301</v>
      </c>
      <c r="N167" s="287" t="s">
        <v>32</v>
      </c>
      <c r="O167" s="287" t="s">
        <v>43</v>
      </c>
      <c r="P167" s="287" t="s">
        <v>44</v>
      </c>
      <c r="Q167" s="287" t="s">
        <v>49</v>
      </c>
      <c r="R167" s="287" t="s">
        <v>29</v>
      </c>
      <c r="S167" s="292" t="s">
        <v>29</v>
      </c>
      <c r="T167" s="293"/>
      <c r="U167" s="294">
        <v>348020248</v>
      </c>
      <c r="V167" s="294">
        <v>498900224</v>
      </c>
      <c r="W167" s="295"/>
      <c r="X167" s="296"/>
      <c r="Y167" s="287" t="s">
        <v>56</v>
      </c>
      <c r="Z167" s="297" t="s">
        <v>56</v>
      </c>
      <c r="AA167" s="313"/>
      <c r="AB167" s="313"/>
      <c r="AC167" s="298">
        <f t="shared" si="8"/>
        <v>0</v>
      </c>
      <c r="AD167" s="298">
        <v>0</v>
      </c>
      <c r="AE167" s="298">
        <f t="shared" si="9"/>
        <v>0</v>
      </c>
      <c r="AF167" s="299"/>
      <c r="AG167" s="300"/>
      <c r="AH167" s="299"/>
      <c r="AI167" s="299"/>
      <c r="AJ167" s="300"/>
      <c r="AK167" s="299"/>
      <c r="AL167" s="301"/>
      <c r="AM167" s="314"/>
      <c r="AN167" s="301"/>
      <c r="AO167" s="302"/>
      <c r="AP167" s="301"/>
      <c r="AQ167" s="301"/>
      <c r="AR167" s="301"/>
      <c r="AS167" s="301"/>
      <c r="AT167" s="301"/>
      <c r="AU167" s="301"/>
      <c r="AV167" s="301"/>
      <c r="AW167" s="301"/>
      <c r="AX167" s="301"/>
      <c r="AY167" s="301"/>
      <c r="AZ167" s="301"/>
      <c r="BA167" s="301"/>
      <c r="BB167" s="301"/>
      <c r="BC167" s="301"/>
      <c r="BD167" s="301"/>
      <c r="BE167" s="301"/>
      <c r="BF167" s="301"/>
      <c r="BG167" s="303"/>
      <c r="BH167" s="304"/>
    </row>
    <row r="168" spans="1:60" s="305" customFormat="1" ht="16.5" hidden="1" customHeight="1" x14ac:dyDescent="0.4">
      <c r="A168" s="285">
        <v>145</v>
      </c>
      <c r="B168" s="286"/>
      <c r="C168" s="286"/>
      <c r="D168" s="287" t="s">
        <v>92</v>
      </c>
      <c r="E168" s="287" t="s">
        <v>184</v>
      </c>
      <c r="F168" s="288" t="s">
        <v>92</v>
      </c>
      <c r="G168" s="289" t="s">
        <v>159</v>
      </c>
      <c r="H168" s="307"/>
      <c r="I168" s="290"/>
      <c r="J168" s="291" t="s">
        <v>191</v>
      </c>
      <c r="K168" s="287"/>
      <c r="L168" s="287"/>
      <c r="M168" s="287">
        <v>4301</v>
      </c>
      <c r="N168" s="287" t="s">
        <v>32</v>
      </c>
      <c r="O168" s="287" t="s">
        <v>43</v>
      </c>
      <c r="P168" s="287" t="s">
        <v>44</v>
      </c>
      <c r="Q168" s="287" t="s">
        <v>30</v>
      </c>
      <c r="R168" s="287" t="s">
        <v>31</v>
      </c>
      <c r="S168" s="292" t="s">
        <v>31</v>
      </c>
      <c r="T168" s="293"/>
      <c r="U168" s="294">
        <v>39679000</v>
      </c>
      <c r="V168" s="294">
        <v>0</v>
      </c>
      <c r="W168" s="295"/>
      <c r="X168" s="296"/>
      <c r="Y168" s="287" t="s">
        <v>22</v>
      </c>
      <c r="Z168" s="297" t="s">
        <v>618</v>
      </c>
      <c r="AA168" s="313"/>
      <c r="AB168" s="313"/>
      <c r="AC168" s="298">
        <f t="shared" si="8"/>
        <v>0</v>
      </c>
      <c r="AD168" s="298">
        <v>0</v>
      </c>
      <c r="AE168" s="298">
        <f t="shared" si="9"/>
        <v>0</v>
      </c>
      <c r="AF168" s="299"/>
      <c r="AG168" s="300"/>
      <c r="AH168" s="299"/>
      <c r="AI168" s="299"/>
      <c r="AJ168" s="300"/>
      <c r="AK168" s="299"/>
      <c r="AL168" s="301"/>
      <c r="AM168" s="314"/>
      <c r="AN168" s="301"/>
      <c r="AO168" s="302"/>
      <c r="AP168" s="301"/>
      <c r="AQ168" s="301"/>
      <c r="AR168" s="301"/>
      <c r="AS168" s="301"/>
      <c r="AT168" s="301"/>
      <c r="AU168" s="301"/>
      <c r="AV168" s="301"/>
      <c r="AW168" s="301"/>
      <c r="AX168" s="301"/>
      <c r="AY168" s="301"/>
      <c r="AZ168" s="301"/>
      <c r="BA168" s="301"/>
      <c r="BB168" s="301"/>
      <c r="BC168" s="301"/>
      <c r="BD168" s="301"/>
      <c r="BE168" s="301"/>
      <c r="BF168" s="301"/>
      <c r="BG168" s="303"/>
      <c r="BH168" s="304"/>
    </row>
    <row r="169" spans="1:60" s="305" customFormat="1" ht="16.5" hidden="1" customHeight="1" x14ac:dyDescent="0.4">
      <c r="A169" s="285">
        <v>146</v>
      </c>
      <c r="B169" s="286"/>
      <c r="C169" s="286"/>
      <c r="D169" s="287" t="s">
        <v>92</v>
      </c>
      <c r="E169" s="287" t="s">
        <v>184</v>
      </c>
      <c r="F169" s="288" t="s">
        <v>92</v>
      </c>
      <c r="G169" s="289" t="s">
        <v>159</v>
      </c>
      <c r="H169" s="307"/>
      <c r="I169" s="290"/>
      <c r="J169" s="291" t="s">
        <v>191</v>
      </c>
      <c r="K169" s="287"/>
      <c r="L169" s="287"/>
      <c r="M169" s="287">
        <v>4301</v>
      </c>
      <c r="N169" s="287" t="s">
        <v>32</v>
      </c>
      <c r="O169" s="287" t="s">
        <v>43</v>
      </c>
      <c r="P169" s="287" t="s">
        <v>44</v>
      </c>
      <c r="Q169" s="287" t="s">
        <v>24</v>
      </c>
      <c r="R169" s="287" t="s">
        <v>221</v>
      </c>
      <c r="S169" s="292" t="s">
        <v>745</v>
      </c>
      <c r="T169" s="293"/>
      <c r="U169" s="294">
        <v>6818182</v>
      </c>
      <c r="V169" s="294">
        <v>7500000</v>
      </c>
      <c r="W169" s="295"/>
      <c r="X169" s="296"/>
      <c r="Y169" s="287" t="s">
        <v>544</v>
      </c>
      <c r="Z169" s="297" t="s">
        <v>544</v>
      </c>
      <c r="AA169" s="313"/>
      <c r="AB169" s="313"/>
      <c r="AC169" s="298">
        <f t="shared" si="8"/>
        <v>10000000</v>
      </c>
      <c r="AD169" s="298">
        <v>10000000</v>
      </c>
      <c r="AE169" s="298">
        <f t="shared" si="9"/>
        <v>0</v>
      </c>
      <c r="AF169" s="299"/>
      <c r="AG169" s="300"/>
      <c r="AH169" s="299"/>
      <c r="AI169" s="299"/>
      <c r="AJ169" s="300"/>
      <c r="AK169" s="299"/>
      <c r="AL169" s="301"/>
      <c r="AM169" s="314"/>
      <c r="AN169" s="301"/>
      <c r="AO169" s="302"/>
      <c r="AP169" s="301"/>
      <c r="AQ169" s="301"/>
      <c r="AR169" s="301"/>
      <c r="AS169" s="301"/>
      <c r="AT169" s="301"/>
      <c r="AU169" s="301"/>
      <c r="AV169" s="301"/>
      <c r="AW169" s="301">
        <v>10000000</v>
      </c>
      <c r="AX169" s="301"/>
      <c r="AY169" s="301"/>
      <c r="AZ169" s="301"/>
      <c r="BA169" s="301"/>
      <c r="BB169" s="301"/>
      <c r="BC169" s="301"/>
      <c r="BD169" s="301"/>
      <c r="BE169" s="301"/>
      <c r="BF169" s="301"/>
      <c r="BG169" s="303"/>
      <c r="BH169" s="304"/>
    </row>
    <row r="170" spans="1:60" s="305" customFormat="1" ht="16.5" hidden="1" customHeight="1" x14ac:dyDescent="0.4">
      <c r="A170" s="285">
        <v>147</v>
      </c>
      <c r="B170" s="286"/>
      <c r="C170" s="286"/>
      <c r="D170" s="287" t="s">
        <v>137</v>
      </c>
      <c r="E170" s="287" t="s">
        <v>159</v>
      </c>
      <c r="F170" s="288" t="s">
        <v>92</v>
      </c>
      <c r="G170" s="289" t="s">
        <v>159</v>
      </c>
      <c r="H170" s="307"/>
      <c r="I170" s="290"/>
      <c r="J170" s="291" t="s">
        <v>710</v>
      </c>
      <c r="K170" s="287"/>
      <c r="L170" s="287"/>
      <c r="M170" s="287">
        <v>288</v>
      </c>
      <c r="N170" s="287" t="s">
        <v>32</v>
      </c>
      <c r="O170" s="287" t="s">
        <v>43</v>
      </c>
      <c r="P170" s="287" t="s">
        <v>44</v>
      </c>
      <c r="Q170" s="287" t="s">
        <v>19</v>
      </c>
      <c r="R170" s="287" t="s">
        <v>29</v>
      </c>
      <c r="S170" s="292" t="s">
        <v>29</v>
      </c>
      <c r="T170" s="293"/>
      <c r="U170" s="294">
        <v>184363636</v>
      </c>
      <c r="V170" s="294">
        <v>155000000</v>
      </c>
      <c r="W170" s="295">
        <v>93000000</v>
      </c>
      <c r="X170" s="296"/>
      <c r="Y170" s="287" t="s">
        <v>28</v>
      </c>
      <c r="Z170" s="297" t="s">
        <v>28</v>
      </c>
      <c r="AA170" s="313"/>
      <c r="AB170" s="313"/>
      <c r="AC170" s="298">
        <f t="shared" si="8"/>
        <v>109000000</v>
      </c>
      <c r="AD170" s="298">
        <v>109000000</v>
      </c>
      <c r="AE170" s="298">
        <f t="shared" si="9"/>
        <v>0</v>
      </c>
      <c r="AF170" s="299"/>
      <c r="AG170" s="300"/>
      <c r="AH170" s="299"/>
      <c r="AI170" s="299"/>
      <c r="AJ170" s="300"/>
      <c r="AK170" s="299"/>
      <c r="AL170" s="301"/>
      <c r="AM170" s="314"/>
      <c r="AN170" s="301"/>
      <c r="AO170" s="302"/>
      <c r="AP170" s="301"/>
      <c r="AQ170" s="301"/>
      <c r="AR170" s="301"/>
      <c r="AS170" s="301"/>
      <c r="AT170" s="301"/>
      <c r="AU170" s="301">
        <v>54500000</v>
      </c>
      <c r="AV170" s="301"/>
      <c r="AW170" s="301"/>
      <c r="AX170" s="301"/>
      <c r="AY170" s="301"/>
      <c r="AZ170" s="301"/>
      <c r="BA170" s="301"/>
      <c r="BB170" s="301"/>
      <c r="BC170" s="301"/>
      <c r="BD170" s="301"/>
      <c r="BE170" s="301">
        <v>54500000</v>
      </c>
      <c r="BF170" s="301"/>
      <c r="BG170" s="303"/>
      <c r="BH170" s="304"/>
    </row>
    <row r="171" spans="1:60" s="305" customFormat="1" ht="16.5" hidden="1" customHeight="1" x14ac:dyDescent="0.4">
      <c r="A171" s="285">
        <v>148</v>
      </c>
      <c r="B171" s="286"/>
      <c r="C171" s="286"/>
      <c r="D171" s="287" t="s">
        <v>137</v>
      </c>
      <c r="E171" s="287" t="s">
        <v>159</v>
      </c>
      <c r="F171" s="288" t="s">
        <v>92</v>
      </c>
      <c r="G171" s="289" t="s">
        <v>159</v>
      </c>
      <c r="H171" s="307"/>
      <c r="I171" s="290"/>
      <c r="J171" s="291" t="s">
        <v>710</v>
      </c>
      <c r="K171" s="287"/>
      <c r="L171" s="287"/>
      <c r="M171" s="287">
        <v>288</v>
      </c>
      <c r="N171" s="287" t="s">
        <v>32</v>
      </c>
      <c r="O171" s="287" t="s">
        <v>33</v>
      </c>
      <c r="P171" s="287" t="s">
        <v>44</v>
      </c>
      <c r="Q171" s="287"/>
      <c r="R171" s="287" t="s">
        <v>340</v>
      </c>
      <c r="S171" s="292" t="s">
        <v>340</v>
      </c>
      <c r="T171" s="293"/>
      <c r="U171" s="294"/>
      <c r="V171" s="294"/>
      <c r="W171" s="295"/>
      <c r="X171" s="296"/>
      <c r="Y171" s="287" t="s">
        <v>26</v>
      </c>
      <c r="Z171" s="297" t="s">
        <v>618</v>
      </c>
      <c r="AA171" s="313"/>
      <c r="AB171" s="313"/>
      <c r="AC171" s="298">
        <f t="shared" si="8"/>
        <v>150000000</v>
      </c>
      <c r="AD171" s="298">
        <v>150000000</v>
      </c>
      <c r="AE171" s="298">
        <f t="shared" si="9"/>
        <v>0</v>
      </c>
      <c r="AF171" s="299"/>
      <c r="AG171" s="300"/>
      <c r="AH171" s="299"/>
      <c r="AI171" s="299"/>
      <c r="AJ171" s="300"/>
      <c r="AK171" s="299"/>
      <c r="AL171" s="301"/>
      <c r="AM171" s="314"/>
      <c r="AN171" s="301"/>
      <c r="AO171" s="302"/>
      <c r="AP171" s="301"/>
      <c r="AQ171" s="301"/>
      <c r="AR171" s="301"/>
      <c r="AS171" s="301"/>
      <c r="AT171" s="301"/>
      <c r="AU171" s="301">
        <v>75000000</v>
      </c>
      <c r="AV171" s="301"/>
      <c r="AW171" s="301"/>
      <c r="AX171" s="301"/>
      <c r="AY171" s="301"/>
      <c r="AZ171" s="301"/>
      <c r="BA171" s="301">
        <v>75000000</v>
      </c>
      <c r="BB171" s="301"/>
      <c r="BC171" s="301"/>
      <c r="BD171" s="301"/>
      <c r="BE171" s="301"/>
      <c r="BF171" s="301"/>
      <c r="BG171" s="303"/>
      <c r="BH171" s="304"/>
    </row>
    <row r="172" spans="1:60" s="305" customFormat="1" ht="16.5" hidden="1" customHeight="1" x14ac:dyDescent="0.4">
      <c r="A172" s="285">
        <v>149</v>
      </c>
      <c r="B172" s="286"/>
      <c r="C172" s="286"/>
      <c r="D172" s="287" t="s">
        <v>137</v>
      </c>
      <c r="E172" s="287" t="s">
        <v>159</v>
      </c>
      <c r="F172" s="288" t="s">
        <v>92</v>
      </c>
      <c r="G172" s="289" t="s">
        <v>159</v>
      </c>
      <c r="H172" s="307"/>
      <c r="I172" s="290"/>
      <c r="J172" s="291" t="s">
        <v>710</v>
      </c>
      <c r="K172" s="287"/>
      <c r="L172" s="287"/>
      <c r="M172" s="287">
        <v>288</v>
      </c>
      <c r="N172" s="287" t="s">
        <v>32</v>
      </c>
      <c r="O172" s="287" t="s">
        <v>33</v>
      </c>
      <c r="P172" s="287" t="s">
        <v>44</v>
      </c>
      <c r="Q172" s="287"/>
      <c r="R172" s="287" t="s">
        <v>345</v>
      </c>
      <c r="S172" s="292" t="s">
        <v>742</v>
      </c>
      <c r="T172" s="293"/>
      <c r="U172" s="294"/>
      <c r="V172" s="294">
        <v>0</v>
      </c>
      <c r="W172" s="295"/>
      <c r="X172" s="296"/>
      <c r="Y172" s="287" t="s">
        <v>26</v>
      </c>
      <c r="Z172" s="297" t="s">
        <v>544</v>
      </c>
      <c r="AA172" s="313"/>
      <c r="AB172" s="313"/>
      <c r="AC172" s="298">
        <f t="shared" si="8"/>
        <v>10000000</v>
      </c>
      <c r="AD172" s="298">
        <v>10000000</v>
      </c>
      <c r="AE172" s="298">
        <f t="shared" si="9"/>
        <v>0</v>
      </c>
      <c r="AF172" s="299"/>
      <c r="AG172" s="300"/>
      <c r="AH172" s="299"/>
      <c r="AI172" s="299"/>
      <c r="AJ172" s="300"/>
      <c r="AK172" s="299"/>
      <c r="AL172" s="301"/>
      <c r="AM172" s="314"/>
      <c r="AN172" s="301"/>
      <c r="AO172" s="302"/>
      <c r="AP172" s="301"/>
      <c r="AQ172" s="301"/>
      <c r="AR172" s="301"/>
      <c r="AS172" s="301"/>
      <c r="AT172" s="301"/>
      <c r="AU172" s="301"/>
      <c r="AV172" s="301"/>
      <c r="AW172" s="301"/>
      <c r="AX172" s="301"/>
      <c r="AY172" s="301"/>
      <c r="AZ172" s="301"/>
      <c r="BA172" s="301"/>
      <c r="BB172" s="301"/>
      <c r="BC172" s="301"/>
      <c r="BD172" s="301"/>
      <c r="BE172" s="301">
        <v>10000000</v>
      </c>
      <c r="BF172" s="301"/>
      <c r="BG172" s="303"/>
      <c r="BH172" s="304"/>
    </row>
    <row r="173" spans="1:60" s="305" customFormat="1" ht="16.5" hidden="1" customHeight="1" x14ac:dyDescent="0.4">
      <c r="A173" s="285">
        <v>150</v>
      </c>
      <c r="B173" s="286"/>
      <c r="C173" s="286"/>
      <c r="D173" s="287" t="s">
        <v>137</v>
      </c>
      <c r="E173" s="287" t="s">
        <v>159</v>
      </c>
      <c r="F173" s="288" t="s">
        <v>92</v>
      </c>
      <c r="G173" s="289" t="s">
        <v>159</v>
      </c>
      <c r="H173" s="307"/>
      <c r="I173" s="290"/>
      <c r="J173" s="291" t="s">
        <v>710</v>
      </c>
      <c r="K173" s="287"/>
      <c r="L173" s="287"/>
      <c r="M173" s="287">
        <v>288</v>
      </c>
      <c r="N173" s="287" t="s">
        <v>32</v>
      </c>
      <c r="O173" s="287" t="s">
        <v>43</v>
      </c>
      <c r="P173" s="287" t="s">
        <v>44</v>
      </c>
      <c r="Q173" s="287"/>
      <c r="R173" s="287"/>
      <c r="S173" s="292" t="s">
        <v>748</v>
      </c>
      <c r="T173" s="293"/>
      <c r="U173" s="294"/>
      <c r="V173" s="294"/>
      <c r="W173" s="295">
        <v>2000000</v>
      </c>
      <c r="X173" s="296"/>
      <c r="Y173" s="287"/>
      <c r="Z173" s="297" t="s">
        <v>656</v>
      </c>
      <c r="AA173" s="313"/>
      <c r="AB173" s="313"/>
      <c r="AC173" s="298">
        <f t="shared" si="8"/>
        <v>0</v>
      </c>
      <c r="AD173" s="298">
        <v>0</v>
      </c>
      <c r="AE173" s="298">
        <f t="shared" si="9"/>
        <v>0</v>
      </c>
      <c r="AF173" s="299"/>
      <c r="AG173" s="300"/>
      <c r="AH173" s="299"/>
      <c r="AI173" s="299"/>
      <c r="AJ173" s="300"/>
      <c r="AK173" s="299"/>
      <c r="AL173" s="301"/>
      <c r="AM173" s="314"/>
      <c r="AN173" s="301"/>
      <c r="AO173" s="302"/>
      <c r="AP173" s="301"/>
      <c r="AQ173" s="301"/>
      <c r="AR173" s="301"/>
      <c r="AS173" s="301"/>
      <c r="AT173" s="301"/>
      <c r="AU173" s="301"/>
      <c r="AV173" s="301"/>
      <c r="AW173" s="301"/>
      <c r="AX173" s="301"/>
      <c r="AY173" s="301"/>
      <c r="AZ173" s="301"/>
      <c r="BA173" s="301"/>
      <c r="BB173" s="301"/>
      <c r="BC173" s="301"/>
      <c r="BD173" s="301"/>
      <c r="BE173" s="301"/>
      <c r="BF173" s="301"/>
      <c r="BG173" s="303"/>
      <c r="BH173" s="304"/>
    </row>
    <row r="174" spans="1:60" s="305" customFormat="1" ht="16.5" hidden="1" customHeight="1" x14ac:dyDescent="0.4">
      <c r="A174" s="285">
        <v>151</v>
      </c>
      <c r="B174" s="286"/>
      <c r="C174" s="286"/>
      <c r="D174" s="287" t="s">
        <v>137</v>
      </c>
      <c r="E174" s="287" t="s">
        <v>159</v>
      </c>
      <c r="F174" s="288" t="s">
        <v>92</v>
      </c>
      <c r="G174" s="289" t="s">
        <v>159</v>
      </c>
      <c r="H174" s="307"/>
      <c r="I174" s="290"/>
      <c r="J174" s="291" t="s">
        <v>711</v>
      </c>
      <c r="K174" s="287"/>
      <c r="L174" s="287"/>
      <c r="M174" s="287">
        <v>4481</v>
      </c>
      <c r="N174" s="287" t="s">
        <v>32</v>
      </c>
      <c r="O174" s="287" t="s">
        <v>33</v>
      </c>
      <c r="P174" s="287" t="s">
        <v>98</v>
      </c>
      <c r="Q174" s="287" t="s">
        <v>30</v>
      </c>
      <c r="R174" s="287" t="s">
        <v>31</v>
      </c>
      <c r="S174" s="292" t="s">
        <v>31</v>
      </c>
      <c r="T174" s="293"/>
      <c r="U174" s="294">
        <v>2778000</v>
      </c>
      <c r="V174" s="294">
        <v>2719000</v>
      </c>
      <c r="W174" s="295">
        <v>2275000</v>
      </c>
      <c r="X174" s="296"/>
      <c r="Y174" s="287" t="s">
        <v>25</v>
      </c>
      <c r="Z174" s="297" t="s">
        <v>25</v>
      </c>
      <c r="AA174" s="313"/>
      <c r="AB174" s="313"/>
      <c r="AC174" s="298">
        <f t="shared" si="8"/>
        <v>3000000</v>
      </c>
      <c r="AD174" s="298">
        <v>3000000</v>
      </c>
      <c r="AE174" s="298">
        <f t="shared" si="9"/>
        <v>0</v>
      </c>
      <c r="AF174" s="299"/>
      <c r="AG174" s="300"/>
      <c r="AH174" s="299"/>
      <c r="AI174" s="299"/>
      <c r="AJ174" s="300"/>
      <c r="AK174" s="299"/>
      <c r="AL174" s="301"/>
      <c r="AM174" s="314"/>
      <c r="AN174" s="301"/>
      <c r="AO174" s="302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>
        <v>1500000</v>
      </c>
      <c r="AZ174" s="301"/>
      <c r="BA174" s="301"/>
      <c r="BB174" s="301"/>
      <c r="BC174" s="301"/>
      <c r="BD174" s="301"/>
      <c r="BE174" s="301">
        <v>1500000</v>
      </c>
      <c r="BF174" s="301"/>
      <c r="BG174" s="303"/>
      <c r="BH174" s="304"/>
    </row>
    <row r="175" spans="1:60" s="305" customFormat="1" ht="16.5" hidden="1" customHeight="1" x14ac:dyDescent="0.4">
      <c r="A175" s="285">
        <v>152</v>
      </c>
      <c r="B175" s="286"/>
      <c r="C175" s="286"/>
      <c r="D175" s="287" t="s">
        <v>137</v>
      </c>
      <c r="E175" s="287" t="s">
        <v>159</v>
      </c>
      <c r="F175" s="288" t="s">
        <v>92</v>
      </c>
      <c r="G175" s="289" t="s">
        <v>159</v>
      </c>
      <c r="H175" s="307"/>
      <c r="I175" s="290"/>
      <c r="J175" s="291" t="s">
        <v>712</v>
      </c>
      <c r="K175" s="287"/>
      <c r="L175" s="287"/>
      <c r="M175" s="287">
        <v>62736</v>
      </c>
      <c r="N175" s="287" t="s">
        <v>40</v>
      </c>
      <c r="O175" s="287" t="s">
        <v>33</v>
      </c>
      <c r="P175" s="287" t="s">
        <v>93</v>
      </c>
      <c r="Q175" s="287"/>
      <c r="R175" s="287" t="s">
        <v>340</v>
      </c>
      <c r="S175" s="292" t="s">
        <v>340</v>
      </c>
      <c r="T175" s="293"/>
      <c r="U175" s="294"/>
      <c r="V175" s="294">
        <v>0</v>
      </c>
      <c r="W175" s="295">
        <v>15510000</v>
      </c>
      <c r="X175" s="296"/>
      <c r="Y175" s="287" t="s">
        <v>28</v>
      </c>
      <c r="Z175" s="297" t="s">
        <v>28</v>
      </c>
      <c r="AA175" s="313"/>
      <c r="AB175" s="313"/>
      <c r="AC175" s="298">
        <f t="shared" si="8"/>
        <v>8000000</v>
      </c>
      <c r="AD175" s="298">
        <v>8000000</v>
      </c>
      <c r="AE175" s="298">
        <f t="shared" si="9"/>
        <v>0</v>
      </c>
      <c r="AF175" s="299"/>
      <c r="AG175" s="300"/>
      <c r="AH175" s="299"/>
      <c r="AI175" s="299"/>
      <c r="AJ175" s="300"/>
      <c r="AK175" s="299"/>
      <c r="AL175" s="301"/>
      <c r="AM175" s="314"/>
      <c r="AN175" s="301"/>
      <c r="AO175" s="302"/>
      <c r="AP175" s="301"/>
      <c r="AQ175" s="301"/>
      <c r="AR175" s="301"/>
      <c r="AS175" s="301">
        <v>8000000</v>
      </c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3"/>
      <c r="BH175" s="304"/>
    </row>
    <row r="176" spans="1:60" s="305" customFormat="1" ht="16.5" hidden="1" customHeight="1" x14ac:dyDescent="0.4">
      <c r="A176" s="285">
        <v>153</v>
      </c>
      <c r="B176" s="286"/>
      <c r="C176" s="286"/>
      <c r="D176" s="287" t="s">
        <v>137</v>
      </c>
      <c r="E176" s="287" t="s">
        <v>159</v>
      </c>
      <c r="F176" s="288" t="s">
        <v>92</v>
      </c>
      <c r="G176" s="289" t="s">
        <v>159</v>
      </c>
      <c r="H176" s="307"/>
      <c r="I176" s="290"/>
      <c r="J176" s="291" t="s">
        <v>712</v>
      </c>
      <c r="K176" s="287"/>
      <c r="L176" s="287"/>
      <c r="M176" s="287">
        <v>62736</v>
      </c>
      <c r="N176" s="287" t="s">
        <v>40</v>
      </c>
      <c r="O176" s="287" t="s">
        <v>33</v>
      </c>
      <c r="P176" s="287" t="s">
        <v>93</v>
      </c>
      <c r="Q176" s="287"/>
      <c r="R176" s="287" t="s">
        <v>342</v>
      </c>
      <c r="S176" s="292" t="s">
        <v>741</v>
      </c>
      <c r="T176" s="293"/>
      <c r="U176" s="294"/>
      <c r="V176" s="294"/>
      <c r="W176" s="295"/>
      <c r="X176" s="296"/>
      <c r="Y176" s="287" t="s">
        <v>26</v>
      </c>
      <c r="Z176" s="297" t="s">
        <v>544</v>
      </c>
      <c r="AA176" s="313"/>
      <c r="AB176" s="313"/>
      <c r="AC176" s="298">
        <f t="shared" si="8"/>
        <v>10000000</v>
      </c>
      <c r="AD176" s="298">
        <v>10000000</v>
      </c>
      <c r="AE176" s="298">
        <f t="shared" si="9"/>
        <v>0</v>
      </c>
      <c r="AF176" s="299"/>
      <c r="AG176" s="300"/>
      <c r="AH176" s="299"/>
      <c r="AI176" s="299"/>
      <c r="AJ176" s="300"/>
      <c r="AK176" s="299"/>
      <c r="AL176" s="301"/>
      <c r="AM176" s="314"/>
      <c r="AN176" s="301"/>
      <c r="AO176" s="302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>
        <v>10000000</v>
      </c>
      <c r="BF176" s="301"/>
      <c r="BG176" s="303"/>
      <c r="BH176" s="304"/>
    </row>
    <row r="177" spans="1:60" s="305" customFormat="1" ht="16.5" hidden="1" customHeight="1" x14ac:dyDescent="0.4">
      <c r="A177" s="285">
        <v>154</v>
      </c>
      <c r="B177" s="286"/>
      <c r="C177" s="286"/>
      <c r="D177" s="287" t="s">
        <v>137</v>
      </c>
      <c r="E177" s="287" t="s">
        <v>159</v>
      </c>
      <c r="F177" s="288" t="s">
        <v>92</v>
      </c>
      <c r="G177" s="289" t="s">
        <v>159</v>
      </c>
      <c r="H177" s="307"/>
      <c r="I177" s="290"/>
      <c r="J177" s="291" t="s">
        <v>712</v>
      </c>
      <c r="K177" s="287"/>
      <c r="L177" s="287"/>
      <c r="M177" s="287">
        <v>62736</v>
      </c>
      <c r="N177" s="287" t="s">
        <v>40</v>
      </c>
      <c r="O177" s="287" t="s">
        <v>33</v>
      </c>
      <c r="P177" s="287" t="s">
        <v>93</v>
      </c>
      <c r="Q177" s="287"/>
      <c r="R177" s="287" t="s">
        <v>345</v>
      </c>
      <c r="S177" s="292" t="s">
        <v>742</v>
      </c>
      <c r="T177" s="293"/>
      <c r="U177" s="294"/>
      <c r="V177" s="294"/>
      <c r="W177" s="295"/>
      <c r="X177" s="296"/>
      <c r="Y177" s="287" t="s">
        <v>26</v>
      </c>
      <c r="Z177" s="297" t="s">
        <v>544</v>
      </c>
      <c r="AA177" s="313"/>
      <c r="AB177" s="313"/>
      <c r="AC177" s="298">
        <f t="shared" si="8"/>
        <v>10000000</v>
      </c>
      <c r="AD177" s="298">
        <v>10000000</v>
      </c>
      <c r="AE177" s="298">
        <f t="shared" si="9"/>
        <v>0</v>
      </c>
      <c r="AF177" s="299"/>
      <c r="AG177" s="300"/>
      <c r="AH177" s="299"/>
      <c r="AI177" s="299"/>
      <c r="AJ177" s="300"/>
      <c r="AK177" s="299"/>
      <c r="AL177" s="301"/>
      <c r="AM177" s="314"/>
      <c r="AN177" s="301"/>
      <c r="AO177" s="302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>
        <v>10000000</v>
      </c>
      <c r="BF177" s="301"/>
      <c r="BG177" s="303"/>
      <c r="BH177" s="304"/>
    </row>
    <row r="178" spans="1:60" s="305" customFormat="1" ht="16.5" hidden="1" customHeight="1" x14ac:dyDescent="0.4">
      <c r="A178" s="285">
        <v>155</v>
      </c>
      <c r="B178" s="286"/>
      <c r="C178" s="286"/>
      <c r="D178" s="287" t="s">
        <v>137</v>
      </c>
      <c r="E178" s="287" t="s">
        <v>159</v>
      </c>
      <c r="F178" s="288" t="s">
        <v>92</v>
      </c>
      <c r="G178" s="289" t="s">
        <v>159</v>
      </c>
      <c r="H178" s="307"/>
      <c r="I178" s="290"/>
      <c r="J178" s="291" t="s">
        <v>713</v>
      </c>
      <c r="K178" s="287"/>
      <c r="L178" s="287"/>
      <c r="M178" s="287">
        <v>16326</v>
      </c>
      <c r="N178" s="287" t="s">
        <v>32</v>
      </c>
      <c r="O178" s="287" t="s">
        <v>33</v>
      </c>
      <c r="P178" s="287" t="s">
        <v>44</v>
      </c>
      <c r="Q178" s="287"/>
      <c r="R178" s="287" t="s">
        <v>341</v>
      </c>
      <c r="S178" s="292" t="s">
        <v>38</v>
      </c>
      <c r="T178" s="293"/>
      <c r="U178" s="294"/>
      <c r="V178" s="294">
        <v>0</v>
      </c>
      <c r="W178" s="295"/>
      <c r="X178" s="296"/>
      <c r="Y178" s="287" t="s">
        <v>56</v>
      </c>
      <c r="Z178" s="297" t="s">
        <v>28</v>
      </c>
      <c r="AA178" s="313"/>
      <c r="AB178" s="313"/>
      <c r="AC178" s="298">
        <f t="shared" si="8"/>
        <v>176000000.36363637</v>
      </c>
      <c r="AD178" s="298">
        <v>176000000.36363637</v>
      </c>
      <c r="AE178" s="298">
        <f t="shared" si="9"/>
        <v>0</v>
      </c>
      <c r="AF178" s="299"/>
      <c r="AG178" s="300"/>
      <c r="AH178" s="299"/>
      <c r="AI178" s="299">
        <v>126197136.36363636</v>
      </c>
      <c r="AJ178" s="300">
        <v>126197136.36363636</v>
      </c>
      <c r="AK178" s="299"/>
      <c r="AL178" s="301"/>
      <c r="AM178" s="314"/>
      <c r="AN178" s="301"/>
      <c r="AO178" s="302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>
        <v>49802864</v>
      </c>
      <c r="BF178" s="301"/>
      <c r="BG178" s="303"/>
      <c r="BH178" s="304"/>
    </row>
    <row r="179" spans="1:60" s="305" customFormat="1" ht="16.5" hidden="1" customHeight="1" x14ac:dyDescent="0.4">
      <c r="A179" s="285">
        <v>156</v>
      </c>
      <c r="B179" s="286"/>
      <c r="C179" s="286"/>
      <c r="D179" s="287" t="s">
        <v>92</v>
      </c>
      <c r="E179" s="287" t="s">
        <v>196</v>
      </c>
      <c r="F179" s="288" t="s">
        <v>92</v>
      </c>
      <c r="G179" s="289" t="s">
        <v>196</v>
      </c>
      <c r="H179" s="307"/>
      <c r="I179" s="290"/>
      <c r="J179" s="291" t="s">
        <v>816</v>
      </c>
      <c r="K179" s="287"/>
      <c r="L179" s="287"/>
      <c r="M179" s="287">
        <v>53349</v>
      </c>
      <c r="N179" s="287" t="s">
        <v>23</v>
      </c>
      <c r="O179" s="287" t="s">
        <v>43</v>
      </c>
      <c r="P179" s="287"/>
      <c r="Q179" s="287"/>
      <c r="R179" s="287" t="s">
        <v>349</v>
      </c>
      <c r="S179" s="292" t="s">
        <v>349</v>
      </c>
      <c r="T179" s="293"/>
      <c r="U179" s="294"/>
      <c r="V179" s="294">
        <v>0</v>
      </c>
      <c r="W179" s="295">
        <v>14080000</v>
      </c>
      <c r="X179" s="296"/>
      <c r="Y179" s="287" t="s">
        <v>28</v>
      </c>
      <c r="Z179" s="297" t="s">
        <v>25</v>
      </c>
      <c r="AA179" s="313"/>
      <c r="AB179" s="313"/>
      <c r="AC179" s="298">
        <f t="shared" si="8"/>
        <v>15000000</v>
      </c>
      <c r="AD179" s="298">
        <v>15000000</v>
      </c>
      <c r="AE179" s="298">
        <f t="shared" si="9"/>
        <v>0</v>
      </c>
      <c r="AF179" s="299"/>
      <c r="AG179" s="300"/>
      <c r="AH179" s="299"/>
      <c r="AI179" s="299"/>
      <c r="AJ179" s="300"/>
      <c r="AK179" s="299"/>
      <c r="AL179" s="301"/>
      <c r="AM179" s="314"/>
      <c r="AN179" s="301"/>
      <c r="AO179" s="302"/>
      <c r="AP179" s="301"/>
      <c r="AQ179" s="301"/>
      <c r="AR179" s="301"/>
      <c r="AS179" s="301">
        <v>15000000</v>
      </c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3"/>
      <c r="BH179" s="304"/>
    </row>
    <row r="180" spans="1:60" s="305" customFormat="1" ht="16.5" hidden="1" customHeight="1" x14ac:dyDescent="0.4">
      <c r="A180" s="285">
        <v>157</v>
      </c>
      <c r="B180" s="286"/>
      <c r="C180" s="286"/>
      <c r="D180" s="287" t="s">
        <v>92</v>
      </c>
      <c r="E180" s="287" t="s">
        <v>196</v>
      </c>
      <c r="F180" s="288" t="s">
        <v>92</v>
      </c>
      <c r="G180" s="289" t="s">
        <v>196</v>
      </c>
      <c r="H180" s="307"/>
      <c r="I180" s="290"/>
      <c r="J180" s="291" t="s">
        <v>96</v>
      </c>
      <c r="K180" s="287"/>
      <c r="L180" s="287"/>
      <c r="M180" s="287">
        <v>47574</v>
      </c>
      <c r="N180" s="287" t="s">
        <v>23</v>
      </c>
      <c r="O180" s="287" t="s">
        <v>33</v>
      </c>
      <c r="P180" s="287" t="s">
        <v>93</v>
      </c>
      <c r="Q180" s="287" t="s">
        <v>19</v>
      </c>
      <c r="R180" s="287" t="s">
        <v>20</v>
      </c>
      <c r="S180" s="292" t="s">
        <v>20</v>
      </c>
      <c r="T180" s="293"/>
      <c r="U180" s="294" t="s">
        <v>97</v>
      </c>
      <c r="V180" s="294">
        <v>0</v>
      </c>
      <c r="W180" s="295"/>
      <c r="X180" s="296"/>
      <c r="Y180" s="287" t="s">
        <v>26</v>
      </c>
      <c r="Z180" s="297" t="s">
        <v>26</v>
      </c>
      <c r="AA180" s="313"/>
      <c r="AB180" s="313"/>
      <c r="AC180" s="298">
        <f t="shared" si="8"/>
        <v>0</v>
      </c>
      <c r="AD180" s="298">
        <v>0</v>
      </c>
      <c r="AE180" s="298">
        <f t="shared" si="9"/>
        <v>0</v>
      </c>
      <c r="AF180" s="299"/>
      <c r="AG180" s="300"/>
      <c r="AH180" s="299"/>
      <c r="AI180" s="299"/>
      <c r="AJ180" s="300"/>
      <c r="AK180" s="299"/>
      <c r="AL180" s="301"/>
      <c r="AM180" s="314"/>
      <c r="AN180" s="301"/>
      <c r="AO180" s="302"/>
      <c r="AP180" s="301"/>
      <c r="AQ180" s="301"/>
      <c r="AR180" s="301"/>
      <c r="AS180" s="301"/>
      <c r="AT180" s="301"/>
      <c r="AU180" s="301"/>
      <c r="AV180" s="301"/>
      <c r="AW180" s="301"/>
      <c r="AX180" s="301"/>
      <c r="AY180" s="301"/>
      <c r="AZ180" s="301"/>
      <c r="BA180" s="301"/>
      <c r="BB180" s="301"/>
      <c r="BC180" s="301"/>
      <c r="BD180" s="301"/>
      <c r="BE180" s="301"/>
      <c r="BF180" s="301"/>
      <c r="BG180" s="303"/>
      <c r="BH180" s="304"/>
    </row>
    <row r="181" spans="1:60" s="305" customFormat="1" ht="16.5" hidden="1" customHeight="1" x14ac:dyDescent="0.4">
      <c r="A181" s="285">
        <v>158</v>
      </c>
      <c r="B181" s="286"/>
      <c r="C181" s="286"/>
      <c r="D181" s="287" t="s">
        <v>92</v>
      </c>
      <c r="E181" s="287" t="s">
        <v>196</v>
      </c>
      <c r="F181" s="288" t="s">
        <v>92</v>
      </c>
      <c r="G181" s="289" t="s">
        <v>196</v>
      </c>
      <c r="H181" s="307"/>
      <c r="I181" s="290"/>
      <c r="J181" s="291" t="s">
        <v>827</v>
      </c>
      <c r="K181" s="287"/>
      <c r="L181" s="287"/>
      <c r="M181" s="287">
        <v>47574</v>
      </c>
      <c r="N181" s="287" t="s">
        <v>23</v>
      </c>
      <c r="O181" s="287" t="s">
        <v>43</v>
      </c>
      <c r="P181" s="287"/>
      <c r="Q181" s="287" t="s">
        <v>27</v>
      </c>
      <c r="R181" s="287" t="s">
        <v>340</v>
      </c>
      <c r="S181" s="292" t="s">
        <v>340</v>
      </c>
      <c r="T181" s="293"/>
      <c r="U181" s="294">
        <v>6100000</v>
      </c>
      <c r="V181" s="294">
        <v>1600000</v>
      </c>
      <c r="W181" s="295">
        <v>15081300</v>
      </c>
      <c r="X181" s="296"/>
      <c r="Y181" s="287" t="s">
        <v>28</v>
      </c>
      <c r="Z181" s="297" t="s">
        <v>28</v>
      </c>
      <c r="AA181" s="313"/>
      <c r="AB181" s="313"/>
      <c r="AC181" s="298">
        <f t="shared" si="8"/>
        <v>1440000</v>
      </c>
      <c r="AD181" s="298">
        <v>1440000</v>
      </c>
      <c r="AE181" s="298">
        <f t="shared" si="9"/>
        <v>0</v>
      </c>
      <c r="AF181" s="299"/>
      <c r="AG181" s="300"/>
      <c r="AH181" s="299"/>
      <c r="AI181" s="299"/>
      <c r="AJ181" s="300"/>
      <c r="AK181" s="299"/>
      <c r="AL181" s="301">
        <v>1440000</v>
      </c>
      <c r="AM181" s="314">
        <v>1440000</v>
      </c>
      <c r="AN181" s="301"/>
      <c r="AO181" s="302"/>
      <c r="AP181" s="301"/>
      <c r="AQ181" s="301"/>
      <c r="AR181" s="301"/>
      <c r="AS181" s="301"/>
      <c r="AT181" s="301"/>
      <c r="AU181" s="301"/>
      <c r="AV181" s="301"/>
      <c r="AW181" s="301"/>
      <c r="AX181" s="301"/>
      <c r="AY181" s="301"/>
      <c r="AZ181" s="301"/>
      <c r="BA181" s="301"/>
      <c r="BB181" s="301"/>
      <c r="BC181" s="301"/>
      <c r="BD181" s="301"/>
      <c r="BE181" s="301"/>
      <c r="BF181" s="301"/>
      <c r="BG181" s="303"/>
      <c r="BH181" s="304"/>
    </row>
    <row r="182" spans="1:60" s="305" customFormat="1" ht="16.5" hidden="1" customHeight="1" x14ac:dyDescent="0.4">
      <c r="A182" s="285">
        <v>159</v>
      </c>
      <c r="B182" s="286"/>
      <c r="C182" s="286"/>
      <c r="D182" s="287" t="s">
        <v>92</v>
      </c>
      <c r="E182" s="287" t="s">
        <v>196</v>
      </c>
      <c r="F182" s="288" t="s">
        <v>92</v>
      </c>
      <c r="G182" s="289" t="s">
        <v>196</v>
      </c>
      <c r="H182" s="307"/>
      <c r="I182" s="290"/>
      <c r="J182" s="291" t="s">
        <v>96</v>
      </c>
      <c r="K182" s="287"/>
      <c r="L182" s="287"/>
      <c r="M182" s="287">
        <v>47574</v>
      </c>
      <c r="N182" s="287" t="s">
        <v>23</v>
      </c>
      <c r="O182" s="287" t="s">
        <v>43</v>
      </c>
      <c r="P182" s="287"/>
      <c r="Q182" s="287" t="s">
        <v>27</v>
      </c>
      <c r="R182" s="287" t="s">
        <v>340</v>
      </c>
      <c r="S182" s="292" t="s">
        <v>340</v>
      </c>
      <c r="T182" s="293"/>
      <c r="U182" s="294">
        <v>6100000</v>
      </c>
      <c r="V182" s="294">
        <v>1600000</v>
      </c>
      <c r="W182" s="295">
        <v>15081300</v>
      </c>
      <c r="X182" s="296"/>
      <c r="Y182" s="287" t="s">
        <v>28</v>
      </c>
      <c r="Z182" s="297" t="s">
        <v>25</v>
      </c>
      <c r="AA182" s="313"/>
      <c r="AB182" s="313"/>
      <c r="AC182" s="298">
        <f t="shared" si="8"/>
        <v>10560000</v>
      </c>
      <c r="AD182" s="298">
        <v>10560000</v>
      </c>
      <c r="AE182" s="298">
        <f t="shared" si="9"/>
        <v>0</v>
      </c>
      <c r="AF182" s="299"/>
      <c r="AG182" s="300"/>
      <c r="AH182" s="299"/>
      <c r="AI182" s="299"/>
      <c r="AJ182" s="300"/>
      <c r="AK182" s="299"/>
      <c r="AL182" s="301"/>
      <c r="AM182" s="314"/>
      <c r="AN182" s="301"/>
      <c r="AO182" s="302"/>
      <c r="AP182" s="301"/>
      <c r="AQ182" s="301"/>
      <c r="AR182" s="301"/>
      <c r="AS182" s="301">
        <v>10560000</v>
      </c>
      <c r="AT182" s="301"/>
      <c r="AU182" s="301"/>
      <c r="AV182" s="301"/>
      <c r="AW182" s="301"/>
      <c r="AX182" s="301"/>
      <c r="AY182" s="301"/>
      <c r="AZ182" s="301"/>
      <c r="BA182" s="301"/>
      <c r="BB182" s="301"/>
      <c r="BC182" s="301"/>
      <c r="BD182" s="301"/>
      <c r="BE182" s="301"/>
      <c r="BF182" s="301"/>
      <c r="BG182" s="303"/>
      <c r="BH182" s="304"/>
    </row>
    <row r="183" spans="1:60" s="305" customFormat="1" ht="16.5" hidden="1" customHeight="1" x14ac:dyDescent="0.4">
      <c r="A183" s="285">
        <v>160</v>
      </c>
      <c r="B183" s="286"/>
      <c r="C183" s="286"/>
      <c r="D183" s="287" t="s">
        <v>92</v>
      </c>
      <c r="E183" s="287" t="s">
        <v>235</v>
      </c>
      <c r="F183" s="288" t="s">
        <v>92</v>
      </c>
      <c r="G183" s="289" t="s">
        <v>196</v>
      </c>
      <c r="H183" s="307"/>
      <c r="I183" s="290"/>
      <c r="J183" s="291" t="s">
        <v>123</v>
      </c>
      <c r="K183" s="287"/>
      <c r="L183" s="287"/>
      <c r="M183" s="287">
        <v>61090</v>
      </c>
      <c r="N183" s="287" t="s">
        <v>23</v>
      </c>
      <c r="O183" s="287" t="s">
        <v>43</v>
      </c>
      <c r="P183" s="287"/>
      <c r="Q183" s="287" t="s">
        <v>45</v>
      </c>
      <c r="R183" s="287" t="s">
        <v>342</v>
      </c>
      <c r="S183" s="292" t="s">
        <v>741</v>
      </c>
      <c r="T183" s="293"/>
      <c r="U183" s="294"/>
      <c r="V183" s="294">
        <v>1500000</v>
      </c>
      <c r="W183" s="295"/>
      <c r="X183" s="296"/>
      <c r="Y183" s="287" t="s">
        <v>25</v>
      </c>
      <c r="Z183" s="297" t="s">
        <v>56</v>
      </c>
      <c r="AA183" s="313"/>
      <c r="AB183" s="313"/>
      <c r="AC183" s="298">
        <f t="shared" si="8"/>
        <v>0</v>
      </c>
      <c r="AD183" s="298">
        <v>0</v>
      </c>
      <c r="AE183" s="298">
        <f t="shared" si="9"/>
        <v>0</v>
      </c>
      <c r="AF183" s="299"/>
      <c r="AG183" s="300"/>
      <c r="AH183" s="299"/>
      <c r="AI183" s="299"/>
      <c r="AJ183" s="300"/>
      <c r="AK183" s="299"/>
      <c r="AL183" s="301"/>
      <c r="AM183" s="314"/>
      <c r="AN183" s="301"/>
      <c r="AO183" s="302"/>
      <c r="AP183" s="301"/>
      <c r="AQ183" s="301"/>
      <c r="AR183" s="301"/>
      <c r="AS183" s="301"/>
      <c r="AT183" s="301"/>
      <c r="AU183" s="301"/>
      <c r="AV183" s="301"/>
      <c r="AW183" s="301"/>
      <c r="AX183" s="301"/>
      <c r="AY183" s="301"/>
      <c r="AZ183" s="301"/>
      <c r="BA183" s="301"/>
      <c r="BB183" s="301"/>
      <c r="BC183" s="301"/>
      <c r="BD183" s="301"/>
      <c r="BE183" s="301"/>
      <c r="BF183" s="301"/>
      <c r="BG183" s="303"/>
      <c r="BH183" s="304"/>
    </row>
    <row r="184" spans="1:60" s="305" customFormat="1" ht="16.5" hidden="1" customHeight="1" x14ac:dyDescent="0.4">
      <c r="A184" s="285">
        <v>161</v>
      </c>
      <c r="B184" s="286"/>
      <c r="C184" s="286"/>
      <c r="D184" s="287" t="s">
        <v>92</v>
      </c>
      <c r="E184" s="287" t="s">
        <v>235</v>
      </c>
      <c r="F184" s="288" t="s">
        <v>92</v>
      </c>
      <c r="G184" s="289" t="s">
        <v>196</v>
      </c>
      <c r="H184" s="307"/>
      <c r="I184" s="290"/>
      <c r="J184" s="291" t="s">
        <v>240</v>
      </c>
      <c r="K184" s="287"/>
      <c r="L184" s="287"/>
      <c r="M184" s="287">
        <v>3098</v>
      </c>
      <c r="N184" s="287" t="s">
        <v>23</v>
      </c>
      <c r="O184" s="287" t="s">
        <v>33</v>
      </c>
      <c r="P184" s="287" t="s">
        <v>98</v>
      </c>
      <c r="Q184" s="287"/>
      <c r="R184" s="287"/>
      <c r="S184" s="292" t="s">
        <v>29</v>
      </c>
      <c r="T184" s="293" t="s">
        <v>798</v>
      </c>
      <c r="U184" s="294"/>
      <c r="V184" s="294"/>
      <c r="W184" s="295"/>
      <c r="X184" s="296"/>
      <c r="Y184" s="287"/>
      <c r="Z184" s="297" t="s">
        <v>26</v>
      </c>
      <c r="AA184" s="313"/>
      <c r="AB184" s="313"/>
      <c r="AC184" s="298">
        <f t="shared" si="8"/>
        <v>100000000</v>
      </c>
      <c r="AD184" s="298">
        <v>100000000</v>
      </c>
      <c r="AE184" s="298">
        <f t="shared" si="9"/>
        <v>0</v>
      </c>
      <c r="AF184" s="299"/>
      <c r="AG184" s="300"/>
      <c r="AH184" s="299"/>
      <c r="AI184" s="299"/>
      <c r="AJ184" s="300"/>
      <c r="AK184" s="299"/>
      <c r="AL184" s="301"/>
      <c r="AM184" s="314"/>
      <c r="AN184" s="301"/>
      <c r="AO184" s="302"/>
      <c r="AP184" s="301"/>
      <c r="AQ184" s="301"/>
      <c r="AR184" s="301"/>
      <c r="AS184" s="301"/>
      <c r="AT184" s="301"/>
      <c r="AU184" s="301"/>
      <c r="AV184" s="301"/>
      <c r="AW184" s="301"/>
      <c r="AX184" s="301"/>
      <c r="AY184" s="301"/>
      <c r="AZ184" s="301"/>
      <c r="BA184" s="301">
        <v>100000000</v>
      </c>
      <c r="BB184" s="301"/>
      <c r="BC184" s="301"/>
      <c r="BD184" s="301"/>
      <c r="BE184" s="301"/>
      <c r="BF184" s="301"/>
      <c r="BG184" s="303"/>
      <c r="BH184" s="304"/>
    </row>
    <row r="185" spans="1:60" s="305" customFormat="1" ht="16.5" hidden="1" customHeight="1" x14ac:dyDescent="0.4">
      <c r="A185" s="285">
        <v>162</v>
      </c>
      <c r="B185" s="286"/>
      <c r="C185" s="286"/>
      <c r="D185" s="287" t="s">
        <v>92</v>
      </c>
      <c r="E185" s="287" t="s">
        <v>235</v>
      </c>
      <c r="F185" s="288" t="s">
        <v>92</v>
      </c>
      <c r="G185" s="289" t="s">
        <v>196</v>
      </c>
      <c r="H185" s="307"/>
      <c r="I185" s="290"/>
      <c r="J185" s="291" t="s">
        <v>240</v>
      </c>
      <c r="K185" s="287"/>
      <c r="L185" s="287"/>
      <c r="M185" s="287">
        <v>3098</v>
      </c>
      <c r="N185" s="287" t="s">
        <v>23</v>
      </c>
      <c r="O185" s="287" t="s">
        <v>43</v>
      </c>
      <c r="P185" s="287"/>
      <c r="Q185" s="287" t="s">
        <v>30</v>
      </c>
      <c r="R185" s="287" t="s">
        <v>31</v>
      </c>
      <c r="S185" s="292" t="s">
        <v>31</v>
      </c>
      <c r="T185" s="293"/>
      <c r="U185" s="294"/>
      <c r="V185" s="294">
        <v>4000000</v>
      </c>
      <c r="W185" s="295">
        <v>2968800</v>
      </c>
      <c r="X185" s="296"/>
      <c r="Y185" s="287" t="s">
        <v>28</v>
      </c>
      <c r="Z185" s="297" t="s">
        <v>25</v>
      </c>
      <c r="AA185" s="313"/>
      <c r="AB185" s="313"/>
      <c r="AC185" s="298">
        <f t="shared" si="8"/>
        <v>4500000</v>
      </c>
      <c r="AD185" s="298">
        <v>4500000</v>
      </c>
      <c r="AE185" s="298">
        <f t="shared" si="9"/>
        <v>0</v>
      </c>
      <c r="AF185" s="299"/>
      <c r="AG185" s="300"/>
      <c r="AH185" s="299"/>
      <c r="AI185" s="299"/>
      <c r="AJ185" s="300"/>
      <c r="AK185" s="299"/>
      <c r="AL185" s="301"/>
      <c r="AM185" s="314"/>
      <c r="AN185" s="301"/>
      <c r="AO185" s="302"/>
      <c r="AP185" s="301"/>
      <c r="AQ185" s="301"/>
      <c r="AR185" s="301"/>
      <c r="AS185" s="301"/>
      <c r="AT185" s="301"/>
      <c r="AU185" s="301">
        <v>4500000</v>
      </c>
      <c r="AV185" s="301"/>
      <c r="AW185" s="301"/>
      <c r="AX185" s="301"/>
      <c r="AY185" s="301"/>
      <c r="AZ185" s="301"/>
      <c r="BA185" s="301"/>
      <c r="BB185" s="301"/>
      <c r="BC185" s="301"/>
      <c r="BD185" s="301"/>
      <c r="BE185" s="301"/>
      <c r="BF185" s="301"/>
      <c r="BG185" s="303"/>
      <c r="BH185" s="304"/>
    </row>
    <row r="186" spans="1:60" s="305" customFormat="1" ht="16.5" hidden="1" customHeight="1" x14ac:dyDescent="0.4">
      <c r="A186" s="285">
        <v>163</v>
      </c>
      <c r="B186" s="286"/>
      <c r="C186" s="286"/>
      <c r="D186" s="287" t="s">
        <v>92</v>
      </c>
      <c r="E186" s="287" t="s">
        <v>102</v>
      </c>
      <c r="F186" s="288" t="s">
        <v>92</v>
      </c>
      <c r="G186" s="289" t="s">
        <v>196</v>
      </c>
      <c r="H186" s="307"/>
      <c r="I186" s="290"/>
      <c r="J186" s="291" t="s">
        <v>240</v>
      </c>
      <c r="K186" s="287"/>
      <c r="L186" s="287"/>
      <c r="M186" s="287">
        <v>3098</v>
      </c>
      <c r="N186" s="287" t="s">
        <v>23</v>
      </c>
      <c r="O186" s="287" t="s">
        <v>43</v>
      </c>
      <c r="P186" s="287" t="s">
        <v>98</v>
      </c>
      <c r="Q186" s="287" t="s">
        <v>27</v>
      </c>
      <c r="R186" s="287" t="s">
        <v>340</v>
      </c>
      <c r="S186" s="292" t="s">
        <v>340</v>
      </c>
      <c r="T186" s="293"/>
      <c r="U186" s="294"/>
      <c r="V186" s="294">
        <v>28214673</v>
      </c>
      <c r="W186" s="295">
        <v>14169700</v>
      </c>
      <c r="X186" s="296"/>
      <c r="Y186" s="287" t="s">
        <v>28</v>
      </c>
      <c r="Z186" s="297" t="s">
        <v>25</v>
      </c>
      <c r="AA186" s="313"/>
      <c r="AB186" s="313"/>
      <c r="AC186" s="298">
        <f t="shared" si="8"/>
        <v>32000000</v>
      </c>
      <c r="AD186" s="298">
        <v>32000000</v>
      </c>
      <c r="AE186" s="298">
        <f t="shared" si="9"/>
        <v>0</v>
      </c>
      <c r="AF186" s="299"/>
      <c r="AG186" s="300"/>
      <c r="AH186" s="299"/>
      <c r="AI186" s="299"/>
      <c r="AJ186" s="300"/>
      <c r="AK186" s="299"/>
      <c r="AL186" s="301"/>
      <c r="AM186" s="314"/>
      <c r="AN186" s="301"/>
      <c r="AO186" s="302"/>
      <c r="AP186" s="301"/>
      <c r="AQ186" s="316">
        <v>8000000</v>
      </c>
      <c r="AR186" s="301"/>
      <c r="AS186" s="301">
        <v>8000000</v>
      </c>
      <c r="AT186" s="301"/>
      <c r="AU186" s="301"/>
      <c r="AV186" s="301"/>
      <c r="AW186" s="301"/>
      <c r="AX186" s="301"/>
      <c r="AY186" s="301">
        <v>8000000</v>
      </c>
      <c r="AZ186" s="301"/>
      <c r="BA186" s="301"/>
      <c r="BB186" s="301"/>
      <c r="BC186" s="301"/>
      <c r="BD186" s="301"/>
      <c r="BE186" s="301">
        <v>8000000</v>
      </c>
      <c r="BF186" s="301"/>
      <c r="BG186" s="303"/>
      <c r="BH186" s="304"/>
    </row>
    <row r="187" spans="1:60" s="305" customFormat="1" ht="16.5" hidden="1" customHeight="1" x14ac:dyDescent="0.4">
      <c r="A187" s="285">
        <v>164</v>
      </c>
      <c r="B187" s="286"/>
      <c r="C187" s="286"/>
      <c r="D187" s="287" t="s">
        <v>92</v>
      </c>
      <c r="E187" s="287" t="s">
        <v>196</v>
      </c>
      <c r="F187" s="288" t="s">
        <v>92</v>
      </c>
      <c r="G187" s="289" t="s">
        <v>196</v>
      </c>
      <c r="H187" s="307"/>
      <c r="I187" s="290"/>
      <c r="J187" s="291" t="s">
        <v>240</v>
      </c>
      <c r="K187" s="287"/>
      <c r="L187" s="287"/>
      <c r="M187" s="287">
        <v>3098</v>
      </c>
      <c r="N187" s="287" t="s">
        <v>23</v>
      </c>
      <c r="O187" s="287" t="s">
        <v>43</v>
      </c>
      <c r="P187" s="287" t="s">
        <v>98</v>
      </c>
      <c r="Q187" s="287" t="s">
        <v>27</v>
      </c>
      <c r="R187" s="287" t="s">
        <v>340</v>
      </c>
      <c r="S187" s="292" t="s">
        <v>340</v>
      </c>
      <c r="T187" s="293"/>
      <c r="U187" s="294"/>
      <c r="V187" s="294"/>
      <c r="W187" s="295">
        <v>0</v>
      </c>
      <c r="X187" s="296"/>
      <c r="Y187" s="287" t="s">
        <v>28</v>
      </c>
      <c r="Z187" s="297" t="s">
        <v>26</v>
      </c>
      <c r="AA187" s="313"/>
      <c r="AB187" s="313"/>
      <c r="AC187" s="298">
        <f t="shared" si="8"/>
        <v>0</v>
      </c>
      <c r="AD187" s="298">
        <v>0</v>
      </c>
      <c r="AE187" s="298">
        <f t="shared" si="9"/>
        <v>0</v>
      </c>
      <c r="AF187" s="299"/>
      <c r="AG187" s="300"/>
      <c r="AH187" s="299"/>
      <c r="AI187" s="299"/>
      <c r="AJ187" s="300"/>
      <c r="AK187" s="299"/>
      <c r="AL187" s="301"/>
      <c r="AM187" s="314"/>
      <c r="AN187" s="301"/>
      <c r="AO187" s="302"/>
      <c r="AP187" s="301"/>
      <c r="AQ187" s="301"/>
      <c r="AR187" s="301"/>
      <c r="AS187" s="301"/>
      <c r="AT187" s="301"/>
      <c r="AU187" s="301"/>
      <c r="AV187" s="301"/>
      <c r="AW187" s="301"/>
      <c r="AX187" s="301"/>
      <c r="AY187" s="301"/>
      <c r="AZ187" s="301"/>
      <c r="BA187" s="301"/>
      <c r="BB187" s="301"/>
      <c r="BC187" s="301"/>
      <c r="BD187" s="301"/>
      <c r="BE187" s="301"/>
      <c r="BF187" s="301"/>
      <c r="BG187" s="303"/>
      <c r="BH187" s="304"/>
    </row>
    <row r="188" spans="1:60" s="305" customFormat="1" ht="16.5" hidden="1" customHeight="1" x14ac:dyDescent="0.4">
      <c r="A188" s="285">
        <v>165</v>
      </c>
      <c r="B188" s="286"/>
      <c r="C188" s="286"/>
      <c r="D188" s="287" t="s">
        <v>92</v>
      </c>
      <c r="E188" s="287" t="s">
        <v>196</v>
      </c>
      <c r="F188" s="288" t="s">
        <v>92</v>
      </c>
      <c r="G188" s="289" t="s">
        <v>196</v>
      </c>
      <c r="H188" s="307"/>
      <c r="I188" s="290"/>
      <c r="J188" s="291" t="s">
        <v>830</v>
      </c>
      <c r="K188" s="287"/>
      <c r="L188" s="287"/>
      <c r="M188" s="287">
        <v>3759</v>
      </c>
      <c r="N188" s="287" t="s">
        <v>23</v>
      </c>
      <c r="O188" s="287" t="s">
        <v>43</v>
      </c>
      <c r="P188" s="287" t="s">
        <v>44</v>
      </c>
      <c r="Q188" s="287" t="s">
        <v>49</v>
      </c>
      <c r="R188" s="287" t="s">
        <v>29</v>
      </c>
      <c r="S188" s="292" t="s">
        <v>29</v>
      </c>
      <c r="T188" s="293" t="s">
        <v>798</v>
      </c>
      <c r="U188" s="294">
        <v>288335656</v>
      </c>
      <c r="V188" s="294">
        <v>327502906</v>
      </c>
      <c r="W188" s="295">
        <v>461427265</v>
      </c>
      <c r="X188" s="296"/>
      <c r="Y188" s="287" t="s">
        <v>28</v>
      </c>
      <c r="Z188" s="297" t="s">
        <v>28</v>
      </c>
      <c r="AA188" s="313"/>
      <c r="AB188" s="313"/>
      <c r="AC188" s="298">
        <f t="shared" si="8"/>
        <v>393657636</v>
      </c>
      <c r="AD188" s="298">
        <v>393657636</v>
      </c>
      <c r="AE188" s="298">
        <f t="shared" si="9"/>
        <v>0</v>
      </c>
      <c r="AF188" s="299">
        <v>32558400</v>
      </c>
      <c r="AG188" s="300">
        <v>32671900</v>
      </c>
      <c r="AH188" s="299"/>
      <c r="AI188" s="299">
        <v>36640186</v>
      </c>
      <c r="AJ188" s="300">
        <v>36862186</v>
      </c>
      <c r="AK188" s="299"/>
      <c r="AL188" s="301">
        <v>38111050</v>
      </c>
      <c r="AM188" s="314">
        <v>38123550</v>
      </c>
      <c r="AN188" s="301"/>
      <c r="AO188" s="302">
        <v>32000000</v>
      </c>
      <c r="AP188" s="301"/>
      <c r="AQ188" s="301">
        <v>32000000</v>
      </c>
      <c r="AR188" s="301"/>
      <c r="AS188" s="301">
        <v>32000000</v>
      </c>
      <c r="AT188" s="301"/>
      <c r="AU188" s="301">
        <v>32000000</v>
      </c>
      <c r="AV188" s="301"/>
      <c r="AW188" s="301">
        <v>32000000</v>
      </c>
      <c r="AX188" s="301"/>
      <c r="AY188" s="301">
        <v>32000000</v>
      </c>
      <c r="AZ188" s="301"/>
      <c r="BA188" s="301">
        <v>32000000</v>
      </c>
      <c r="BB188" s="301"/>
      <c r="BC188" s="301">
        <v>32000000</v>
      </c>
      <c r="BD188" s="301"/>
      <c r="BE188" s="301">
        <v>30000000</v>
      </c>
      <c r="BF188" s="301"/>
      <c r="BG188" s="303"/>
      <c r="BH188" s="304"/>
    </row>
    <row r="189" spans="1:60" s="305" customFormat="1" ht="16.5" hidden="1" customHeight="1" x14ac:dyDescent="0.4">
      <c r="A189" s="285">
        <v>166</v>
      </c>
      <c r="B189" s="286"/>
      <c r="C189" s="286"/>
      <c r="D189" s="287" t="s">
        <v>92</v>
      </c>
      <c r="E189" s="287" t="s">
        <v>196</v>
      </c>
      <c r="F189" s="288" t="s">
        <v>92</v>
      </c>
      <c r="G189" s="289" t="s">
        <v>196</v>
      </c>
      <c r="H189" s="307"/>
      <c r="I189" s="290"/>
      <c r="J189" s="291" t="s">
        <v>197</v>
      </c>
      <c r="K189" s="287"/>
      <c r="L189" s="287"/>
      <c r="M189" s="287">
        <v>3759</v>
      </c>
      <c r="N189" s="287" t="s">
        <v>23</v>
      </c>
      <c r="O189" s="287" t="s">
        <v>43</v>
      </c>
      <c r="P189" s="287" t="s">
        <v>44</v>
      </c>
      <c r="Q189" s="287" t="s">
        <v>30</v>
      </c>
      <c r="R189" s="287" t="s">
        <v>31</v>
      </c>
      <c r="S189" s="292" t="s">
        <v>31</v>
      </c>
      <c r="T189" s="293"/>
      <c r="U189" s="294"/>
      <c r="V189" s="294">
        <v>41905000</v>
      </c>
      <c r="W189" s="295">
        <v>21672500</v>
      </c>
      <c r="X189" s="296"/>
      <c r="Y189" s="287" t="s">
        <v>28</v>
      </c>
      <c r="Z189" s="297" t="s">
        <v>25</v>
      </c>
      <c r="AA189" s="313"/>
      <c r="AB189" s="313"/>
      <c r="AC189" s="298">
        <f t="shared" si="8"/>
        <v>0</v>
      </c>
      <c r="AD189" s="298">
        <v>0</v>
      </c>
      <c r="AE189" s="298">
        <f t="shared" si="9"/>
        <v>0</v>
      </c>
      <c r="AF189" s="299"/>
      <c r="AG189" s="300"/>
      <c r="AH189" s="299"/>
      <c r="AI189" s="299"/>
      <c r="AJ189" s="300"/>
      <c r="AK189" s="299"/>
      <c r="AL189" s="301"/>
      <c r="AM189" s="314"/>
      <c r="AN189" s="301"/>
      <c r="AO189" s="302"/>
      <c r="AP189" s="301"/>
      <c r="AQ189" s="301"/>
      <c r="AR189" s="301"/>
      <c r="AS189" s="301"/>
      <c r="AT189" s="301"/>
      <c r="AU189" s="301"/>
      <c r="AV189" s="301"/>
      <c r="AW189" s="301"/>
      <c r="AX189" s="301"/>
      <c r="AY189" s="301"/>
      <c r="AZ189" s="301"/>
      <c r="BA189" s="301"/>
      <c r="BB189" s="301"/>
      <c r="BC189" s="301"/>
      <c r="BD189" s="301"/>
      <c r="BE189" s="301"/>
      <c r="BF189" s="301"/>
      <c r="BG189" s="303"/>
      <c r="BH189" s="304"/>
    </row>
    <row r="190" spans="1:60" s="305" customFormat="1" ht="16.5" hidden="1" customHeight="1" x14ac:dyDescent="0.4">
      <c r="A190" s="285">
        <v>167</v>
      </c>
      <c r="B190" s="286"/>
      <c r="C190" s="286"/>
      <c r="D190" s="287" t="s">
        <v>92</v>
      </c>
      <c r="E190" s="287" t="s">
        <v>196</v>
      </c>
      <c r="F190" s="288" t="s">
        <v>92</v>
      </c>
      <c r="G190" s="289" t="s">
        <v>196</v>
      </c>
      <c r="H190" s="307"/>
      <c r="I190" s="290"/>
      <c r="J190" s="291" t="s">
        <v>198</v>
      </c>
      <c r="K190" s="287"/>
      <c r="L190" s="287"/>
      <c r="M190" s="287">
        <v>7509</v>
      </c>
      <c r="N190" s="287" t="s">
        <v>23</v>
      </c>
      <c r="O190" s="287" t="s">
        <v>43</v>
      </c>
      <c r="P190" s="287" t="s">
        <v>44</v>
      </c>
      <c r="Q190" s="287" t="s">
        <v>30</v>
      </c>
      <c r="R190" s="287" t="s">
        <v>31</v>
      </c>
      <c r="S190" s="292" t="s">
        <v>31</v>
      </c>
      <c r="T190" s="293"/>
      <c r="U190" s="294">
        <v>184000</v>
      </c>
      <c r="V190" s="294">
        <v>318000</v>
      </c>
      <c r="W190" s="295">
        <v>360000</v>
      </c>
      <c r="X190" s="296"/>
      <c r="Y190" s="287" t="s">
        <v>22</v>
      </c>
      <c r="Z190" s="297" t="s">
        <v>656</v>
      </c>
      <c r="AA190" s="313"/>
      <c r="AB190" s="313"/>
      <c r="AC190" s="298">
        <f t="shared" si="8"/>
        <v>0</v>
      </c>
      <c r="AD190" s="298">
        <v>0</v>
      </c>
      <c r="AE190" s="298">
        <f t="shared" si="9"/>
        <v>0</v>
      </c>
      <c r="AF190" s="299"/>
      <c r="AG190" s="300"/>
      <c r="AH190" s="299"/>
      <c r="AI190" s="299"/>
      <c r="AJ190" s="300"/>
      <c r="AK190" s="299"/>
      <c r="AL190" s="301"/>
      <c r="AM190" s="314"/>
      <c r="AN190" s="301"/>
      <c r="AO190" s="302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3"/>
      <c r="BH190" s="304"/>
    </row>
    <row r="191" spans="1:60" s="305" customFormat="1" ht="16.5" hidden="1" customHeight="1" x14ac:dyDescent="0.4">
      <c r="A191" s="285">
        <v>168</v>
      </c>
      <c r="B191" s="286"/>
      <c r="C191" s="286"/>
      <c r="D191" s="287"/>
      <c r="E191" s="287"/>
      <c r="F191" s="288" t="s">
        <v>92</v>
      </c>
      <c r="G191" s="289" t="s">
        <v>196</v>
      </c>
      <c r="H191" s="307"/>
      <c r="I191" s="290"/>
      <c r="J191" s="291" t="s">
        <v>573</v>
      </c>
      <c r="K191" s="287"/>
      <c r="L191" s="287"/>
      <c r="M191" s="287">
        <v>62322</v>
      </c>
      <c r="N191" s="287" t="s">
        <v>23</v>
      </c>
      <c r="O191" s="287" t="s">
        <v>43</v>
      </c>
      <c r="P191" s="287" t="s">
        <v>44</v>
      </c>
      <c r="Q191" s="287" t="s">
        <v>574</v>
      </c>
      <c r="R191" s="287" t="s">
        <v>343</v>
      </c>
      <c r="S191" s="292" t="s">
        <v>748</v>
      </c>
      <c r="T191" s="293"/>
      <c r="U191" s="294"/>
      <c r="V191" s="294"/>
      <c r="W191" s="295">
        <v>13125000</v>
      </c>
      <c r="X191" s="296"/>
      <c r="Y191" s="287" t="s">
        <v>28</v>
      </c>
      <c r="Z191" s="297" t="s">
        <v>544</v>
      </c>
      <c r="AA191" s="313"/>
      <c r="AB191" s="313"/>
      <c r="AC191" s="298">
        <f t="shared" si="8"/>
        <v>20000000</v>
      </c>
      <c r="AD191" s="298">
        <v>20000000</v>
      </c>
      <c r="AE191" s="298">
        <f t="shared" si="9"/>
        <v>0</v>
      </c>
      <c r="AF191" s="299"/>
      <c r="AG191" s="300"/>
      <c r="AH191" s="299"/>
      <c r="AI191" s="299"/>
      <c r="AJ191" s="300"/>
      <c r="AK191" s="299"/>
      <c r="AL191" s="301"/>
      <c r="AM191" s="314"/>
      <c r="AN191" s="301"/>
      <c r="AO191" s="302"/>
      <c r="AP191" s="301"/>
      <c r="AQ191" s="301"/>
      <c r="AR191" s="301"/>
      <c r="AS191" s="301">
        <v>10000000</v>
      </c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>
        <v>10000000</v>
      </c>
      <c r="BF191" s="301"/>
      <c r="BG191" s="303"/>
      <c r="BH191" s="304"/>
    </row>
    <row r="192" spans="1:60" s="305" customFormat="1" ht="16.5" hidden="1" customHeight="1" x14ac:dyDescent="0.4">
      <c r="A192" s="285">
        <v>169</v>
      </c>
      <c r="B192" s="286"/>
      <c r="C192" s="286"/>
      <c r="D192" s="287" t="s">
        <v>92</v>
      </c>
      <c r="E192" s="287" t="s">
        <v>196</v>
      </c>
      <c r="F192" s="288" t="s">
        <v>92</v>
      </c>
      <c r="G192" s="289" t="s">
        <v>196</v>
      </c>
      <c r="H192" s="307"/>
      <c r="I192" s="290"/>
      <c r="J192" s="291" t="s">
        <v>771</v>
      </c>
      <c r="K192" s="287"/>
      <c r="L192" s="287"/>
      <c r="M192" s="287">
        <v>60852</v>
      </c>
      <c r="N192" s="287" t="s">
        <v>23</v>
      </c>
      <c r="O192" s="287" t="s">
        <v>43</v>
      </c>
      <c r="P192" s="287"/>
      <c r="Q192" s="287"/>
      <c r="R192" s="287"/>
      <c r="S192" s="292" t="s">
        <v>31</v>
      </c>
      <c r="T192" s="293"/>
      <c r="U192" s="294"/>
      <c r="V192" s="294"/>
      <c r="W192" s="295">
        <v>2747800</v>
      </c>
      <c r="X192" s="296"/>
      <c r="Y192" s="287"/>
      <c r="Z192" s="297" t="s">
        <v>656</v>
      </c>
      <c r="AA192" s="313"/>
      <c r="AB192" s="313"/>
      <c r="AC192" s="298">
        <f t="shared" si="8"/>
        <v>0</v>
      </c>
      <c r="AD192" s="298">
        <v>0</v>
      </c>
      <c r="AE192" s="298">
        <f t="shared" si="9"/>
        <v>0</v>
      </c>
      <c r="AF192" s="299"/>
      <c r="AG192" s="300"/>
      <c r="AH192" s="299"/>
      <c r="AI192" s="299"/>
      <c r="AJ192" s="300"/>
      <c r="AK192" s="299"/>
      <c r="AL192" s="301"/>
      <c r="AM192" s="314"/>
      <c r="AN192" s="301"/>
      <c r="AO192" s="302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3"/>
      <c r="BH192" s="304"/>
    </row>
    <row r="193" spans="1:60" s="305" customFormat="1" ht="16.5" hidden="1" customHeight="1" x14ac:dyDescent="0.4">
      <c r="A193" s="285">
        <v>170</v>
      </c>
      <c r="B193" s="286"/>
      <c r="C193" s="286"/>
      <c r="D193" s="287" t="s">
        <v>92</v>
      </c>
      <c r="E193" s="287" t="s">
        <v>196</v>
      </c>
      <c r="F193" s="288" t="s">
        <v>92</v>
      </c>
      <c r="G193" s="289" t="s">
        <v>196</v>
      </c>
      <c r="H193" s="307"/>
      <c r="I193" s="290"/>
      <c r="J193" s="291" t="s">
        <v>199</v>
      </c>
      <c r="K193" s="287"/>
      <c r="L193" s="287"/>
      <c r="M193" s="287">
        <v>45421</v>
      </c>
      <c r="N193" s="287" t="s">
        <v>18</v>
      </c>
      <c r="O193" s="287" t="s">
        <v>43</v>
      </c>
      <c r="P193" s="287" t="s">
        <v>44</v>
      </c>
      <c r="Q193" s="287" t="s">
        <v>30</v>
      </c>
      <c r="R193" s="287" t="s">
        <v>31</v>
      </c>
      <c r="S193" s="292" t="s">
        <v>31</v>
      </c>
      <c r="T193" s="293"/>
      <c r="U193" s="294"/>
      <c r="V193" s="294">
        <v>1820000</v>
      </c>
      <c r="W193" s="295">
        <v>1290000</v>
      </c>
      <c r="X193" s="296"/>
      <c r="Y193" s="287" t="s">
        <v>28</v>
      </c>
      <c r="Z193" s="297" t="s">
        <v>25</v>
      </c>
      <c r="AA193" s="313"/>
      <c r="AB193" s="313"/>
      <c r="AC193" s="298">
        <f t="shared" si="8"/>
        <v>0</v>
      </c>
      <c r="AD193" s="298">
        <v>0</v>
      </c>
      <c r="AE193" s="298">
        <f t="shared" si="9"/>
        <v>0</v>
      </c>
      <c r="AF193" s="299"/>
      <c r="AG193" s="300"/>
      <c r="AH193" s="299"/>
      <c r="AI193" s="299"/>
      <c r="AJ193" s="300"/>
      <c r="AK193" s="299"/>
      <c r="AL193" s="301"/>
      <c r="AM193" s="314"/>
      <c r="AN193" s="301"/>
      <c r="AO193" s="302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3"/>
      <c r="BH193" s="304"/>
    </row>
    <row r="194" spans="1:60" s="305" customFormat="1" ht="16.5" hidden="1" customHeight="1" x14ac:dyDescent="0.4">
      <c r="A194" s="285">
        <v>171</v>
      </c>
      <c r="B194" s="286"/>
      <c r="C194" s="286"/>
      <c r="D194" s="287" t="s">
        <v>92</v>
      </c>
      <c r="E194" s="287" t="s">
        <v>196</v>
      </c>
      <c r="F194" s="288" t="s">
        <v>92</v>
      </c>
      <c r="G194" s="289" t="s">
        <v>196</v>
      </c>
      <c r="H194" s="307"/>
      <c r="I194" s="290"/>
      <c r="J194" s="291" t="s">
        <v>200</v>
      </c>
      <c r="K194" s="287"/>
      <c r="L194" s="287"/>
      <c r="M194" s="287">
        <v>43797</v>
      </c>
      <c r="N194" s="287" t="s">
        <v>18</v>
      </c>
      <c r="O194" s="287" t="s">
        <v>43</v>
      </c>
      <c r="P194" s="287"/>
      <c r="Q194" s="287" t="s">
        <v>30</v>
      </c>
      <c r="R194" s="287" t="s">
        <v>31</v>
      </c>
      <c r="S194" s="292" t="s">
        <v>31</v>
      </c>
      <c r="T194" s="293"/>
      <c r="U194" s="294">
        <v>5816000</v>
      </c>
      <c r="V194" s="294">
        <v>9440400</v>
      </c>
      <c r="W194" s="295">
        <v>10156000</v>
      </c>
      <c r="X194" s="296"/>
      <c r="Y194" s="287" t="s">
        <v>28</v>
      </c>
      <c r="Z194" s="297" t="s">
        <v>25</v>
      </c>
      <c r="AA194" s="313"/>
      <c r="AB194" s="313"/>
      <c r="AC194" s="298">
        <f t="shared" si="8"/>
        <v>5000000</v>
      </c>
      <c r="AD194" s="298">
        <v>5000000</v>
      </c>
      <c r="AE194" s="298">
        <f t="shared" si="9"/>
        <v>0</v>
      </c>
      <c r="AF194" s="299"/>
      <c r="AG194" s="300"/>
      <c r="AH194" s="299"/>
      <c r="AI194" s="299"/>
      <c r="AJ194" s="300"/>
      <c r="AK194" s="299"/>
      <c r="AL194" s="301"/>
      <c r="AM194" s="314"/>
      <c r="AN194" s="301"/>
      <c r="AO194" s="302"/>
      <c r="AP194" s="301"/>
      <c r="AQ194" s="301"/>
      <c r="AR194" s="301"/>
      <c r="AS194" s="301">
        <v>5000000</v>
      </c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3"/>
      <c r="BH194" s="304"/>
    </row>
    <row r="195" spans="1:60" s="305" customFormat="1" ht="16.5" hidden="1" customHeight="1" x14ac:dyDescent="0.4">
      <c r="A195" s="285">
        <v>172</v>
      </c>
      <c r="B195" s="286"/>
      <c r="C195" s="286"/>
      <c r="D195" s="287"/>
      <c r="E195" s="287"/>
      <c r="F195" s="288" t="s">
        <v>92</v>
      </c>
      <c r="G195" s="289" t="s">
        <v>196</v>
      </c>
      <c r="H195" s="307"/>
      <c r="I195" s="290"/>
      <c r="J195" s="291" t="s">
        <v>447</v>
      </c>
      <c r="K195" s="287"/>
      <c r="L195" s="287"/>
      <c r="M195" s="287">
        <v>49737</v>
      </c>
      <c r="N195" s="287" t="s">
        <v>18</v>
      </c>
      <c r="O195" s="287" t="s">
        <v>43</v>
      </c>
      <c r="P195" s="287" t="s">
        <v>44</v>
      </c>
      <c r="Q195" s="287" t="s">
        <v>19</v>
      </c>
      <c r="R195" s="287" t="s">
        <v>20</v>
      </c>
      <c r="S195" s="292" t="s">
        <v>20</v>
      </c>
      <c r="T195" s="293"/>
      <c r="U195" s="294">
        <v>440500</v>
      </c>
      <c r="V195" s="294">
        <v>2697570</v>
      </c>
      <c r="W195" s="295">
        <v>3381560</v>
      </c>
      <c r="X195" s="296"/>
      <c r="Y195" s="287" t="s">
        <v>28</v>
      </c>
      <c r="Z195" s="297" t="s">
        <v>28</v>
      </c>
      <c r="AA195" s="313"/>
      <c r="AB195" s="313"/>
      <c r="AC195" s="298">
        <f t="shared" si="8"/>
        <v>793600</v>
      </c>
      <c r="AD195" s="298">
        <v>793600</v>
      </c>
      <c r="AE195" s="298">
        <f t="shared" si="9"/>
        <v>0</v>
      </c>
      <c r="AF195" s="299"/>
      <c r="AG195" s="300">
        <v>251200</v>
      </c>
      <c r="AH195" s="299"/>
      <c r="AI195" s="299">
        <v>395200</v>
      </c>
      <c r="AJ195" s="300">
        <v>395200</v>
      </c>
      <c r="AK195" s="299"/>
      <c r="AL195" s="301"/>
      <c r="AM195" s="314">
        <v>147200</v>
      </c>
      <c r="AN195" s="301"/>
      <c r="AO195" s="302"/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3"/>
      <c r="BH195" s="304"/>
    </row>
    <row r="196" spans="1:60" s="305" customFormat="1" ht="16.5" hidden="1" customHeight="1" x14ac:dyDescent="0.4">
      <c r="A196" s="285">
        <v>173</v>
      </c>
      <c r="B196" s="286"/>
      <c r="C196" s="286"/>
      <c r="D196" s="287"/>
      <c r="E196" s="287"/>
      <c r="F196" s="288" t="s">
        <v>92</v>
      </c>
      <c r="G196" s="289" t="s">
        <v>196</v>
      </c>
      <c r="H196" s="307"/>
      <c r="I196" s="290"/>
      <c r="J196" s="291" t="s">
        <v>447</v>
      </c>
      <c r="K196" s="287"/>
      <c r="L196" s="287"/>
      <c r="M196" s="287">
        <v>49737</v>
      </c>
      <c r="N196" s="287" t="s">
        <v>18</v>
      </c>
      <c r="O196" s="287" t="s">
        <v>43</v>
      </c>
      <c r="P196" s="287"/>
      <c r="Q196" s="287"/>
      <c r="R196" s="287"/>
      <c r="S196" s="292" t="s">
        <v>349</v>
      </c>
      <c r="T196" s="293"/>
      <c r="U196" s="294"/>
      <c r="V196" s="294"/>
      <c r="W196" s="295">
        <v>1000000</v>
      </c>
      <c r="X196" s="296"/>
      <c r="Y196" s="287"/>
      <c r="Z196" s="297" t="s">
        <v>656</v>
      </c>
      <c r="AA196" s="313"/>
      <c r="AB196" s="313"/>
      <c r="AC196" s="298">
        <f t="shared" si="8"/>
        <v>0</v>
      </c>
      <c r="AD196" s="298">
        <v>0</v>
      </c>
      <c r="AE196" s="298">
        <f t="shared" si="9"/>
        <v>0</v>
      </c>
      <c r="AF196" s="299"/>
      <c r="AG196" s="300"/>
      <c r="AH196" s="299"/>
      <c r="AI196" s="299"/>
      <c r="AJ196" s="300"/>
      <c r="AK196" s="299"/>
      <c r="AL196" s="301"/>
      <c r="AM196" s="314"/>
      <c r="AN196" s="301"/>
      <c r="AO196" s="302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3"/>
      <c r="BH196" s="304"/>
    </row>
    <row r="197" spans="1:60" s="305" customFormat="1" ht="16.5" hidden="1" customHeight="1" x14ac:dyDescent="0.4">
      <c r="A197" s="285">
        <v>174</v>
      </c>
      <c r="B197" s="286"/>
      <c r="C197" s="286"/>
      <c r="D197" s="287" t="s">
        <v>92</v>
      </c>
      <c r="E197" s="287" t="s">
        <v>196</v>
      </c>
      <c r="F197" s="288" t="s">
        <v>92</v>
      </c>
      <c r="G197" s="289" t="s">
        <v>196</v>
      </c>
      <c r="H197" s="307"/>
      <c r="I197" s="290"/>
      <c r="J197" s="291" t="s">
        <v>772</v>
      </c>
      <c r="K197" s="287"/>
      <c r="L197" s="287"/>
      <c r="M197" s="287">
        <v>65844</v>
      </c>
      <c r="N197" s="287" t="s">
        <v>18</v>
      </c>
      <c r="O197" s="287" t="s">
        <v>43</v>
      </c>
      <c r="P197" s="287"/>
      <c r="Q197" s="287"/>
      <c r="R197" s="287"/>
      <c r="S197" s="292" t="s">
        <v>31</v>
      </c>
      <c r="T197" s="293"/>
      <c r="U197" s="294"/>
      <c r="V197" s="294"/>
      <c r="W197" s="295">
        <v>84000</v>
      </c>
      <c r="X197" s="296"/>
      <c r="Y197" s="287"/>
      <c r="Z197" s="297" t="s">
        <v>656</v>
      </c>
      <c r="AA197" s="313"/>
      <c r="AB197" s="313"/>
      <c r="AC197" s="298">
        <f t="shared" si="8"/>
        <v>0</v>
      </c>
      <c r="AD197" s="298">
        <v>0</v>
      </c>
      <c r="AE197" s="298">
        <f t="shared" si="9"/>
        <v>0</v>
      </c>
      <c r="AF197" s="299"/>
      <c r="AG197" s="300"/>
      <c r="AH197" s="299"/>
      <c r="AI197" s="299"/>
      <c r="AJ197" s="300"/>
      <c r="AK197" s="299"/>
      <c r="AL197" s="301"/>
      <c r="AM197" s="314"/>
      <c r="AN197" s="301"/>
      <c r="AO197" s="302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3"/>
      <c r="BH197" s="304"/>
    </row>
    <row r="198" spans="1:60" s="305" customFormat="1" ht="16.5" hidden="1" customHeight="1" x14ac:dyDescent="0.4">
      <c r="A198" s="285">
        <v>175</v>
      </c>
      <c r="B198" s="286"/>
      <c r="C198" s="286"/>
      <c r="D198" s="287" t="s">
        <v>92</v>
      </c>
      <c r="E198" s="287" t="s">
        <v>196</v>
      </c>
      <c r="F198" s="288" t="s">
        <v>92</v>
      </c>
      <c r="G198" s="289" t="s">
        <v>196</v>
      </c>
      <c r="H198" s="307"/>
      <c r="I198" s="290"/>
      <c r="J198" s="291" t="s">
        <v>856</v>
      </c>
      <c r="K198" s="287"/>
      <c r="L198" s="287"/>
      <c r="M198" s="287">
        <v>23747</v>
      </c>
      <c r="N198" s="287" t="s">
        <v>35</v>
      </c>
      <c r="O198" s="287" t="s">
        <v>43</v>
      </c>
      <c r="P198" s="287" t="s">
        <v>44</v>
      </c>
      <c r="Q198" s="287" t="s">
        <v>19</v>
      </c>
      <c r="R198" s="287" t="s">
        <v>20</v>
      </c>
      <c r="S198" s="292" t="s">
        <v>20</v>
      </c>
      <c r="T198" s="293"/>
      <c r="U198" s="294">
        <v>20354350</v>
      </c>
      <c r="V198" s="294">
        <v>26610030</v>
      </c>
      <c r="W198" s="295">
        <v>27564700</v>
      </c>
      <c r="X198" s="296"/>
      <c r="Y198" s="287" t="s">
        <v>28</v>
      </c>
      <c r="Z198" s="297" t="s">
        <v>28</v>
      </c>
      <c r="AA198" s="313"/>
      <c r="AB198" s="313"/>
      <c r="AC198" s="298">
        <f t="shared" si="8"/>
        <v>12688660</v>
      </c>
      <c r="AD198" s="298">
        <v>12688660</v>
      </c>
      <c r="AE198" s="298">
        <f t="shared" si="9"/>
        <v>0</v>
      </c>
      <c r="AF198" s="299"/>
      <c r="AG198" s="300">
        <v>3692810</v>
      </c>
      <c r="AH198" s="299"/>
      <c r="AI198" s="299">
        <v>4697890</v>
      </c>
      <c r="AJ198" s="300">
        <v>4727890</v>
      </c>
      <c r="AK198" s="299"/>
      <c r="AL198" s="301"/>
      <c r="AM198" s="314">
        <v>4267960</v>
      </c>
      <c r="AN198" s="301"/>
      <c r="AO198" s="302"/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3"/>
      <c r="BH198" s="304"/>
    </row>
    <row r="199" spans="1:60" s="305" customFormat="1" ht="16.5" hidden="1" customHeight="1" x14ac:dyDescent="0.4">
      <c r="A199" s="285">
        <v>176</v>
      </c>
      <c r="B199" s="286"/>
      <c r="C199" s="286"/>
      <c r="D199" s="287" t="s">
        <v>92</v>
      </c>
      <c r="E199" s="287" t="s">
        <v>196</v>
      </c>
      <c r="F199" s="288" t="s">
        <v>92</v>
      </c>
      <c r="G199" s="289" t="s">
        <v>196</v>
      </c>
      <c r="H199" s="307"/>
      <c r="I199" s="290"/>
      <c r="J199" s="291" t="s">
        <v>202</v>
      </c>
      <c r="K199" s="287"/>
      <c r="L199" s="287"/>
      <c r="M199" s="287">
        <v>6418</v>
      </c>
      <c r="N199" s="287" t="s">
        <v>18</v>
      </c>
      <c r="O199" s="287" t="s">
        <v>43</v>
      </c>
      <c r="P199" s="287"/>
      <c r="Q199" s="287" t="s">
        <v>30</v>
      </c>
      <c r="R199" s="287" t="s">
        <v>31</v>
      </c>
      <c r="S199" s="292" t="s">
        <v>31</v>
      </c>
      <c r="T199" s="293"/>
      <c r="U199" s="294">
        <v>2368000</v>
      </c>
      <c r="V199" s="294">
        <v>2512000</v>
      </c>
      <c r="W199" s="295">
        <v>2432000</v>
      </c>
      <c r="X199" s="296"/>
      <c r="Y199" s="287" t="s">
        <v>25</v>
      </c>
      <c r="Z199" s="297" t="s">
        <v>26</v>
      </c>
      <c r="AA199" s="313"/>
      <c r="AB199" s="313"/>
      <c r="AC199" s="298">
        <f t="shared" si="8"/>
        <v>2000000</v>
      </c>
      <c r="AD199" s="298">
        <v>2000000</v>
      </c>
      <c r="AE199" s="298">
        <f t="shared" si="9"/>
        <v>0</v>
      </c>
      <c r="AF199" s="299"/>
      <c r="AG199" s="300"/>
      <c r="AH199" s="299"/>
      <c r="AI199" s="299"/>
      <c r="AJ199" s="300"/>
      <c r="AK199" s="299"/>
      <c r="AL199" s="301"/>
      <c r="AM199" s="314"/>
      <c r="AN199" s="301"/>
      <c r="AO199" s="302"/>
      <c r="AP199" s="301"/>
      <c r="AQ199" s="301"/>
      <c r="AR199" s="301"/>
      <c r="AS199" s="301"/>
      <c r="AT199" s="301"/>
      <c r="AU199" s="301">
        <v>2000000</v>
      </c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3"/>
      <c r="BH199" s="304"/>
    </row>
    <row r="200" spans="1:60" s="305" customFormat="1" ht="16.5" hidden="1" customHeight="1" x14ac:dyDescent="0.4">
      <c r="A200" s="285">
        <v>177</v>
      </c>
      <c r="B200" s="286"/>
      <c r="C200" s="286"/>
      <c r="D200" s="287" t="s">
        <v>92</v>
      </c>
      <c r="E200" s="287" t="s">
        <v>196</v>
      </c>
      <c r="F200" s="288" t="s">
        <v>92</v>
      </c>
      <c r="G200" s="289" t="s">
        <v>196</v>
      </c>
      <c r="H200" s="307"/>
      <c r="I200" s="290"/>
      <c r="J200" s="291" t="s">
        <v>320</v>
      </c>
      <c r="K200" s="287"/>
      <c r="L200" s="287"/>
      <c r="M200" s="287">
        <v>61462</v>
      </c>
      <c r="N200" s="287" t="s">
        <v>35</v>
      </c>
      <c r="O200" s="287" t="s">
        <v>43</v>
      </c>
      <c r="P200" s="287" t="s">
        <v>44</v>
      </c>
      <c r="Q200" s="287" t="s">
        <v>30</v>
      </c>
      <c r="R200" s="287" t="s">
        <v>31</v>
      </c>
      <c r="S200" s="292" t="s">
        <v>31</v>
      </c>
      <c r="T200" s="293"/>
      <c r="U200" s="294"/>
      <c r="V200" s="294">
        <v>440000</v>
      </c>
      <c r="W200" s="295">
        <v>340000</v>
      </c>
      <c r="X200" s="296"/>
      <c r="Y200" s="287" t="s">
        <v>25</v>
      </c>
      <c r="Z200" s="297" t="s">
        <v>26</v>
      </c>
      <c r="AA200" s="313"/>
      <c r="AB200" s="313"/>
      <c r="AC200" s="298">
        <f t="shared" si="8"/>
        <v>1000000</v>
      </c>
      <c r="AD200" s="298">
        <v>1000000</v>
      </c>
      <c r="AE200" s="298">
        <f t="shared" si="9"/>
        <v>0</v>
      </c>
      <c r="AF200" s="299"/>
      <c r="AG200" s="300"/>
      <c r="AH200" s="299"/>
      <c r="AI200" s="299"/>
      <c r="AJ200" s="300"/>
      <c r="AK200" s="299"/>
      <c r="AL200" s="301"/>
      <c r="AM200" s="314"/>
      <c r="AN200" s="301"/>
      <c r="AO200" s="302"/>
      <c r="AP200" s="301"/>
      <c r="AQ200" s="301"/>
      <c r="AR200" s="301"/>
      <c r="AS200" s="301"/>
      <c r="AT200" s="301"/>
      <c r="AU200" s="301">
        <v>1000000</v>
      </c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3"/>
      <c r="BH200" s="304"/>
    </row>
    <row r="201" spans="1:60" s="305" customFormat="1" ht="16.5" hidden="1" customHeight="1" x14ac:dyDescent="0.4">
      <c r="A201" s="285">
        <v>178</v>
      </c>
      <c r="B201" s="286"/>
      <c r="C201" s="286"/>
      <c r="D201" s="287" t="s">
        <v>92</v>
      </c>
      <c r="E201" s="287" t="s">
        <v>196</v>
      </c>
      <c r="F201" s="288" t="s">
        <v>92</v>
      </c>
      <c r="G201" s="289" t="s">
        <v>196</v>
      </c>
      <c r="H201" s="307"/>
      <c r="I201" s="290"/>
      <c r="J201" s="291" t="s">
        <v>203</v>
      </c>
      <c r="K201" s="287"/>
      <c r="L201" s="287"/>
      <c r="M201" s="287">
        <v>27907</v>
      </c>
      <c r="N201" s="287" t="s">
        <v>18</v>
      </c>
      <c r="O201" s="287" t="s">
        <v>43</v>
      </c>
      <c r="P201" s="287" t="s">
        <v>44</v>
      </c>
      <c r="Q201" s="287" t="s">
        <v>19</v>
      </c>
      <c r="R201" s="287" t="s">
        <v>20</v>
      </c>
      <c r="S201" s="292" t="s">
        <v>20</v>
      </c>
      <c r="T201" s="293"/>
      <c r="U201" s="294">
        <v>9763000</v>
      </c>
      <c r="V201" s="294">
        <v>13437600</v>
      </c>
      <c r="W201" s="295">
        <v>21715700</v>
      </c>
      <c r="X201" s="296"/>
      <c r="Y201" s="287" t="s">
        <v>28</v>
      </c>
      <c r="Z201" s="297" t="s">
        <v>28</v>
      </c>
      <c r="AA201" s="313"/>
      <c r="AB201" s="313"/>
      <c r="AC201" s="298">
        <f t="shared" si="8"/>
        <v>15052500</v>
      </c>
      <c r="AD201" s="298">
        <v>15052500</v>
      </c>
      <c r="AE201" s="298">
        <f t="shared" si="9"/>
        <v>0</v>
      </c>
      <c r="AF201" s="299">
        <v>3027500</v>
      </c>
      <c r="AG201" s="300">
        <v>3027500</v>
      </c>
      <c r="AH201" s="299"/>
      <c r="AI201" s="299"/>
      <c r="AJ201" s="300">
        <v>1569000</v>
      </c>
      <c r="AK201" s="299"/>
      <c r="AL201" s="301">
        <v>2000000</v>
      </c>
      <c r="AM201" s="314">
        <v>1456000</v>
      </c>
      <c r="AN201" s="301"/>
      <c r="AO201" s="302">
        <v>1000000</v>
      </c>
      <c r="AP201" s="301"/>
      <c r="AQ201" s="301">
        <v>1000000</v>
      </c>
      <c r="AR201" s="301"/>
      <c r="AS201" s="301">
        <v>1000000</v>
      </c>
      <c r="AT201" s="301"/>
      <c r="AU201" s="301">
        <v>1000000</v>
      </c>
      <c r="AV201" s="301"/>
      <c r="AW201" s="301">
        <v>1000000</v>
      </c>
      <c r="AX201" s="301"/>
      <c r="AY201" s="301">
        <v>1000000</v>
      </c>
      <c r="AZ201" s="301"/>
      <c r="BA201" s="301">
        <v>1000000</v>
      </c>
      <c r="BB201" s="301"/>
      <c r="BC201" s="301">
        <v>1000000</v>
      </c>
      <c r="BD201" s="301"/>
      <c r="BE201" s="301">
        <v>1000000</v>
      </c>
      <c r="BF201" s="301"/>
      <c r="BG201" s="303"/>
      <c r="BH201" s="304"/>
    </row>
    <row r="202" spans="1:60" s="305" customFormat="1" ht="16.5" hidden="1" customHeight="1" x14ac:dyDescent="0.4">
      <c r="A202" s="285">
        <v>179</v>
      </c>
      <c r="B202" s="286"/>
      <c r="C202" s="286"/>
      <c r="D202" s="287" t="s">
        <v>92</v>
      </c>
      <c r="E202" s="287" t="s">
        <v>196</v>
      </c>
      <c r="F202" s="288" t="s">
        <v>92</v>
      </c>
      <c r="G202" s="289" t="s">
        <v>196</v>
      </c>
      <c r="H202" s="307"/>
      <c r="I202" s="290"/>
      <c r="J202" s="291" t="s">
        <v>203</v>
      </c>
      <c r="K202" s="287"/>
      <c r="L202" s="287"/>
      <c r="M202" s="287">
        <v>27907</v>
      </c>
      <c r="N202" s="287" t="s">
        <v>18</v>
      </c>
      <c r="O202" s="287" t="s">
        <v>43</v>
      </c>
      <c r="P202" s="287"/>
      <c r="Q202" s="287" t="s">
        <v>48</v>
      </c>
      <c r="R202" s="287" t="s">
        <v>685</v>
      </c>
      <c r="S202" s="292" t="s">
        <v>743</v>
      </c>
      <c r="T202" s="293"/>
      <c r="U202" s="294">
        <v>1680000</v>
      </c>
      <c r="V202" s="294">
        <v>0</v>
      </c>
      <c r="W202" s="295"/>
      <c r="X202" s="296"/>
      <c r="Y202" s="287" t="s">
        <v>22</v>
      </c>
      <c r="Z202" s="297" t="s">
        <v>22</v>
      </c>
      <c r="AA202" s="313"/>
      <c r="AB202" s="313"/>
      <c r="AC202" s="298">
        <f t="shared" si="8"/>
        <v>0</v>
      </c>
      <c r="AD202" s="298">
        <v>0</v>
      </c>
      <c r="AE202" s="298">
        <f t="shared" si="9"/>
        <v>0</v>
      </c>
      <c r="AF202" s="299"/>
      <c r="AG202" s="300"/>
      <c r="AH202" s="299"/>
      <c r="AI202" s="299"/>
      <c r="AJ202" s="300"/>
      <c r="AK202" s="299"/>
      <c r="AL202" s="301"/>
      <c r="AM202" s="314"/>
      <c r="AN202" s="301"/>
      <c r="AO202" s="302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3"/>
      <c r="BH202" s="304"/>
    </row>
    <row r="203" spans="1:60" s="305" customFormat="1" ht="16.5" hidden="1" customHeight="1" x14ac:dyDescent="0.4">
      <c r="A203" s="285">
        <v>180</v>
      </c>
      <c r="B203" s="286"/>
      <c r="C203" s="286"/>
      <c r="D203" s="287" t="s">
        <v>92</v>
      </c>
      <c r="E203" s="287" t="s">
        <v>102</v>
      </c>
      <c r="F203" s="288" t="s">
        <v>92</v>
      </c>
      <c r="G203" s="289" t="s">
        <v>196</v>
      </c>
      <c r="H203" s="307"/>
      <c r="I203" s="290"/>
      <c r="J203" s="291" t="s">
        <v>686</v>
      </c>
      <c r="K203" s="287"/>
      <c r="L203" s="287"/>
      <c r="M203" s="287">
        <v>7509</v>
      </c>
      <c r="N203" s="287" t="s">
        <v>23</v>
      </c>
      <c r="O203" s="287" t="s">
        <v>43</v>
      </c>
      <c r="P203" s="287"/>
      <c r="Q203" s="287"/>
      <c r="R203" s="287" t="s">
        <v>351</v>
      </c>
      <c r="S203" s="292"/>
      <c r="T203" s="293"/>
      <c r="U203" s="294"/>
      <c r="V203" s="294"/>
      <c r="W203" s="295"/>
      <c r="X203" s="296"/>
      <c r="Y203" s="287" t="s">
        <v>26</v>
      </c>
      <c r="Z203" s="297" t="s">
        <v>26</v>
      </c>
      <c r="AA203" s="313"/>
      <c r="AB203" s="313"/>
      <c r="AC203" s="298">
        <f t="shared" si="8"/>
        <v>0</v>
      </c>
      <c r="AD203" s="298">
        <v>0</v>
      </c>
      <c r="AE203" s="298">
        <f t="shared" si="9"/>
        <v>0</v>
      </c>
      <c r="AF203" s="299"/>
      <c r="AG203" s="300"/>
      <c r="AH203" s="299"/>
      <c r="AI203" s="299"/>
      <c r="AJ203" s="300"/>
      <c r="AK203" s="299"/>
      <c r="AL203" s="301"/>
      <c r="AM203" s="314"/>
      <c r="AN203" s="301"/>
      <c r="AO203" s="302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3"/>
      <c r="BH203" s="304"/>
    </row>
    <row r="204" spans="1:60" s="305" customFormat="1" ht="16.5" hidden="1" customHeight="1" x14ac:dyDescent="0.4">
      <c r="A204" s="285">
        <v>181</v>
      </c>
      <c r="B204" s="286"/>
      <c r="C204" s="286"/>
      <c r="D204" s="287" t="s">
        <v>92</v>
      </c>
      <c r="E204" s="287" t="s">
        <v>102</v>
      </c>
      <c r="F204" s="288" t="s">
        <v>92</v>
      </c>
      <c r="G204" s="289" t="s">
        <v>196</v>
      </c>
      <c r="H204" s="307"/>
      <c r="I204" s="290"/>
      <c r="J204" s="291" t="s">
        <v>620</v>
      </c>
      <c r="K204" s="287"/>
      <c r="L204" s="287"/>
      <c r="M204" s="287">
        <v>3188</v>
      </c>
      <c r="N204" s="287" t="s">
        <v>40</v>
      </c>
      <c r="O204" s="287" t="s">
        <v>43</v>
      </c>
      <c r="P204" s="287"/>
      <c r="Q204" s="287"/>
      <c r="R204" s="287" t="s">
        <v>349</v>
      </c>
      <c r="S204" s="292" t="s">
        <v>349</v>
      </c>
      <c r="T204" s="293"/>
      <c r="U204" s="294"/>
      <c r="V204" s="294"/>
      <c r="W204" s="295">
        <v>4360000</v>
      </c>
      <c r="X204" s="296"/>
      <c r="Y204" s="287" t="s">
        <v>28</v>
      </c>
      <c r="Z204" s="297" t="s">
        <v>25</v>
      </c>
      <c r="AA204" s="313"/>
      <c r="AB204" s="313"/>
      <c r="AC204" s="298">
        <f t="shared" si="8"/>
        <v>5000000</v>
      </c>
      <c r="AD204" s="298">
        <v>5000000</v>
      </c>
      <c r="AE204" s="298">
        <f t="shared" si="9"/>
        <v>0</v>
      </c>
      <c r="AF204" s="299"/>
      <c r="AG204" s="300"/>
      <c r="AH204" s="299"/>
      <c r="AI204" s="299"/>
      <c r="AJ204" s="300"/>
      <c r="AK204" s="299"/>
      <c r="AL204" s="301"/>
      <c r="AM204" s="314"/>
      <c r="AN204" s="301"/>
      <c r="AO204" s="302"/>
      <c r="AP204" s="301"/>
      <c r="AQ204" s="301"/>
      <c r="AR204" s="301"/>
      <c r="AS204" s="301">
        <v>5000000</v>
      </c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3"/>
      <c r="BH204" s="304"/>
    </row>
    <row r="205" spans="1:60" s="305" customFormat="1" ht="16.5" hidden="1" customHeight="1" x14ac:dyDescent="0.4">
      <c r="A205" s="285">
        <v>182</v>
      </c>
      <c r="B205" s="286"/>
      <c r="C205" s="286"/>
      <c r="D205" s="287" t="s">
        <v>92</v>
      </c>
      <c r="E205" s="287" t="s">
        <v>102</v>
      </c>
      <c r="F205" s="288" t="s">
        <v>92</v>
      </c>
      <c r="G205" s="289" t="s">
        <v>196</v>
      </c>
      <c r="H205" s="307"/>
      <c r="I205" s="290"/>
      <c r="J205" s="291" t="s">
        <v>112</v>
      </c>
      <c r="K205" s="287"/>
      <c r="L205" s="287"/>
      <c r="M205" s="287">
        <v>1923</v>
      </c>
      <c r="N205" s="287" t="s">
        <v>23</v>
      </c>
      <c r="O205" s="287" t="s">
        <v>43</v>
      </c>
      <c r="P205" s="287" t="s">
        <v>98</v>
      </c>
      <c r="Q205" s="287"/>
      <c r="R205" s="287" t="s">
        <v>20</v>
      </c>
      <c r="S205" s="292" t="s">
        <v>20</v>
      </c>
      <c r="T205" s="293"/>
      <c r="U205" s="294"/>
      <c r="V205" s="294"/>
      <c r="W205" s="295">
        <v>1200000</v>
      </c>
      <c r="X205" s="296"/>
      <c r="Y205" s="287" t="s">
        <v>28</v>
      </c>
      <c r="Z205" s="297" t="s">
        <v>28</v>
      </c>
      <c r="AA205" s="313"/>
      <c r="AB205" s="313"/>
      <c r="AC205" s="298">
        <f t="shared" si="8"/>
        <v>2000000</v>
      </c>
      <c r="AD205" s="298">
        <v>2000000</v>
      </c>
      <c r="AE205" s="298">
        <f t="shared" si="9"/>
        <v>0</v>
      </c>
      <c r="AF205" s="299"/>
      <c r="AG205" s="300"/>
      <c r="AH205" s="299"/>
      <c r="AI205" s="299">
        <v>2000000</v>
      </c>
      <c r="AJ205" s="300">
        <v>2000000</v>
      </c>
      <c r="AK205" s="299"/>
      <c r="AL205" s="301"/>
      <c r="AM205" s="314"/>
      <c r="AN205" s="301"/>
      <c r="AO205" s="302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3"/>
      <c r="BH205" s="304"/>
    </row>
    <row r="206" spans="1:60" s="305" customFormat="1" ht="16.5" hidden="1" customHeight="1" x14ac:dyDescent="0.4">
      <c r="A206" s="285">
        <v>183</v>
      </c>
      <c r="B206" s="286"/>
      <c r="C206" s="286"/>
      <c r="D206" s="287" t="s">
        <v>92</v>
      </c>
      <c r="E206" s="287" t="s">
        <v>184</v>
      </c>
      <c r="F206" s="288" t="s">
        <v>92</v>
      </c>
      <c r="G206" s="289" t="s">
        <v>196</v>
      </c>
      <c r="H206" s="307"/>
      <c r="I206" s="290"/>
      <c r="J206" s="291" t="s">
        <v>112</v>
      </c>
      <c r="K206" s="287"/>
      <c r="L206" s="287"/>
      <c r="M206" s="287">
        <v>1923</v>
      </c>
      <c r="N206" s="287" t="s">
        <v>23</v>
      </c>
      <c r="O206" s="287" t="s">
        <v>33</v>
      </c>
      <c r="P206" s="287" t="s">
        <v>98</v>
      </c>
      <c r="Q206" s="287" t="s">
        <v>27</v>
      </c>
      <c r="R206" s="287" t="s">
        <v>340</v>
      </c>
      <c r="S206" s="292" t="s">
        <v>340</v>
      </c>
      <c r="T206" s="293"/>
      <c r="U206" s="294"/>
      <c r="V206" s="294">
        <v>77725000</v>
      </c>
      <c r="W206" s="295"/>
      <c r="X206" s="296"/>
      <c r="Y206" s="287" t="s">
        <v>26</v>
      </c>
      <c r="Z206" s="297" t="s">
        <v>26</v>
      </c>
      <c r="AA206" s="313"/>
      <c r="AB206" s="313"/>
      <c r="AC206" s="298">
        <f t="shared" si="8"/>
        <v>3000000</v>
      </c>
      <c r="AD206" s="298">
        <v>3000000</v>
      </c>
      <c r="AE206" s="298">
        <f t="shared" si="9"/>
        <v>0</v>
      </c>
      <c r="AF206" s="299"/>
      <c r="AG206" s="300"/>
      <c r="AH206" s="299"/>
      <c r="AI206" s="299"/>
      <c r="AJ206" s="300"/>
      <c r="AK206" s="299"/>
      <c r="AL206" s="301"/>
      <c r="AM206" s="314"/>
      <c r="AN206" s="301"/>
      <c r="AO206" s="302"/>
      <c r="AP206" s="301"/>
      <c r="AQ206" s="316">
        <v>2000000</v>
      </c>
      <c r="AR206" s="301"/>
      <c r="AS206" s="301">
        <v>1000000</v>
      </c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3"/>
      <c r="BH206" s="304"/>
    </row>
    <row r="207" spans="1:60" s="305" customFormat="1" ht="16.5" hidden="1" customHeight="1" x14ac:dyDescent="0.4">
      <c r="A207" s="285">
        <v>184</v>
      </c>
      <c r="B207" s="286"/>
      <c r="C207" s="286"/>
      <c r="D207" s="287" t="s">
        <v>92</v>
      </c>
      <c r="E207" s="287" t="s">
        <v>184</v>
      </c>
      <c r="F207" s="288" t="s">
        <v>92</v>
      </c>
      <c r="G207" s="289" t="s">
        <v>196</v>
      </c>
      <c r="H207" s="307"/>
      <c r="I207" s="290"/>
      <c r="J207" s="291" t="s">
        <v>475</v>
      </c>
      <c r="K207" s="287"/>
      <c r="L207" s="287"/>
      <c r="M207" s="287">
        <v>214</v>
      </c>
      <c r="N207" s="287" t="s">
        <v>23</v>
      </c>
      <c r="O207" s="287" t="s">
        <v>43</v>
      </c>
      <c r="P207" s="287" t="s">
        <v>44</v>
      </c>
      <c r="Q207" s="287" t="s">
        <v>19</v>
      </c>
      <c r="R207" s="287" t="s">
        <v>20</v>
      </c>
      <c r="S207" s="292" t="s">
        <v>20</v>
      </c>
      <c r="T207" s="293"/>
      <c r="U207" s="294">
        <v>75000000</v>
      </c>
      <c r="V207" s="294">
        <v>71850000</v>
      </c>
      <c r="W207" s="295">
        <v>85640000</v>
      </c>
      <c r="X207" s="296"/>
      <c r="Y207" s="287" t="s">
        <v>28</v>
      </c>
      <c r="Z207" s="297" t="s">
        <v>56</v>
      </c>
      <c r="AA207" s="313"/>
      <c r="AB207" s="313"/>
      <c r="AC207" s="298">
        <f t="shared" si="8"/>
        <v>90000000</v>
      </c>
      <c r="AD207" s="298">
        <v>90000000</v>
      </c>
      <c r="AE207" s="298">
        <f t="shared" si="9"/>
        <v>0</v>
      </c>
      <c r="AF207" s="299"/>
      <c r="AG207" s="300"/>
      <c r="AH207" s="299"/>
      <c r="AI207" s="299"/>
      <c r="AJ207" s="300"/>
      <c r="AK207" s="299"/>
      <c r="AL207" s="301"/>
      <c r="AM207" s="314"/>
      <c r="AN207" s="301"/>
      <c r="AO207" s="302"/>
      <c r="AP207" s="301"/>
      <c r="AQ207" s="301"/>
      <c r="AR207" s="301"/>
      <c r="AS207" s="301">
        <v>45000000</v>
      </c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>
        <v>45000000</v>
      </c>
      <c r="BF207" s="301"/>
      <c r="BG207" s="303"/>
      <c r="BH207" s="304"/>
    </row>
    <row r="208" spans="1:60" s="305" customFormat="1" ht="16.5" hidden="1" customHeight="1" x14ac:dyDescent="0.4">
      <c r="A208" s="285">
        <v>185</v>
      </c>
      <c r="B208" s="286"/>
      <c r="C208" s="286"/>
      <c r="D208" s="287" t="s">
        <v>92</v>
      </c>
      <c r="E208" s="287" t="s">
        <v>184</v>
      </c>
      <c r="F208" s="288" t="s">
        <v>92</v>
      </c>
      <c r="G208" s="289" t="s">
        <v>196</v>
      </c>
      <c r="H208" s="307"/>
      <c r="I208" s="290"/>
      <c r="J208" s="291" t="s">
        <v>475</v>
      </c>
      <c r="K208" s="287"/>
      <c r="L208" s="287"/>
      <c r="M208" s="287">
        <v>214</v>
      </c>
      <c r="N208" s="287" t="s">
        <v>23</v>
      </c>
      <c r="O208" s="287" t="s">
        <v>43</v>
      </c>
      <c r="P208" s="287" t="s">
        <v>44</v>
      </c>
      <c r="Q208" s="287" t="s">
        <v>27</v>
      </c>
      <c r="R208" s="287" t="s">
        <v>340</v>
      </c>
      <c r="S208" s="292" t="s">
        <v>340</v>
      </c>
      <c r="T208" s="293"/>
      <c r="U208" s="294"/>
      <c r="V208" s="294">
        <v>4900000</v>
      </c>
      <c r="W208" s="295">
        <v>12100000</v>
      </c>
      <c r="X208" s="296"/>
      <c r="Y208" s="287" t="s">
        <v>28</v>
      </c>
      <c r="Z208" s="297" t="s">
        <v>25</v>
      </c>
      <c r="AA208" s="313"/>
      <c r="AB208" s="313"/>
      <c r="AC208" s="298">
        <f t="shared" si="8"/>
        <v>21000000</v>
      </c>
      <c r="AD208" s="298">
        <v>21000000</v>
      </c>
      <c r="AE208" s="298">
        <f t="shared" si="9"/>
        <v>0</v>
      </c>
      <c r="AF208" s="299"/>
      <c r="AG208" s="300"/>
      <c r="AH208" s="299"/>
      <c r="AI208" s="299"/>
      <c r="AJ208" s="300"/>
      <c r="AK208" s="299"/>
      <c r="AL208" s="301"/>
      <c r="AM208" s="314"/>
      <c r="AN208" s="301"/>
      <c r="AO208" s="302"/>
      <c r="AP208" s="301"/>
      <c r="AQ208" s="301">
        <v>7000000</v>
      </c>
      <c r="AR208" s="301"/>
      <c r="AS208" s="301"/>
      <c r="AT208" s="301"/>
      <c r="AU208" s="301"/>
      <c r="AV208" s="301"/>
      <c r="AW208" s="301"/>
      <c r="AX208" s="301"/>
      <c r="AY208" s="301">
        <v>7000000</v>
      </c>
      <c r="AZ208" s="301"/>
      <c r="BA208" s="301"/>
      <c r="BB208" s="301"/>
      <c r="BC208" s="301">
        <v>7000000</v>
      </c>
      <c r="BD208" s="301"/>
      <c r="BE208" s="301"/>
      <c r="BF208" s="301"/>
      <c r="BG208" s="303"/>
      <c r="BH208" s="304"/>
    </row>
    <row r="209" spans="1:60" s="305" customFormat="1" ht="16.5" hidden="1" customHeight="1" x14ac:dyDescent="0.4">
      <c r="A209" s="285">
        <v>186</v>
      </c>
      <c r="B209" s="286"/>
      <c r="C209" s="286"/>
      <c r="D209" s="287" t="s">
        <v>92</v>
      </c>
      <c r="E209" s="287" t="s">
        <v>184</v>
      </c>
      <c r="F209" s="288" t="s">
        <v>92</v>
      </c>
      <c r="G209" s="289" t="s">
        <v>196</v>
      </c>
      <c r="H209" s="307"/>
      <c r="I209" s="290"/>
      <c r="J209" s="291" t="s">
        <v>475</v>
      </c>
      <c r="K209" s="287"/>
      <c r="L209" s="287"/>
      <c r="M209" s="287">
        <v>214</v>
      </c>
      <c r="N209" s="287" t="s">
        <v>23</v>
      </c>
      <c r="O209" s="287" t="s">
        <v>43</v>
      </c>
      <c r="P209" s="287"/>
      <c r="Q209" s="287" t="s">
        <v>45</v>
      </c>
      <c r="R209" s="287" t="s">
        <v>342</v>
      </c>
      <c r="S209" s="292" t="s">
        <v>741</v>
      </c>
      <c r="T209" s="293"/>
      <c r="U209" s="294"/>
      <c r="V209" s="294">
        <v>32500000</v>
      </c>
      <c r="W209" s="295">
        <v>22500000</v>
      </c>
      <c r="X209" s="296"/>
      <c r="Y209" s="287" t="s">
        <v>28</v>
      </c>
      <c r="Z209" s="297" t="s">
        <v>28</v>
      </c>
      <c r="AA209" s="313"/>
      <c r="AB209" s="313"/>
      <c r="AC209" s="298">
        <f t="shared" si="8"/>
        <v>23000000</v>
      </c>
      <c r="AD209" s="298">
        <v>23000000</v>
      </c>
      <c r="AE209" s="298">
        <f t="shared" si="9"/>
        <v>0</v>
      </c>
      <c r="AF209" s="299"/>
      <c r="AG209" s="300"/>
      <c r="AH209" s="299"/>
      <c r="AI209" s="299"/>
      <c r="AJ209" s="300"/>
      <c r="AK209" s="299"/>
      <c r="AL209" s="301"/>
      <c r="AM209" s="314"/>
      <c r="AN209" s="301"/>
      <c r="AO209" s="302">
        <v>23000000</v>
      </c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/>
      <c r="BD209" s="301"/>
      <c r="BE209" s="301"/>
      <c r="BF209" s="301"/>
      <c r="BG209" s="303"/>
      <c r="BH209" s="304"/>
    </row>
    <row r="210" spans="1:60" s="305" customFormat="1" ht="16.5" hidden="1" customHeight="1" x14ac:dyDescent="0.4">
      <c r="A210" s="285">
        <v>187</v>
      </c>
      <c r="B210" s="286"/>
      <c r="C210" s="286"/>
      <c r="D210" s="287" t="s">
        <v>92</v>
      </c>
      <c r="E210" s="287" t="s">
        <v>184</v>
      </c>
      <c r="F210" s="288" t="s">
        <v>92</v>
      </c>
      <c r="G210" s="289" t="s">
        <v>196</v>
      </c>
      <c r="H210" s="307"/>
      <c r="I210" s="290"/>
      <c r="J210" s="291" t="s">
        <v>475</v>
      </c>
      <c r="K210" s="287"/>
      <c r="L210" s="287"/>
      <c r="M210" s="287">
        <v>214</v>
      </c>
      <c r="N210" s="287" t="s">
        <v>23</v>
      </c>
      <c r="O210" s="287" t="s">
        <v>43</v>
      </c>
      <c r="P210" s="287"/>
      <c r="Q210" s="287"/>
      <c r="R210" s="287" t="s">
        <v>345</v>
      </c>
      <c r="S210" s="292" t="s">
        <v>742</v>
      </c>
      <c r="T210" s="293"/>
      <c r="U210" s="294"/>
      <c r="V210" s="294"/>
      <c r="W210" s="295">
        <v>6000000</v>
      </c>
      <c r="X210" s="296"/>
      <c r="Y210" s="287" t="s">
        <v>28</v>
      </c>
      <c r="Z210" s="297" t="s">
        <v>28</v>
      </c>
      <c r="AA210" s="313"/>
      <c r="AB210" s="313"/>
      <c r="AC210" s="298">
        <f t="shared" si="8"/>
        <v>6000000</v>
      </c>
      <c r="AD210" s="298">
        <v>6000000</v>
      </c>
      <c r="AE210" s="298">
        <f t="shared" si="9"/>
        <v>0</v>
      </c>
      <c r="AF210" s="299"/>
      <c r="AG210" s="300"/>
      <c r="AH210" s="299"/>
      <c r="AI210" s="299"/>
      <c r="AJ210" s="300"/>
      <c r="AK210" s="299"/>
      <c r="AL210" s="301"/>
      <c r="AM210" s="314"/>
      <c r="AN210" s="301"/>
      <c r="AO210" s="302">
        <v>6000000</v>
      </c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/>
      <c r="BD210" s="301"/>
      <c r="BE210" s="301"/>
      <c r="BF210" s="301"/>
      <c r="BG210" s="303"/>
      <c r="BH210" s="304"/>
    </row>
    <row r="211" spans="1:60" s="305" customFormat="1" ht="16.5" hidden="1" customHeight="1" x14ac:dyDescent="0.4">
      <c r="A211" s="285">
        <v>188</v>
      </c>
      <c r="B211" s="286"/>
      <c r="C211" s="286"/>
      <c r="D211" s="287" t="s">
        <v>92</v>
      </c>
      <c r="E211" s="287" t="s">
        <v>184</v>
      </c>
      <c r="F211" s="288" t="s">
        <v>92</v>
      </c>
      <c r="G211" s="289" t="s">
        <v>196</v>
      </c>
      <c r="H211" s="307"/>
      <c r="I211" s="290"/>
      <c r="J211" s="291" t="s">
        <v>475</v>
      </c>
      <c r="K211" s="287"/>
      <c r="L211" s="287"/>
      <c r="M211" s="287">
        <v>214</v>
      </c>
      <c r="N211" s="287" t="s">
        <v>23</v>
      </c>
      <c r="O211" s="287" t="s">
        <v>43</v>
      </c>
      <c r="P211" s="287" t="s">
        <v>44</v>
      </c>
      <c r="Q211" s="287" t="s">
        <v>24</v>
      </c>
      <c r="R211" s="287" t="s">
        <v>221</v>
      </c>
      <c r="S211" s="292" t="s">
        <v>745</v>
      </c>
      <c r="T211" s="293"/>
      <c r="U211" s="294"/>
      <c r="V211" s="294">
        <v>11000000</v>
      </c>
      <c r="W211" s="295">
        <v>600000</v>
      </c>
      <c r="X211" s="296"/>
      <c r="Y211" s="287" t="s">
        <v>26</v>
      </c>
      <c r="Z211" s="297" t="s">
        <v>26</v>
      </c>
      <c r="AA211" s="313"/>
      <c r="AB211" s="313"/>
      <c r="AC211" s="298">
        <f t="shared" si="8"/>
        <v>10000000</v>
      </c>
      <c r="AD211" s="298">
        <v>10000000</v>
      </c>
      <c r="AE211" s="298">
        <f t="shared" si="9"/>
        <v>0</v>
      </c>
      <c r="AF211" s="299"/>
      <c r="AG211" s="300"/>
      <c r="AH211" s="299"/>
      <c r="AI211" s="299"/>
      <c r="AJ211" s="300"/>
      <c r="AK211" s="299"/>
      <c r="AL211" s="301"/>
      <c r="AM211" s="314"/>
      <c r="AN211" s="301"/>
      <c r="AO211" s="302"/>
      <c r="AP211" s="301"/>
      <c r="AQ211" s="301"/>
      <c r="AR211" s="301"/>
      <c r="AS211" s="301"/>
      <c r="AT211" s="301"/>
      <c r="AU211" s="301"/>
      <c r="AV211" s="301"/>
      <c r="AW211" s="301">
        <v>10000000</v>
      </c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3"/>
      <c r="BH211" s="304"/>
    </row>
    <row r="212" spans="1:60" s="305" customFormat="1" ht="16.5" hidden="1" customHeight="1" x14ac:dyDescent="0.4">
      <c r="A212" s="285">
        <v>189</v>
      </c>
      <c r="B212" s="286"/>
      <c r="C212" s="286"/>
      <c r="D212" s="287" t="s">
        <v>92</v>
      </c>
      <c r="E212" s="287" t="s">
        <v>184</v>
      </c>
      <c r="F212" s="288" t="s">
        <v>92</v>
      </c>
      <c r="G212" s="289" t="s">
        <v>196</v>
      </c>
      <c r="H212" s="307"/>
      <c r="I212" s="290"/>
      <c r="J212" s="291" t="s">
        <v>475</v>
      </c>
      <c r="K212" s="287"/>
      <c r="L212" s="287"/>
      <c r="M212" s="287">
        <v>214</v>
      </c>
      <c r="N212" s="287" t="s">
        <v>23</v>
      </c>
      <c r="O212" s="287" t="s">
        <v>43</v>
      </c>
      <c r="P212" s="287" t="s">
        <v>44</v>
      </c>
      <c r="Q212" s="287" t="s">
        <v>118</v>
      </c>
      <c r="R212" s="287" t="s">
        <v>339</v>
      </c>
      <c r="S212" s="292" t="s">
        <v>746</v>
      </c>
      <c r="T212" s="293"/>
      <c r="U212" s="294">
        <v>75000000</v>
      </c>
      <c r="V212" s="294">
        <v>80000000</v>
      </c>
      <c r="W212" s="295">
        <v>60000000</v>
      </c>
      <c r="X212" s="296"/>
      <c r="Y212" s="287" t="s">
        <v>28</v>
      </c>
      <c r="Z212" s="297" t="s">
        <v>25</v>
      </c>
      <c r="AA212" s="313"/>
      <c r="AB212" s="313"/>
      <c r="AC212" s="298">
        <f t="shared" si="8"/>
        <v>60000000</v>
      </c>
      <c r="AD212" s="298">
        <v>60000000</v>
      </c>
      <c r="AE212" s="298">
        <f t="shared" si="9"/>
        <v>0</v>
      </c>
      <c r="AF212" s="299"/>
      <c r="AG212" s="300"/>
      <c r="AH212" s="299"/>
      <c r="AI212" s="299"/>
      <c r="AJ212" s="300"/>
      <c r="AK212" s="299"/>
      <c r="AL212" s="301"/>
      <c r="AM212" s="314"/>
      <c r="AN212" s="301"/>
      <c r="AO212" s="302"/>
      <c r="AP212" s="301"/>
      <c r="AQ212" s="301"/>
      <c r="AR212" s="301"/>
      <c r="AS212" s="301">
        <v>30000000</v>
      </c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>
        <v>30000000</v>
      </c>
      <c r="BF212" s="301"/>
      <c r="BG212" s="303"/>
      <c r="BH212" s="304"/>
    </row>
    <row r="213" spans="1:60" s="305" customFormat="1" ht="16.5" hidden="1" customHeight="1" x14ac:dyDescent="0.4">
      <c r="A213" s="285">
        <v>190</v>
      </c>
      <c r="B213" s="286"/>
      <c r="C213" s="286"/>
      <c r="D213" s="287" t="s">
        <v>92</v>
      </c>
      <c r="E213" s="287" t="s">
        <v>184</v>
      </c>
      <c r="F213" s="288" t="s">
        <v>92</v>
      </c>
      <c r="G213" s="289" t="s">
        <v>196</v>
      </c>
      <c r="H213" s="307"/>
      <c r="I213" s="290"/>
      <c r="J213" s="291" t="s">
        <v>475</v>
      </c>
      <c r="K213" s="287"/>
      <c r="L213" s="287"/>
      <c r="M213" s="287">
        <v>214</v>
      </c>
      <c r="N213" s="287" t="s">
        <v>23</v>
      </c>
      <c r="O213" s="287" t="s">
        <v>43</v>
      </c>
      <c r="P213" s="287" t="s">
        <v>44</v>
      </c>
      <c r="Q213" s="287" t="s">
        <v>46</v>
      </c>
      <c r="R213" s="287" t="s">
        <v>347</v>
      </c>
      <c r="S213" s="292" t="s">
        <v>750</v>
      </c>
      <c r="T213" s="293"/>
      <c r="U213" s="294">
        <v>19220000</v>
      </c>
      <c r="V213" s="294">
        <v>18745000</v>
      </c>
      <c r="W213" s="295">
        <v>715000</v>
      </c>
      <c r="X213" s="296"/>
      <c r="Y213" s="287" t="s">
        <v>28</v>
      </c>
      <c r="Z213" s="297" t="s">
        <v>25</v>
      </c>
      <c r="AA213" s="313"/>
      <c r="AB213" s="313"/>
      <c r="AC213" s="298">
        <f t="shared" si="8"/>
        <v>20000000</v>
      </c>
      <c r="AD213" s="298">
        <v>20000000</v>
      </c>
      <c r="AE213" s="298">
        <f t="shared" si="9"/>
        <v>0</v>
      </c>
      <c r="AF213" s="299"/>
      <c r="AG213" s="300"/>
      <c r="AH213" s="299"/>
      <c r="AI213" s="299"/>
      <c r="AJ213" s="300"/>
      <c r="AK213" s="299"/>
      <c r="AL213" s="301"/>
      <c r="AM213" s="314"/>
      <c r="AN213" s="301"/>
      <c r="AO213" s="302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>
        <v>20000000</v>
      </c>
      <c r="BF213" s="301"/>
      <c r="BG213" s="303"/>
      <c r="BH213" s="304"/>
    </row>
    <row r="214" spans="1:60" s="305" customFormat="1" ht="16.5" hidden="1" customHeight="1" x14ac:dyDescent="0.4">
      <c r="A214" s="285">
        <v>191</v>
      </c>
      <c r="B214" s="286"/>
      <c r="C214" s="286"/>
      <c r="D214" s="287" t="s">
        <v>92</v>
      </c>
      <c r="E214" s="287" t="s">
        <v>196</v>
      </c>
      <c r="F214" s="288" t="s">
        <v>92</v>
      </c>
      <c r="G214" s="289" t="s">
        <v>196</v>
      </c>
      <c r="H214" s="307"/>
      <c r="I214" s="290"/>
      <c r="J214" s="291" t="s">
        <v>475</v>
      </c>
      <c r="K214" s="287"/>
      <c r="L214" s="287"/>
      <c r="M214" s="287">
        <v>214</v>
      </c>
      <c r="N214" s="287" t="s">
        <v>23</v>
      </c>
      <c r="O214" s="287" t="s">
        <v>43</v>
      </c>
      <c r="P214" s="287"/>
      <c r="Q214" s="287"/>
      <c r="R214" s="287"/>
      <c r="S214" s="292" t="s">
        <v>752</v>
      </c>
      <c r="T214" s="293"/>
      <c r="U214" s="294"/>
      <c r="V214" s="294"/>
      <c r="W214" s="295">
        <v>2365000</v>
      </c>
      <c r="X214" s="296"/>
      <c r="Y214" s="287"/>
      <c r="Z214" s="297" t="s">
        <v>656</v>
      </c>
      <c r="AA214" s="313"/>
      <c r="AB214" s="313"/>
      <c r="AC214" s="298">
        <f t="shared" si="8"/>
        <v>0</v>
      </c>
      <c r="AD214" s="298">
        <v>0</v>
      </c>
      <c r="AE214" s="298">
        <f t="shared" si="9"/>
        <v>0</v>
      </c>
      <c r="AF214" s="299"/>
      <c r="AG214" s="300"/>
      <c r="AH214" s="299"/>
      <c r="AI214" s="299"/>
      <c r="AJ214" s="300"/>
      <c r="AK214" s="299"/>
      <c r="AL214" s="301"/>
      <c r="AM214" s="314"/>
      <c r="AN214" s="301"/>
      <c r="AO214" s="302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3"/>
      <c r="BH214" s="304"/>
    </row>
    <row r="215" spans="1:60" s="305" customFormat="1" ht="16.5" hidden="1" customHeight="1" x14ac:dyDescent="0.4">
      <c r="A215" s="285">
        <v>192</v>
      </c>
      <c r="B215" s="286"/>
      <c r="C215" s="286"/>
      <c r="D215" s="287" t="s">
        <v>92</v>
      </c>
      <c r="E215" s="287" t="s">
        <v>196</v>
      </c>
      <c r="F215" s="288" t="s">
        <v>92</v>
      </c>
      <c r="G215" s="289" t="s">
        <v>196</v>
      </c>
      <c r="H215" s="307"/>
      <c r="I215" s="290"/>
      <c r="J215" s="291" t="s">
        <v>205</v>
      </c>
      <c r="K215" s="287"/>
      <c r="L215" s="287"/>
      <c r="M215" s="287">
        <v>14956</v>
      </c>
      <c r="N215" s="287" t="s">
        <v>40</v>
      </c>
      <c r="O215" s="287" t="s">
        <v>33</v>
      </c>
      <c r="P215" s="287" t="s">
        <v>44</v>
      </c>
      <c r="Q215" s="287"/>
      <c r="R215" s="287"/>
      <c r="S215" s="292" t="s">
        <v>29</v>
      </c>
      <c r="T215" s="293"/>
      <c r="U215" s="294">
        <v>0</v>
      </c>
      <c r="V215" s="294">
        <v>0</v>
      </c>
      <c r="W215" s="295"/>
      <c r="X215" s="296"/>
      <c r="Y215" s="287" t="s">
        <v>26</v>
      </c>
      <c r="Z215" s="297" t="s">
        <v>26</v>
      </c>
      <c r="AA215" s="313"/>
      <c r="AB215" s="313"/>
      <c r="AC215" s="298">
        <f t="shared" si="8"/>
        <v>100000000</v>
      </c>
      <c r="AD215" s="298">
        <v>100000000</v>
      </c>
      <c r="AE215" s="298">
        <f t="shared" si="9"/>
        <v>0</v>
      </c>
      <c r="AF215" s="299"/>
      <c r="AG215" s="300"/>
      <c r="AH215" s="299"/>
      <c r="AI215" s="299"/>
      <c r="AJ215" s="300"/>
      <c r="AK215" s="299"/>
      <c r="AL215" s="301"/>
      <c r="AM215" s="314"/>
      <c r="AN215" s="301"/>
      <c r="AO215" s="302"/>
      <c r="AP215" s="301"/>
      <c r="AQ215" s="301"/>
      <c r="AR215" s="301"/>
      <c r="AS215" s="301"/>
      <c r="AT215" s="301"/>
      <c r="AU215" s="301">
        <v>100000000</v>
      </c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3"/>
      <c r="BH215" s="304"/>
    </row>
    <row r="216" spans="1:60" s="305" customFormat="1" ht="16.5" hidden="1" customHeight="1" x14ac:dyDescent="0.4">
      <c r="A216" s="285">
        <v>193</v>
      </c>
      <c r="B216" s="286"/>
      <c r="C216" s="286"/>
      <c r="D216" s="287" t="s">
        <v>92</v>
      </c>
      <c r="E216" s="287" t="s">
        <v>102</v>
      </c>
      <c r="F216" s="288" t="s">
        <v>92</v>
      </c>
      <c r="G216" s="289" t="s">
        <v>196</v>
      </c>
      <c r="H216" s="307"/>
      <c r="I216" s="290"/>
      <c r="J216" s="291" t="s">
        <v>205</v>
      </c>
      <c r="K216" s="287"/>
      <c r="L216" s="287"/>
      <c r="M216" s="287">
        <v>14956</v>
      </c>
      <c r="N216" s="287" t="s">
        <v>40</v>
      </c>
      <c r="O216" s="287" t="s">
        <v>43</v>
      </c>
      <c r="P216" s="287" t="s">
        <v>44</v>
      </c>
      <c r="Q216" s="287" t="s">
        <v>30</v>
      </c>
      <c r="R216" s="287" t="s">
        <v>31</v>
      </c>
      <c r="S216" s="292" t="s">
        <v>31</v>
      </c>
      <c r="T216" s="293"/>
      <c r="U216" s="294">
        <v>5928000</v>
      </c>
      <c r="V216" s="294">
        <v>9884000</v>
      </c>
      <c r="W216" s="295">
        <v>11506000</v>
      </c>
      <c r="X216" s="296"/>
      <c r="Y216" s="287" t="s">
        <v>28</v>
      </c>
      <c r="Z216" s="297" t="s">
        <v>25</v>
      </c>
      <c r="AA216" s="313"/>
      <c r="AB216" s="313"/>
      <c r="AC216" s="298">
        <f t="shared" ref="AC216:AC279" si="10">AG216+AJ216+AM216+AO216+AQ216+AS216+AU216+AW216+AY216+BA216+BC216+BE216</f>
        <v>5000000</v>
      </c>
      <c r="AD216" s="298">
        <v>5000000</v>
      </c>
      <c r="AE216" s="298">
        <f t="shared" ref="AE216:AE279" si="11">AC216-AD216</f>
        <v>0</v>
      </c>
      <c r="AF216" s="299"/>
      <c r="AG216" s="300"/>
      <c r="AH216" s="299"/>
      <c r="AI216" s="299"/>
      <c r="AJ216" s="300"/>
      <c r="AK216" s="299"/>
      <c r="AL216" s="301"/>
      <c r="AM216" s="314"/>
      <c r="AN216" s="301"/>
      <c r="AO216" s="302"/>
      <c r="AP216" s="301"/>
      <c r="AQ216" s="301"/>
      <c r="AR216" s="301"/>
      <c r="AS216" s="301"/>
      <c r="AT216" s="301"/>
      <c r="AU216" s="301">
        <v>5000000</v>
      </c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3"/>
      <c r="BH216" s="304"/>
    </row>
    <row r="217" spans="1:60" s="305" customFormat="1" ht="16.5" hidden="1" customHeight="1" x14ac:dyDescent="0.4">
      <c r="A217" s="285">
        <v>194</v>
      </c>
      <c r="B217" s="286"/>
      <c r="C217" s="286"/>
      <c r="D217" s="287" t="s">
        <v>92</v>
      </c>
      <c r="E217" s="287" t="s">
        <v>102</v>
      </c>
      <c r="F217" s="288" t="s">
        <v>92</v>
      </c>
      <c r="G217" s="289" t="s">
        <v>196</v>
      </c>
      <c r="H217" s="307"/>
      <c r="I217" s="290"/>
      <c r="J217" s="291" t="s">
        <v>581</v>
      </c>
      <c r="K217" s="287"/>
      <c r="L217" s="287"/>
      <c r="M217" s="287">
        <v>613</v>
      </c>
      <c r="N217" s="287" t="s">
        <v>23</v>
      </c>
      <c r="O217" s="287" t="s">
        <v>43</v>
      </c>
      <c r="P217" s="287"/>
      <c r="Q217" s="287" t="s">
        <v>36</v>
      </c>
      <c r="R217" s="287" t="s">
        <v>341</v>
      </c>
      <c r="S217" s="292" t="s">
        <v>341</v>
      </c>
      <c r="T217" s="293"/>
      <c r="U217" s="294"/>
      <c r="V217" s="294">
        <v>24200000</v>
      </c>
      <c r="W217" s="295">
        <v>43530000</v>
      </c>
      <c r="X217" s="296"/>
      <c r="Y217" s="287" t="s">
        <v>25</v>
      </c>
      <c r="Z217" s="297" t="s">
        <v>28</v>
      </c>
      <c r="AA217" s="313"/>
      <c r="AB217" s="313"/>
      <c r="AC217" s="298">
        <f t="shared" si="10"/>
        <v>13000000</v>
      </c>
      <c r="AD217" s="298">
        <v>13000000</v>
      </c>
      <c r="AE217" s="298">
        <f t="shared" si="11"/>
        <v>0</v>
      </c>
      <c r="AF217" s="299"/>
      <c r="AG217" s="300"/>
      <c r="AH217" s="299"/>
      <c r="AI217" s="299"/>
      <c r="AJ217" s="300"/>
      <c r="AK217" s="299"/>
      <c r="AL217" s="301"/>
      <c r="AM217" s="314"/>
      <c r="AN217" s="301"/>
      <c r="AO217" s="302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>
        <v>13000000</v>
      </c>
      <c r="BF217" s="301"/>
      <c r="BG217" s="303"/>
      <c r="BH217" s="304"/>
    </row>
    <row r="218" spans="1:60" s="305" customFormat="1" ht="16.5" hidden="1" customHeight="1" x14ac:dyDescent="0.4">
      <c r="A218" s="285">
        <v>195</v>
      </c>
      <c r="B218" s="286"/>
      <c r="C218" s="286"/>
      <c r="D218" s="287" t="s">
        <v>92</v>
      </c>
      <c r="E218" s="287" t="s">
        <v>102</v>
      </c>
      <c r="F218" s="288" t="s">
        <v>92</v>
      </c>
      <c r="G218" s="289" t="s">
        <v>196</v>
      </c>
      <c r="H218" s="307"/>
      <c r="I218" s="290"/>
      <c r="J218" s="291" t="s">
        <v>581</v>
      </c>
      <c r="K218" s="287"/>
      <c r="L218" s="287"/>
      <c r="M218" s="287">
        <v>613</v>
      </c>
      <c r="N218" s="287" t="s">
        <v>23</v>
      </c>
      <c r="O218" s="287" t="s">
        <v>43</v>
      </c>
      <c r="P218" s="287"/>
      <c r="Q218" s="287" t="s">
        <v>36</v>
      </c>
      <c r="R218" s="287" t="s">
        <v>341</v>
      </c>
      <c r="S218" s="292" t="s">
        <v>341</v>
      </c>
      <c r="T218" s="293"/>
      <c r="U218" s="294"/>
      <c r="V218" s="294">
        <v>24200000</v>
      </c>
      <c r="W218" s="295">
        <v>0</v>
      </c>
      <c r="X218" s="296"/>
      <c r="Y218" s="287" t="s">
        <v>25</v>
      </c>
      <c r="Z218" s="297" t="s">
        <v>25</v>
      </c>
      <c r="AA218" s="313"/>
      <c r="AB218" s="313"/>
      <c r="AC218" s="298">
        <f t="shared" si="10"/>
        <v>7000000</v>
      </c>
      <c r="AD218" s="298">
        <v>7000000</v>
      </c>
      <c r="AE218" s="298">
        <f t="shared" si="11"/>
        <v>0</v>
      </c>
      <c r="AF218" s="299"/>
      <c r="AG218" s="300"/>
      <c r="AH218" s="299"/>
      <c r="AI218" s="299"/>
      <c r="AJ218" s="300"/>
      <c r="AK218" s="299"/>
      <c r="AL218" s="301"/>
      <c r="AM218" s="314"/>
      <c r="AN218" s="301"/>
      <c r="AO218" s="302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>
        <v>7000000</v>
      </c>
      <c r="BF218" s="301"/>
      <c r="BG218" s="303"/>
      <c r="BH218" s="304"/>
    </row>
    <row r="219" spans="1:60" s="305" customFormat="1" ht="16.5" hidden="1" customHeight="1" x14ac:dyDescent="0.4">
      <c r="A219" s="285">
        <v>196</v>
      </c>
      <c r="B219" s="286"/>
      <c r="C219" s="286"/>
      <c r="D219" s="287" t="s">
        <v>92</v>
      </c>
      <c r="E219" s="287" t="s">
        <v>102</v>
      </c>
      <c r="F219" s="288" t="s">
        <v>92</v>
      </c>
      <c r="G219" s="289" t="s">
        <v>196</v>
      </c>
      <c r="H219" s="307"/>
      <c r="I219" s="290"/>
      <c r="J219" s="291" t="s">
        <v>581</v>
      </c>
      <c r="K219" s="287"/>
      <c r="L219" s="287"/>
      <c r="M219" s="287">
        <v>613</v>
      </c>
      <c r="N219" s="287" t="s">
        <v>23</v>
      </c>
      <c r="O219" s="287" t="s">
        <v>43</v>
      </c>
      <c r="P219" s="287" t="s">
        <v>93</v>
      </c>
      <c r="Q219" s="287" t="s">
        <v>27</v>
      </c>
      <c r="R219" s="287" t="s">
        <v>349</v>
      </c>
      <c r="S219" s="292" t="s">
        <v>349</v>
      </c>
      <c r="T219" s="293"/>
      <c r="U219" s="294">
        <v>118425000</v>
      </c>
      <c r="V219" s="294">
        <v>360435000</v>
      </c>
      <c r="W219" s="295">
        <v>174489000</v>
      </c>
      <c r="X219" s="296"/>
      <c r="Y219" s="287" t="s">
        <v>28</v>
      </c>
      <c r="Z219" s="297" t="s">
        <v>28</v>
      </c>
      <c r="AA219" s="313"/>
      <c r="AB219" s="313"/>
      <c r="AC219" s="298">
        <f t="shared" si="10"/>
        <v>350130000</v>
      </c>
      <c r="AD219" s="298">
        <v>350130000</v>
      </c>
      <c r="AE219" s="298">
        <f t="shared" si="11"/>
        <v>0</v>
      </c>
      <c r="AF219" s="299"/>
      <c r="AG219" s="300"/>
      <c r="AH219" s="299"/>
      <c r="AI219" s="299"/>
      <c r="AJ219" s="300"/>
      <c r="AK219" s="299"/>
      <c r="AL219" s="301">
        <v>53919000</v>
      </c>
      <c r="AM219" s="314"/>
      <c r="AN219" s="301"/>
      <c r="AO219" s="302">
        <v>130130000</v>
      </c>
      <c r="AP219" s="301" t="s">
        <v>871</v>
      </c>
      <c r="AQ219" s="301">
        <v>40000000</v>
      </c>
      <c r="AR219" s="301"/>
      <c r="AS219" s="301">
        <v>40000000</v>
      </c>
      <c r="AT219" s="301"/>
      <c r="AU219" s="301">
        <v>40000000</v>
      </c>
      <c r="AV219" s="301"/>
      <c r="AW219" s="301">
        <v>40000000</v>
      </c>
      <c r="AX219" s="301"/>
      <c r="AY219" s="301">
        <v>40000000</v>
      </c>
      <c r="AZ219" s="301"/>
      <c r="BA219" s="301"/>
      <c r="BB219" s="301"/>
      <c r="BC219" s="301"/>
      <c r="BD219" s="301"/>
      <c r="BE219" s="301">
        <v>20000000</v>
      </c>
      <c r="BF219" s="301"/>
      <c r="BG219" s="303"/>
      <c r="BH219" s="304"/>
    </row>
    <row r="220" spans="1:60" s="305" customFormat="1" ht="16.5" hidden="1" customHeight="1" x14ac:dyDescent="0.4">
      <c r="A220" s="285">
        <v>197</v>
      </c>
      <c r="B220" s="286"/>
      <c r="C220" s="286"/>
      <c r="D220" s="287" t="s">
        <v>92</v>
      </c>
      <c r="E220" s="287" t="s">
        <v>102</v>
      </c>
      <c r="F220" s="288" t="s">
        <v>92</v>
      </c>
      <c r="G220" s="289" t="s">
        <v>196</v>
      </c>
      <c r="H220" s="307"/>
      <c r="I220" s="290"/>
      <c r="J220" s="291" t="s">
        <v>581</v>
      </c>
      <c r="K220" s="287"/>
      <c r="L220" s="287"/>
      <c r="M220" s="287">
        <v>613</v>
      </c>
      <c r="N220" s="287" t="s">
        <v>23</v>
      </c>
      <c r="O220" s="287" t="s">
        <v>43</v>
      </c>
      <c r="P220" s="287" t="s">
        <v>93</v>
      </c>
      <c r="Q220" s="287" t="s">
        <v>24</v>
      </c>
      <c r="R220" s="287" t="s">
        <v>221</v>
      </c>
      <c r="S220" s="292" t="s">
        <v>745</v>
      </c>
      <c r="T220" s="293"/>
      <c r="U220" s="294"/>
      <c r="V220" s="294"/>
      <c r="W220" s="295">
        <v>0</v>
      </c>
      <c r="X220" s="296"/>
      <c r="Y220" s="287" t="s">
        <v>28</v>
      </c>
      <c r="Z220" s="297" t="s">
        <v>28</v>
      </c>
      <c r="AA220" s="313"/>
      <c r="AB220" s="313"/>
      <c r="AC220" s="298">
        <f t="shared" si="10"/>
        <v>58000000</v>
      </c>
      <c r="AD220" s="298">
        <v>58000000</v>
      </c>
      <c r="AE220" s="298">
        <f t="shared" si="11"/>
        <v>0</v>
      </c>
      <c r="AF220" s="299"/>
      <c r="AG220" s="300"/>
      <c r="AH220" s="299"/>
      <c r="AI220" s="299"/>
      <c r="AJ220" s="300"/>
      <c r="AK220" s="299"/>
      <c r="AL220" s="301"/>
      <c r="AM220" s="314"/>
      <c r="AN220" s="301"/>
      <c r="AO220" s="302"/>
      <c r="AP220" s="301"/>
      <c r="AQ220" s="301"/>
      <c r="AR220" s="301"/>
      <c r="AS220" s="301"/>
      <c r="AT220" s="301"/>
      <c r="AU220" s="301">
        <v>16000000</v>
      </c>
      <c r="AV220" s="301"/>
      <c r="AW220" s="301">
        <v>15000000</v>
      </c>
      <c r="AX220" s="301"/>
      <c r="AY220" s="301"/>
      <c r="AZ220" s="301"/>
      <c r="BA220" s="301"/>
      <c r="BB220" s="301"/>
      <c r="BC220" s="301"/>
      <c r="BD220" s="301"/>
      <c r="BE220" s="301">
        <v>27000000</v>
      </c>
      <c r="BF220" s="301"/>
      <c r="BG220" s="303"/>
      <c r="BH220" s="304"/>
    </row>
    <row r="221" spans="1:60" s="305" customFormat="1" ht="16.5" hidden="1" customHeight="1" x14ac:dyDescent="0.4">
      <c r="A221" s="285">
        <v>198</v>
      </c>
      <c r="B221" s="286"/>
      <c r="C221" s="286"/>
      <c r="D221" s="287" t="s">
        <v>92</v>
      </c>
      <c r="E221" s="287" t="s">
        <v>102</v>
      </c>
      <c r="F221" s="288" t="s">
        <v>92</v>
      </c>
      <c r="G221" s="289" t="s">
        <v>196</v>
      </c>
      <c r="H221" s="307"/>
      <c r="I221" s="290"/>
      <c r="J221" s="291" t="s">
        <v>581</v>
      </c>
      <c r="K221" s="287"/>
      <c r="L221" s="287"/>
      <c r="M221" s="287">
        <v>613</v>
      </c>
      <c r="N221" s="287" t="s">
        <v>23</v>
      </c>
      <c r="O221" s="287" t="s">
        <v>43</v>
      </c>
      <c r="P221" s="287" t="s">
        <v>93</v>
      </c>
      <c r="Q221" s="287" t="s">
        <v>24</v>
      </c>
      <c r="R221" s="287" t="s">
        <v>221</v>
      </c>
      <c r="S221" s="292" t="s">
        <v>745</v>
      </c>
      <c r="T221" s="293"/>
      <c r="U221" s="294">
        <v>117000000</v>
      </c>
      <c r="V221" s="294">
        <v>82500000</v>
      </c>
      <c r="W221" s="295"/>
      <c r="X221" s="296"/>
      <c r="Y221" s="287" t="s">
        <v>25</v>
      </c>
      <c r="Z221" s="297" t="s">
        <v>25</v>
      </c>
      <c r="AA221" s="313"/>
      <c r="AB221" s="313"/>
      <c r="AC221" s="298">
        <f t="shared" si="10"/>
        <v>49000000</v>
      </c>
      <c r="AD221" s="298">
        <v>49000000</v>
      </c>
      <c r="AE221" s="298">
        <f t="shared" si="11"/>
        <v>0</v>
      </c>
      <c r="AF221" s="299"/>
      <c r="AG221" s="300"/>
      <c r="AH221" s="299"/>
      <c r="AI221" s="299"/>
      <c r="AJ221" s="300"/>
      <c r="AK221" s="299"/>
      <c r="AL221" s="301"/>
      <c r="AM221" s="314"/>
      <c r="AN221" s="301"/>
      <c r="AO221" s="302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>
        <v>19000000</v>
      </c>
      <c r="BB221" s="301"/>
      <c r="BC221" s="301">
        <v>30000000</v>
      </c>
      <c r="BD221" s="301"/>
      <c r="BE221" s="301"/>
      <c r="BF221" s="301"/>
      <c r="BG221" s="303"/>
      <c r="BH221" s="304"/>
    </row>
    <row r="222" spans="1:60" s="305" customFormat="1" ht="16.5" hidden="1" customHeight="1" x14ac:dyDescent="0.4">
      <c r="A222" s="285">
        <v>199</v>
      </c>
      <c r="B222" s="286"/>
      <c r="C222" s="286"/>
      <c r="D222" s="287" t="s">
        <v>92</v>
      </c>
      <c r="E222" s="287" t="s">
        <v>102</v>
      </c>
      <c r="F222" s="288" t="s">
        <v>92</v>
      </c>
      <c r="G222" s="289" t="s">
        <v>196</v>
      </c>
      <c r="H222" s="307"/>
      <c r="I222" s="290"/>
      <c r="J222" s="291" t="s">
        <v>581</v>
      </c>
      <c r="K222" s="287"/>
      <c r="L222" s="287"/>
      <c r="M222" s="287">
        <v>613</v>
      </c>
      <c r="N222" s="287" t="s">
        <v>23</v>
      </c>
      <c r="O222" s="287" t="s">
        <v>43</v>
      </c>
      <c r="P222" s="287" t="s">
        <v>93</v>
      </c>
      <c r="Q222" s="287" t="s">
        <v>113</v>
      </c>
      <c r="R222" s="287" t="s">
        <v>343</v>
      </c>
      <c r="S222" s="292" t="s">
        <v>748</v>
      </c>
      <c r="T222" s="293"/>
      <c r="U222" s="294"/>
      <c r="V222" s="294">
        <v>5000000</v>
      </c>
      <c r="W222" s="295">
        <v>4200000</v>
      </c>
      <c r="X222" s="296"/>
      <c r="Y222" s="287" t="s">
        <v>28</v>
      </c>
      <c r="Z222" s="297" t="s">
        <v>28</v>
      </c>
      <c r="AA222" s="313"/>
      <c r="AB222" s="313"/>
      <c r="AC222" s="298">
        <f t="shared" si="10"/>
        <v>3990000</v>
      </c>
      <c r="AD222" s="298">
        <v>3990000</v>
      </c>
      <c r="AE222" s="298">
        <f t="shared" si="11"/>
        <v>0</v>
      </c>
      <c r="AF222" s="299">
        <v>3990000</v>
      </c>
      <c r="AG222" s="300">
        <v>3990000</v>
      </c>
      <c r="AH222" s="299"/>
      <c r="AI222" s="299"/>
      <c r="AJ222" s="300"/>
      <c r="AK222" s="299"/>
      <c r="AL222" s="301"/>
      <c r="AM222" s="314"/>
      <c r="AN222" s="301"/>
      <c r="AO222" s="302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3"/>
      <c r="BH222" s="304"/>
    </row>
    <row r="223" spans="1:60" s="305" customFormat="1" ht="16.5" hidden="1" customHeight="1" x14ac:dyDescent="0.4">
      <c r="A223" s="285">
        <v>200</v>
      </c>
      <c r="B223" s="286"/>
      <c r="C223" s="286"/>
      <c r="D223" s="287" t="s">
        <v>92</v>
      </c>
      <c r="E223" s="287" t="s">
        <v>102</v>
      </c>
      <c r="F223" s="288" t="s">
        <v>92</v>
      </c>
      <c r="G223" s="289" t="s">
        <v>196</v>
      </c>
      <c r="H223" s="307"/>
      <c r="I223" s="290"/>
      <c r="J223" s="291" t="s">
        <v>581</v>
      </c>
      <c r="K223" s="287"/>
      <c r="L223" s="287"/>
      <c r="M223" s="287">
        <v>613</v>
      </c>
      <c r="N223" s="287" t="s">
        <v>23</v>
      </c>
      <c r="O223" s="287" t="s">
        <v>43</v>
      </c>
      <c r="P223" s="287" t="s">
        <v>93</v>
      </c>
      <c r="Q223" s="287" t="s">
        <v>113</v>
      </c>
      <c r="R223" s="287" t="s">
        <v>343</v>
      </c>
      <c r="S223" s="292" t="s">
        <v>748</v>
      </c>
      <c r="T223" s="293"/>
      <c r="U223" s="294"/>
      <c r="V223" s="294">
        <v>5000000</v>
      </c>
      <c r="W223" s="295">
        <v>0</v>
      </c>
      <c r="X223" s="296"/>
      <c r="Y223" s="287" t="s">
        <v>28</v>
      </c>
      <c r="Z223" s="297" t="s">
        <v>25</v>
      </c>
      <c r="AA223" s="313"/>
      <c r="AB223" s="313"/>
      <c r="AC223" s="298">
        <f t="shared" si="10"/>
        <v>0</v>
      </c>
      <c r="AD223" s="298">
        <v>0</v>
      </c>
      <c r="AE223" s="298">
        <f t="shared" si="11"/>
        <v>0</v>
      </c>
      <c r="AF223" s="299"/>
      <c r="AG223" s="300"/>
      <c r="AH223" s="299"/>
      <c r="AI223" s="299">
        <v>1010000</v>
      </c>
      <c r="AJ223" s="300"/>
      <c r="AK223" s="299"/>
      <c r="AL223" s="301"/>
      <c r="AM223" s="314"/>
      <c r="AN223" s="301"/>
      <c r="AO223" s="302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3"/>
      <c r="BH223" s="304"/>
    </row>
    <row r="224" spans="1:60" s="305" customFormat="1" ht="16.5" hidden="1" customHeight="1" x14ac:dyDescent="0.4">
      <c r="A224" s="285">
        <v>201</v>
      </c>
      <c r="B224" s="286"/>
      <c r="C224" s="286"/>
      <c r="D224" s="287" t="s">
        <v>92</v>
      </c>
      <c r="E224" s="287" t="s">
        <v>102</v>
      </c>
      <c r="F224" s="288" t="s">
        <v>92</v>
      </c>
      <c r="G224" s="289" t="s">
        <v>196</v>
      </c>
      <c r="H224" s="307"/>
      <c r="I224" s="290"/>
      <c r="J224" s="291" t="s">
        <v>581</v>
      </c>
      <c r="K224" s="287"/>
      <c r="L224" s="287"/>
      <c r="M224" s="287">
        <v>613</v>
      </c>
      <c r="N224" s="287" t="s">
        <v>23</v>
      </c>
      <c r="O224" s="287" t="s">
        <v>43</v>
      </c>
      <c r="P224" s="287" t="s">
        <v>93</v>
      </c>
      <c r="Q224" s="287"/>
      <c r="R224" s="287" t="s">
        <v>343</v>
      </c>
      <c r="S224" s="292" t="s">
        <v>753</v>
      </c>
      <c r="T224" s="293"/>
      <c r="U224" s="294"/>
      <c r="V224" s="294"/>
      <c r="W224" s="295">
        <v>0</v>
      </c>
      <c r="X224" s="296"/>
      <c r="Y224" s="287" t="s">
        <v>28</v>
      </c>
      <c r="Z224" s="297" t="s">
        <v>28</v>
      </c>
      <c r="AA224" s="313"/>
      <c r="AB224" s="313"/>
      <c r="AC224" s="298">
        <f t="shared" si="10"/>
        <v>4916000</v>
      </c>
      <c r="AD224" s="298">
        <v>4916000</v>
      </c>
      <c r="AE224" s="298">
        <f t="shared" si="11"/>
        <v>0</v>
      </c>
      <c r="AF224" s="299"/>
      <c r="AG224" s="300"/>
      <c r="AH224" s="299"/>
      <c r="AI224" s="299"/>
      <c r="AJ224" s="300"/>
      <c r="AK224" s="299"/>
      <c r="AL224" s="301">
        <v>4916000</v>
      </c>
      <c r="AM224" s="314">
        <v>4916000</v>
      </c>
      <c r="AN224" s="301"/>
      <c r="AO224" s="302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3"/>
      <c r="BH224" s="304"/>
    </row>
    <row r="225" spans="1:60" s="305" customFormat="1" ht="16.5" hidden="1" customHeight="1" x14ac:dyDescent="0.4">
      <c r="A225" s="285">
        <v>202</v>
      </c>
      <c r="B225" s="286"/>
      <c r="C225" s="286"/>
      <c r="D225" s="287" t="s">
        <v>92</v>
      </c>
      <c r="E225" s="287" t="s">
        <v>102</v>
      </c>
      <c r="F225" s="288" t="s">
        <v>92</v>
      </c>
      <c r="G225" s="289" t="s">
        <v>196</v>
      </c>
      <c r="H225" s="307"/>
      <c r="I225" s="290"/>
      <c r="J225" s="291" t="s">
        <v>671</v>
      </c>
      <c r="K225" s="287"/>
      <c r="L225" s="287"/>
      <c r="M225" s="287">
        <v>613</v>
      </c>
      <c r="N225" s="287" t="s">
        <v>23</v>
      </c>
      <c r="O225" s="287" t="s">
        <v>33</v>
      </c>
      <c r="P225" s="287"/>
      <c r="Q225" s="287"/>
      <c r="R225" s="287" t="s">
        <v>344</v>
      </c>
      <c r="S225" s="292" t="s">
        <v>749</v>
      </c>
      <c r="T225" s="293"/>
      <c r="U225" s="294"/>
      <c r="V225" s="294"/>
      <c r="W225" s="295"/>
      <c r="X225" s="296"/>
      <c r="Y225" s="287"/>
      <c r="Z225" s="297" t="s">
        <v>544</v>
      </c>
      <c r="AA225" s="313"/>
      <c r="AB225" s="313"/>
      <c r="AC225" s="298">
        <f t="shared" si="10"/>
        <v>1600000000</v>
      </c>
      <c r="AD225" s="298">
        <v>1600000000</v>
      </c>
      <c r="AE225" s="298">
        <f t="shared" si="11"/>
        <v>0</v>
      </c>
      <c r="AF225" s="299"/>
      <c r="AG225" s="300"/>
      <c r="AH225" s="299"/>
      <c r="AI225" s="299">
        <v>200000000</v>
      </c>
      <c r="AJ225" s="300"/>
      <c r="AK225" s="299"/>
      <c r="AL225" s="301">
        <v>200000000</v>
      </c>
      <c r="AM225" s="314"/>
      <c r="AN225" s="301"/>
      <c r="AO225" s="302">
        <v>200000000</v>
      </c>
      <c r="AP225" s="301"/>
      <c r="AQ225" s="301">
        <v>200000000</v>
      </c>
      <c r="AR225" s="301"/>
      <c r="AS225" s="301">
        <v>200000000</v>
      </c>
      <c r="AT225" s="301"/>
      <c r="AU225" s="301">
        <v>200000000</v>
      </c>
      <c r="AV225" s="301"/>
      <c r="AW225" s="301">
        <v>200000000</v>
      </c>
      <c r="AX225" s="301"/>
      <c r="AY225" s="301">
        <v>200000000</v>
      </c>
      <c r="AZ225" s="301"/>
      <c r="BA225" s="301">
        <v>200000000</v>
      </c>
      <c r="BB225" s="301"/>
      <c r="BC225" s="301">
        <v>200000000</v>
      </c>
      <c r="BD225" s="301"/>
      <c r="BE225" s="301"/>
      <c r="BF225" s="301"/>
      <c r="BG225" s="303"/>
      <c r="BH225" s="304"/>
    </row>
    <row r="226" spans="1:60" s="305" customFormat="1" ht="16.5" hidden="1" customHeight="1" x14ac:dyDescent="0.4">
      <c r="A226" s="285">
        <v>203</v>
      </c>
      <c r="B226" s="286"/>
      <c r="C226" s="286"/>
      <c r="D226" s="287" t="s">
        <v>92</v>
      </c>
      <c r="E226" s="287" t="s">
        <v>102</v>
      </c>
      <c r="F226" s="288" t="s">
        <v>92</v>
      </c>
      <c r="G226" s="289" t="s">
        <v>196</v>
      </c>
      <c r="H226" s="307"/>
      <c r="I226" s="290"/>
      <c r="J226" s="291" t="s">
        <v>582</v>
      </c>
      <c r="K226" s="287"/>
      <c r="L226" s="287"/>
      <c r="M226" s="287">
        <v>613</v>
      </c>
      <c r="N226" s="287" t="s">
        <v>23</v>
      </c>
      <c r="O226" s="287" t="s">
        <v>33</v>
      </c>
      <c r="P226" s="287" t="s">
        <v>93</v>
      </c>
      <c r="Q226" s="287"/>
      <c r="R226" s="287" t="s">
        <v>347</v>
      </c>
      <c r="S226" s="292" t="s">
        <v>750</v>
      </c>
      <c r="T226" s="293"/>
      <c r="U226" s="294"/>
      <c r="V226" s="294">
        <v>0</v>
      </c>
      <c r="W226" s="295"/>
      <c r="X226" s="296"/>
      <c r="Y226" s="287" t="s">
        <v>26</v>
      </c>
      <c r="Z226" s="297" t="s">
        <v>26</v>
      </c>
      <c r="AA226" s="313"/>
      <c r="AB226" s="313"/>
      <c r="AC226" s="298">
        <f t="shared" si="10"/>
        <v>50000000</v>
      </c>
      <c r="AD226" s="298">
        <v>50000000</v>
      </c>
      <c r="AE226" s="298">
        <f t="shared" si="11"/>
        <v>0</v>
      </c>
      <c r="AF226" s="299"/>
      <c r="AG226" s="300"/>
      <c r="AH226" s="299"/>
      <c r="AI226" s="299"/>
      <c r="AJ226" s="300"/>
      <c r="AK226" s="299"/>
      <c r="AL226" s="301"/>
      <c r="AM226" s="314"/>
      <c r="AN226" s="301"/>
      <c r="AO226" s="302"/>
      <c r="AP226" s="301"/>
      <c r="AQ226" s="316">
        <v>50000000</v>
      </c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3"/>
      <c r="BH226" s="304"/>
    </row>
    <row r="227" spans="1:60" s="305" customFormat="1" ht="16.5" hidden="1" customHeight="1" x14ac:dyDescent="0.4">
      <c r="A227" s="285">
        <v>204</v>
      </c>
      <c r="B227" s="286"/>
      <c r="C227" s="286"/>
      <c r="D227" s="287" t="s">
        <v>92</v>
      </c>
      <c r="E227" s="287" t="s">
        <v>102</v>
      </c>
      <c r="F227" s="288" t="s">
        <v>92</v>
      </c>
      <c r="G227" s="289" t="s">
        <v>196</v>
      </c>
      <c r="H227" s="307"/>
      <c r="I227" s="290"/>
      <c r="J227" s="291" t="s">
        <v>583</v>
      </c>
      <c r="K227" s="287"/>
      <c r="L227" s="287"/>
      <c r="M227" s="287">
        <v>613</v>
      </c>
      <c r="N227" s="287" t="s">
        <v>23</v>
      </c>
      <c r="O227" s="287" t="s">
        <v>33</v>
      </c>
      <c r="P227" s="287" t="s">
        <v>93</v>
      </c>
      <c r="Q227" s="287"/>
      <c r="R227" s="287" t="s">
        <v>340</v>
      </c>
      <c r="S227" s="292" t="s">
        <v>340</v>
      </c>
      <c r="T227" s="293"/>
      <c r="U227" s="294"/>
      <c r="V227" s="294">
        <v>0</v>
      </c>
      <c r="W227" s="295">
        <v>5200000</v>
      </c>
      <c r="X227" s="296"/>
      <c r="Y227" s="287" t="s">
        <v>26</v>
      </c>
      <c r="Z227" s="297" t="s">
        <v>26</v>
      </c>
      <c r="AA227" s="313"/>
      <c r="AB227" s="313"/>
      <c r="AC227" s="298">
        <f t="shared" si="10"/>
        <v>100000000</v>
      </c>
      <c r="AD227" s="298">
        <v>100000000</v>
      </c>
      <c r="AE227" s="298">
        <f t="shared" si="11"/>
        <v>0</v>
      </c>
      <c r="AF227" s="299"/>
      <c r="AG227" s="300"/>
      <c r="AH227" s="299"/>
      <c r="AI227" s="299"/>
      <c r="AJ227" s="300"/>
      <c r="AK227" s="299"/>
      <c r="AL227" s="301"/>
      <c r="AM227" s="314"/>
      <c r="AN227" s="301"/>
      <c r="AO227" s="302"/>
      <c r="AP227" s="301"/>
      <c r="AQ227" s="301">
        <v>100000000</v>
      </c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3"/>
      <c r="BH227" s="304"/>
    </row>
    <row r="228" spans="1:60" s="305" customFormat="1" ht="16.5" hidden="1" customHeight="1" x14ac:dyDescent="0.4">
      <c r="A228" s="285">
        <v>205</v>
      </c>
      <c r="B228" s="286"/>
      <c r="C228" s="286"/>
      <c r="D228" s="287" t="s">
        <v>92</v>
      </c>
      <c r="E228" s="287" t="s">
        <v>102</v>
      </c>
      <c r="F228" s="288" t="s">
        <v>92</v>
      </c>
      <c r="G228" s="289" t="s">
        <v>196</v>
      </c>
      <c r="H228" s="307"/>
      <c r="I228" s="290"/>
      <c r="J228" s="291" t="s">
        <v>584</v>
      </c>
      <c r="K228" s="287"/>
      <c r="L228" s="287"/>
      <c r="M228" s="287">
        <v>613</v>
      </c>
      <c r="N228" s="287" t="s">
        <v>23</v>
      </c>
      <c r="O228" s="287" t="s">
        <v>33</v>
      </c>
      <c r="P228" s="287" t="s">
        <v>93</v>
      </c>
      <c r="Q228" s="287"/>
      <c r="R228" s="287" t="s">
        <v>339</v>
      </c>
      <c r="S228" s="292" t="s">
        <v>746</v>
      </c>
      <c r="T228" s="293"/>
      <c r="U228" s="294"/>
      <c r="V228" s="294">
        <v>0</v>
      </c>
      <c r="W228" s="295"/>
      <c r="X228" s="296"/>
      <c r="Y228" s="287" t="s">
        <v>25</v>
      </c>
      <c r="Z228" s="297" t="s">
        <v>544</v>
      </c>
      <c r="AA228" s="313"/>
      <c r="AB228" s="313"/>
      <c r="AC228" s="298">
        <f t="shared" si="10"/>
        <v>0</v>
      </c>
      <c r="AD228" s="298">
        <v>0</v>
      </c>
      <c r="AE228" s="298">
        <f t="shared" si="11"/>
        <v>0</v>
      </c>
      <c r="AF228" s="299"/>
      <c r="AG228" s="300"/>
      <c r="AH228" s="299"/>
      <c r="AI228" s="299"/>
      <c r="AJ228" s="300"/>
      <c r="AK228" s="299"/>
      <c r="AL228" s="301"/>
      <c r="AM228" s="314"/>
      <c r="AN228" s="301"/>
      <c r="AO228" s="302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3"/>
      <c r="BH228" s="304"/>
    </row>
    <row r="229" spans="1:60" s="305" customFormat="1" ht="16.5" hidden="1" customHeight="1" x14ac:dyDescent="0.4">
      <c r="A229" s="285">
        <v>206</v>
      </c>
      <c r="B229" s="286"/>
      <c r="C229" s="286"/>
      <c r="D229" s="287" t="s">
        <v>92</v>
      </c>
      <c r="E229" s="287" t="s">
        <v>102</v>
      </c>
      <c r="F229" s="288" t="s">
        <v>92</v>
      </c>
      <c r="G229" s="289" t="s">
        <v>196</v>
      </c>
      <c r="H229" s="307"/>
      <c r="I229" s="290"/>
      <c r="J229" s="291" t="s">
        <v>672</v>
      </c>
      <c r="K229" s="287"/>
      <c r="L229" s="287"/>
      <c r="M229" s="287">
        <v>613</v>
      </c>
      <c r="N229" s="287" t="s">
        <v>23</v>
      </c>
      <c r="O229" s="287" t="s">
        <v>33</v>
      </c>
      <c r="P229" s="287"/>
      <c r="Q229" s="287"/>
      <c r="R229" s="287" t="s">
        <v>342</v>
      </c>
      <c r="S229" s="292" t="s">
        <v>741</v>
      </c>
      <c r="T229" s="293"/>
      <c r="U229" s="294"/>
      <c r="V229" s="294"/>
      <c r="W229" s="295"/>
      <c r="X229" s="296"/>
      <c r="Y229" s="287"/>
      <c r="Z229" s="297" t="s">
        <v>26</v>
      </c>
      <c r="AA229" s="313"/>
      <c r="AB229" s="313"/>
      <c r="AC229" s="298">
        <f t="shared" si="10"/>
        <v>20000000</v>
      </c>
      <c r="AD229" s="298">
        <v>20000000</v>
      </c>
      <c r="AE229" s="298">
        <f t="shared" si="11"/>
        <v>0</v>
      </c>
      <c r="AF229" s="299"/>
      <c r="AG229" s="300"/>
      <c r="AH229" s="299"/>
      <c r="AI229" s="299"/>
      <c r="AJ229" s="300"/>
      <c r="AK229" s="299"/>
      <c r="AL229" s="301"/>
      <c r="AM229" s="314"/>
      <c r="AN229" s="301"/>
      <c r="AO229" s="302"/>
      <c r="AP229" s="301"/>
      <c r="AQ229" s="316">
        <v>20000000</v>
      </c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3"/>
      <c r="BH229" s="304"/>
    </row>
    <row r="230" spans="1:60" s="305" customFormat="1" ht="16.5" hidden="1" customHeight="1" x14ac:dyDescent="0.4">
      <c r="A230" s="285">
        <v>207</v>
      </c>
      <c r="B230" s="286"/>
      <c r="C230" s="286"/>
      <c r="D230" s="287" t="s">
        <v>92</v>
      </c>
      <c r="E230" s="287" t="s">
        <v>102</v>
      </c>
      <c r="F230" s="288" t="s">
        <v>92</v>
      </c>
      <c r="G230" s="289" t="s">
        <v>196</v>
      </c>
      <c r="H230" s="307"/>
      <c r="I230" s="290"/>
      <c r="J230" s="291" t="s">
        <v>585</v>
      </c>
      <c r="K230" s="287"/>
      <c r="L230" s="287"/>
      <c r="M230" s="287">
        <v>47052</v>
      </c>
      <c r="N230" s="287" t="s">
        <v>23</v>
      </c>
      <c r="O230" s="287" t="s">
        <v>43</v>
      </c>
      <c r="P230" s="287" t="s">
        <v>93</v>
      </c>
      <c r="Q230" s="287" t="s">
        <v>49</v>
      </c>
      <c r="R230" s="287" t="s">
        <v>20</v>
      </c>
      <c r="S230" s="292" t="s">
        <v>20</v>
      </c>
      <c r="T230" s="293"/>
      <c r="U230" s="294">
        <v>78860000</v>
      </c>
      <c r="V230" s="294">
        <v>66760000</v>
      </c>
      <c r="W230" s="295">
        <v>80160000</v>
      </c>
      <c r="X230" s="296"/>
      <c r="Y230" s="287" t="s">
        <v>28</v>
      </c>
      <c r="Z230" s="297" t="s">
        <v>544</v>
      </c>
      <c r="AA230" s="313"/>
      <c r="AB230" s="313"/>
      <c r="AC230" s="298">
        <f t="shared" si="10"/>
        <v>54000000</v>
      </c>
      <c r="AD230" s="298">
        <v>54000000</v>
      </c>
      <c r="AE230" s="298">
        <f t="shared" si="11"/>
        <v>0</v>
      </c>
      <c r="AF230" s="299">
        <v>4000000</v>
      </c>
      <c r="AG230" s="300"/>
      <c r="AH230" s="299"/>
      <c r="AI230" s="299">
        <v>6000000</v>
      </c>
      <c r="AJ230" s="300"/>
      <c r="AK230" s="299"/>
      <c r="AL230" s="301">
        <v>6000000</v>
      </c>
      <c r="AM230" s="314"/>
      <c r="AN230" s="301"/>
      <c r="AO230" s="302">
        <v>6000000</v>
      </c>
      <c r="AP230" s="301"/>
      <c r="AQ230" s="301">
        <v>6000000</v>
      </c>
      <c r="AR230" s="301"/>
      <c r="AS230" s="301">
        <v>6000000</v>
      </c>
      <c r="AT230" s="301"/>
      <c r="AU230" s="301">
        <v>6000000</v>
      </c>
      <c r="AV230" s="301"/>
      <c r="AW230" s="301">
        <v>6000000</v>
      </c>
      <c r="AX230" s="301"/>
      <c r="AY230" s="301">
        <v>6000000</v>
      </c>
      <c r="AZ230" s="301"/>
      <c r="BA230" s="301">
        <v>6000000</v>
      </c>
      <c r="BB230" s="301"/>
      <c r="BC230" s="301">
        <v>6000000</v>
      </c>
      <c r="BD230" s="301"/>
      <c r="BE230" s="301">
        <v>6000000</v>
      </c>
      <c r="BF230" s="301"/>
      <c r="BG230" s="303"/>
      <c r="BH230" s="304"/>
    </row>
    <row r="231" spans="1:60" s="305" customFormat="1" ht="16.5" hidden="1" customHeight="1" x14ac:dyDescent="0.4">
      <c r="A231" s="285">
        <v>208</v>
      </c>
      <c r="B231" s="286"/>
      <c r="C231" s="286"/>
      <c r="D231" s="287" t="s">
        <v>92</v>
      </c>
      <c r="E231" s="287" t="s">
        <v>102</v>
      </c>
      <c r="F231" s="288" t="s">
        <v>92</v>
      </c>
      <c r="G231" s="289" t="s">
        <v>196</v>
      </c>
      <c r="H231" s="307"/>
      <c r="I231" s="290"/>
      <c r="J231" s="291" t="s">
        <v>669</v>
      </c>
      <c r="K231" s="287"/>
      <c r="L231" s="287"/>
      <c r="M231" s="287">
        <v>46868</v>
      </c>
      <c r="N231" s="287" t="s">
        <v>23</v>
      </c>
      <c r="O231" s="287" t="s">
        <v>43</v>
      </c>
      <c r="P231" s="287" t="s">
        <v>93</v>
      </c>
      <c r="Q231" s="287"/>
      <c r="R231" s="287" t="s">
        <v>350</v>
      </c>
      <c r="S231" s="292" t="s">
        <v>753</v>
      </c>
      <c r="T231" s="293"/>
      <c r="U231" s="294"/>
      <c r="V231" s="294">
        <v>0</v>
      </c>
      <c r="W231" s="295">
        <v>19350000</v>
      </c>
      <c r="X231" s="296"/>
      <c r="Y231" s="287" t="s">
        <v>28</v>
      </c>
      <c r="Z231" s="297" t="s">
        <v>25</v>
      </c>
      <c r="AA231" s="313"/>
      <c r="AB231" s="313"/>
      <c r="AC231" s="298">
        <f t="shared" si="10"/>
        <v>0</v>
      </c>
      <c r="AD231" s="298">
        <v>0</v>
      </c>
      <c r="AE231" s="298">
        <f t="shared" si="11"/>
        <v>0</v>
      </c>
      <c r="AF231" s="299"/>
      <c r="AG231" s="300"/>
      <c r="AH231" s="299"/>
      <c r="AI231" s="299">
        <v>19000000</v>
      </c>
      <c r="AJ231" s="300"/>
      <c r="AK231" s="299"/>
      <c r="AL231" s="301"/>
      <c r="AM231" s="314"/>
      <c r="AN231" s="301"/>
      <c r="AO231" s="302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3"/>
      <c r="BH231" s="304"/>
    </row>
    <row r="232" spans="1:60" s="305" customFormat="1" ht="16.5" hidden="1" customHeight="1" x14ac:dyDescent="0.4">
      <c r="A232" s="285">
        <v>209</v>
      </c>
      <c r="B232" s="286"/>
      <c r="C232" s="286"/>
      <c r="D232" s="287" t="s">
        <v>92</v>
      </c>
      <c r="E232" s="287" t="s">
        <v>102</v>
      </c>
      <c r="F232" s="288" t="s">
        <v>92</v>
      </c>
      <c r="G232" s="289" t="s">
        <v>196</v>
      </c>
      <c r="H232" s="307"/>
      <c r="I232" s="290"/>
      <c r="J232" s="291" t="s">
        <v>586</v>
      </c>
      <c r="K232" s="287"/>
      <c r="L232" s="287"/>
      <c r="M232" s="287">
        <v>46054</v>
      </c>
      <c r="N232" s="287" t="s">
        <v>23</v>
      </c>
      <c r="O232" s="287" t="s">
        <v>43</v>
      </c>
      <c r="P232" s="287" t="s">
        <v>93</v>
      </c>
      <c r="Q232" s="287" t="s">
        <v>27</v>
      </c>
      <c r="R232" s="287" t="s">
        <v>340</v>
      </c>
      <c r="S232" s="292" t="s">
        <v>340</v>
      </c>
      <c r="T232" s="293"/>
      <c r="U232" s="294">
        <v>1461134800</v>
      </c>
      <c r="V232" s="294">
        <v>604158800</v>
      </c>
      <c r="W232" s="295">
        <v>45850000</v>
      </c>
      <c r="X232" s="296"/>
      <c r="Y232" s="287" t="s">
        <v>25</v>
      </c>
      <c r="Z232" s="297" t="s">
        <v>26</v>
      </c>
      <c r="AA232" s="313"/>
      <c r="AB232" s="313"/>
      <c r="AC232" s="298">
        <f t="shared" si="10"/>
        <v>450000000</v>
      </c>
      <c r="AD232" s="298">
        <v>450000000</v>
      </c>
      <c r="AE232" s="298">
        <f t="shared" si="11"/>
        <v>0</v>
      </c>
      <c r="AF232" s="299"/>
      <c r="AG232" s="300"/>
      <c r="AH232" s="299"/>
      <c r="AI232" s="299"/>
      <c r="AJ232" s="300"/>
      <c r="AK232" s="299"/>
      <c r="AL232" s="301"/>
      <c r="AM232" s="314"/>
      <c r="AN232" s="301"/>
      <c r="AO232" s="302">
        <v>50000000</v>
      </c>
      <c r="AP232" s="301"/>
      <c r="AQ232" s="301">
        <v>50000000</v>
      </c>
      <c r="AR232" s="301"/>
      <c r="AS232" s="301">
        <v>50000000</v>
      </c>
      <c r="AT232" s="301"/>
      <c r="AU232" s="301">
        <v>50000000</v>
      </c>
      <c r="AV232" s="301"/>
      <c r="AW232" s="301">
        <v>50000000</v>
      </c>
      <c r="AX232" s="301"/>
      <c r="AY232" s="301">
        <v>50000000</v>
      </c>
      <c r="AZ232" s="301"/>
      <c r="BA232" s="301">
        <v>50000000</v>
      </c>
      <c r="BB232" s="301"/>
      <c r="BC232" s="301">
        <v>100000000</v>
      </c>
      <c r="BD232" s="301"/>
      <c r="BE232" s="301"/>
      <c r="BF232" s="301"/>
      <c r="BG232" s="303"/>
      <c r="BH232" s="304"/>
    </row>
    <row r="233" spans="1:60" s="305" customFormat="1" ht="16.5" hidden="1" customHeight="1" x14ac:dyDescent="0.4">
      <c r="A233" s="285">
        <v>210</v>
      </c>
      <c r="B233" s="286"/>
      <c r="C233" s="286"/>
      <c r="D233" s="287" t="s">
        <v>92</v>
      </c>
      <c r="E233" s="287" t="s">
        <v>102</v>
      </c>
      <c r="F233" s="288" t="s">
        <v>92</v>
      </c>
      <c r="G233" s="289" t="s">
        <v>196</v>
      </c>
      <c r="H233" s="307"/>
      <c r="I233" s="290"/>
      <c r="J233" s="291" t="s">
        <v>587</v>
      </c>
      <c r="K233" s="287"/>
      <c r="L233" s="287"/>
      <c r="M233" s="287">
        <v>3870</v>
      </c>
      <c r="N233" s="287" t="s">
        <v>23</v>
      </c>
      <c r="O233" s="287" t="s">
        <v>33</v>
      </c>
      <c r="P233" s="287" t="s">
        <v>93</v>
      </c>
      <c r="Q233" s="287"/>
      <c r="R233" s="287" t="s">
        <v>340</v>
      </c>
      <c r="S233" s="292" t="s">
        <v>340</v>
      </c>
      <c r="T233" s="293"/>
      <c r="U233" s="294"/>
      <c r="V233" s="294">
        <v>0</v>
      </c>
      <c r="W233" s="295"/>
      <c r="X233" s="296"/>
      <c r="Y233" s="287" t="s">
        <v>26</v>
      </c>
      <c r="Z233" s="297" t="s">
        <v>26</v>
      </c>
      <c r="AA233" s="313"/>
      <c r="AB233" s="313"/>
      <c r="AC233" s="298">
        <f t="shared" si="10"/>
        <v>3000000</v>
      </c>
      <c r="AD233" s="298">
        <v>3000000</v>
      </c>
      <c r="AE233" s="298">
        <f t="shared" si="11"/>
        <v>0</v>
      </c>
      <c r="AF233" s="299"/>
      <c r="AG233" s="300"/>
      <c r="AH233" s="299"/>
      <c r="AI233" s="299"/>
      <c r="AJ233" s="300"/>
      <c r="AK233" s="299"/>
      <c r="AL233" s="301"/>
      <c r="AM233" s="314"/>
      <c r="AN233" s="301"/>
      <c r="AO233" s="302"/>
      <c r="AP233" s="301"/>
      <c r="AQ233" s="301">
        <v>3000000</v>
      </c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3"/>
      <c r="BH233" s="304"/>
    </row>
    <row r="234" spans="1:60" s="305" customFormat="1" ht="16.5" hidden="1" customHeight="1" x14ac:dyDescent="0.4">
      <c r="A234" s="285">
        <v>211</v>
      </c>
      <c r="B234" s="286"/>
      <c r="C234" s="286"/>
      <c r="D234" s="287" t="s">
        <v>71</v>
      </c>
      <c r="E234" s="287" t="s">
        <v>271</v>
      </c>
      <c r="F234" s="288" t="s">
        <v>92</v>
      </c>
      <c r="G234" s="289" t="s">
        <v>196</v>
      </c>
      <c r="H234" s="307"/>
      <c r="I234" s="290"/>
      <c r="J234" s="291" t="s">
        <v>588</v>
      </c>
      <c r="K234" s="287"/>
      <c r="L234" s="287"/>
      <c r="M234" s="287">
        <v>4968</v>
      </c>
      <c r="N234" s="287" t="s">
        <v>23</v>
      </c>
      <c r="O234" s="287" t="s">
        <v>33</v>
      </c>
      <c r="P234" s="287"/>
      <c r="Q234" s="287" t="s">
        <v>19</v>
      </c>
      <c r="R234" s="287" t="s">
        <v>20</v>
      </c>
      <c r="S234" s="292" t="s">
        <v>20</v>
      </c>
      <c r="T234" s="293"/>
      <c r="U234" s="294">
        <v>900000</v>
      </c>
      <c r="V234" s="294">
        <v>0</v>
      </c>
      <c r="W234" s="295"/>
      <c r="X234" s="296"/>
      <c r="Y234" s="287" t="s">
        <v>26</v>
      </c>
      <c r="Z234" s="297" t="s">
        <v>26</v>
      </c>
      <c r="AA234" s="313"/>
      <c r="AB234" s="313"/>
      <c r="AC234" s="298">
        <f t="shared" si="10"/>
        <v>1000000</v>
      </c>
      <c r="AD234" s="298">
        <v>1000000</v>
      </c>
      <c r="AE234" s="298">
        <f t="shared" si="11"/>
        <v>0</v>
      </c>
      <c r="AF234" s="299"/>
      <c r="AG234" s="300"/>
      <c r="AH234" s="299"/>
      <c r="AI234" s="299"/>
      <c r="AJ234" s="300"/>
      <c r="AK234" s="299"/>
      <c r="AL234" s="301"/>
      <c r="AM234" s="314"/>
      <c r="AN234" s="301"/>
      <c r="AO234" s="302"/>
      <c r="AP234" s="301"/>
      <c r="AQ234" s="301">
        <v>1000000</v>
      </c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3"/>
      <c r="BH234" s="304"/>
    </row>
    <row r="235" spans="1:60" s="305" customFormat="1" ht="16.5" hidden="1" customHeight="1" x14ac:dyDescent="0.4">
      <c r="A235" s="285">
        <v>212</v>
      </c>
      <c r="B235" s="286"/>
      <c r="C235" s="286"/>
      <c r="D235" s="287" t="s">
        <v>92</v>
      </c>
      <c r="E235" s="287" t="s">
        <v>196</v>
      </c>
      <c r="F235" s="288" t="s">
        <v>92</v>
      </c>
      <c r="G235" s="289" t="s">
        <v>196</v>
      </c>
      <c r="H235" s="307"/>
      <c r="I235" s="290"/>
      <c r="J235" s="291" t="s">
        <v>78</v>
      </c>
      <c r="K235" s="287"/>
      <c r="L235" s="287"/>
      <c r="M235" s="287">
        <v>3838</v>
      </c>
      <c r="N235" s="287" t="s">
        <v>32</v>
      </c>
      <c r="O235" s="287" t="s">
        <v>43</v>
      </c>
      <c r="P235" s="287"/>
      <c r="Q235" s="287" t="s">
        <v>49</v>
      </c>
      <c r="R235" s="287" t="s">
        <v>29</v>
      </c>
      <c r="S235" s="292" t="s">
        <v>29</v>
      </c>
      <c r="T235" s="293"/>
      <c r="U235" s="294"/>
      <c r="V235" s="294">
        <v>0</v>
      </c>
      <c r="W235" s="295">
        <v>252785000</v>
      </c>
      <c r="X235" s="296"/>
      <c r="Y235" s="287" t="s">
        <v>25</v>
      </c>
      <c r="Z235" s="297" t="s">
        <v>28</v>
      </c>
      <c r="AA235" s="313"/>
      <c r="AB235" s="313"/>
      <c r="AC235" s="298">
        <f t="shared" si="10"/>
        <v>263130000</v>
      </c>
      <c r="AD235" s="298">
        <v>263130000</v>
      </c>
      <c r="AE235" s="298">
        <f t="shared" si="11"/>
        <v>0</v>
      </c>
      <c r="AF235" s="299"/>
      <c r="AG235" s="300"/>
      <c r="AH235" s="299"/>
      <c r="AI235" s="299"/>
      <c r="AJ235" s="300"/>
      <c r="AK235" s="299"/>
      <c r="AL235" s="301"/>
      <c r="AM235" s="314"/>
      <c r="AN235" s="301"/>
      <c r="AO235" s="302"/>
      <c r="AP235" s="301"/>
      <c r="AQ235" s="301"/>
      <c r="AR235" s="301"/>
      <c r="AS235" s="301">
        <v>112770000</v>
      </c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>
        <v>150360000</v>
      </c>
      <c r="BF235" s="301"/>
      <c r="BG235" s="303"/>
      <c r="BH235" s="304"/>
    </row>
    <row r="236" spans="1:60" s="305" customFormat="1" ht="16.5" hidden="1" customHeight="1" x14ac:dyDescent="0.4">
      <c r="A236" s="285">
        <v>213</v>
      </c>
      <c r="B236" s="286"/>
      <c r="C236" s="286"/>
      <c r="D236" s="287" t="s">
        <v>92</v>
      </c>
      <c r="E236" s="287" t="s">
        <v>196</v>
      </c>
      <c r="F236" s="288" t="s">
        <v>92</v>
      </c>
      <c r="G236" s="289" t="s">
        <v>196</v>
      </c>
      <c r="H236" s="307"/>
      <c r="I236" s="290"/>
      <c r="J236" s="291" t="s">
        <v>78</v>
      </c>
      <c r="K236" s="287"/>
      <c r="L236" s="287"/>
      <c r="M236" s="287">
        <v>3838</v>
      </c>
      <c r="N236" s="287" t="s">
        <v>32</v>
      </c>
      <c r="O236" s="287" t="s">
        <v>43</v>
      </c>
      <c r="P236" s="287"/>
      <c r="Q236" s="287" t="s">
        <v>49</v>
      </c>
      <c r="R236" s="287" t="s">
        <v>29</v>
      </c>
      <c r="S236" s="292" t="s">
        <v>29</v>
      </c>
      <c r="T236" s="293"/>
      <c r="U236" s="294">
        <v>157494000</v>
      </c>
      <c r="V236" s="294">
        <v>155100000</v>
      </c>
      <c r="W236" s="295">
        <v>0</v>
      </c>
      <c r="X236" s="296"/>
      <c r="Y236" s="287" t="s">
        <v>28</v>
      </c>
      <c r="Z236" s="297" t="s">
        <v>656</v>
      </c>
      <c r="AA236" s="313"/>
      <c r="AB236" s="313"/>
      <c r="AC236" s="298">
        <f t="shared" si="10"/>
        <v>120000000</v>
      </c>
      <c r="AD236" s="298">
        <v>120000000</v>
      </c>
      <c r="AE236" s="298">
        <f t="shared" si="11"/>
        <v>0</v>
      </c>
      <c r="AF236" s="299"/>
      <c r="AG236" s="300"/>
      <c r="AH236" s="299"/>
      <c r="AI236" s="299"/>
      <c r="AJ236" s="300"/>
      <c r="AK236" s="299"/>
      <c r="AL236" s="301"/>
      <c r="AM236" s="314"/>
      <c r="AN236" s="301"/>
      <c r="AO236" s="302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>
        <v>120000000</v>
      </c>
      <c r="BF236" s="301"/>
      <c r="BG236" s="303"/>
      <c r="BH236" s="304"/>
    </row>
    <row r="237" spans="1:60" s="305" customFormat="1" ht="16.5" hidden="1" customHeight="1" x14ac:dyDescent="0.4">
      <c r="A237" s="285">
        <v>214</v>
      </c>
      <c r="B237" s="286"/>
      <c r="C237" s="286"/>
      <c r="D237" s="287" t="s">
        <v>92</v>
      </c>
      <c r="E237" s="287" t="s">
        <v>196</v>
      </c>
      <c r="F237" s="288" t="s">
        <v>92</v>
      </c>
      <c r="G237" s="289" t="s">
        <v>196</v>
      </c>
      <c r="H237" s="307"/>
      <c r="I237" s="290"/>
      <c r="J237" s="291" t="s">
        <v>78</v>
      </c>
      <c r="K237" s="287"/>
      <c r="L237" s="287"/>
      <c r="M237" s="287">
        <v>3838</v>
      </c>
      <c r="N237" s="287" t="s">
        <v>32</v>
      </c>
      <c r="O237" s="287" t="s">
        <v>33</v>
      </c>
      <c r="P237" s="287"/>
      <c r="Q237" s="287" t="s">
        <v>27</v>
      </c>
      <c r="R237" s="287" t="s">
        <v>340</v>
      </c>
      <c r="S237" s="292" t="s">
        <v>340</v>
      </c>
      <c r="T237" s="293"/>
      <c r="U237" s="294">
        <v>3700000</v>
      </c>
      <c r="V237" s="294">
        <v>0</v>
      </c>
      <c r="W237" s="295"/>
      <c r="X237" s="296"/>
      <c r="Y237" s="287" t="s">
        <v>22</v>
      </c>
      <c r="Z237" s="297" t="s">
        <v>22</v>
      </c>
      <c r="AA237" s="313"/>
      <c r="AB237" s="313"/>
      <c r="AC237" s="298">
        <f t="shared" si="10"/>
        <v>0</v>
      </c>
      <c r="AD237" s="298">
        <v>0</v>
      </c>
      <c r="AE237" s="298">
        <f t="shared" si="11"/>
        <v>0</v>
      </c>
      <c r="AF237" s="299"/>
      <c r="AG237" s="300"/>
      <c r="AH237" s="299"/>
      <c r="AI237" s="299"/>
      <c r="AJ237" s="300"/>
      <c r="AK237" s="299"/>
      <c r="AL237" s="301"/>
      <c r="AM237" s="314"/>
      <c r="AN237" s="301"/>
      <c r="AO237" s="302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3"/>
      <c r="BH237" s="304"/>
    </row>
    <row r="238" spans="1:60" s="305" customFormat="1" ht="16.5" hidden="1" customHeight="1" x14ac:dyDescent="0.4">
      <c r="A238" s="285">
        <v>215</v>
      </c>
      <c r="B238" s="286"/>
      <c r="C238" s="286"/>
      <c r="D238" s="287" t="s">
        <v>92</v>
      </c>
      <c r="E238" s="287" t="s">
        <v>196</v>
      </c>
      <c r="F238" s="288" t="s">
        <v>92</v>
      </c>
      <c r="G238" s="289" t="s">
        <v>196</v>
      </c>
      <c r="H238" s="307"/>
      <c r="I238" s="290"/>
      <c r="J238" s="291" t="s">
        <v>826</v>
      </c>
      <c r="K238" s="287"/>
      <c r="L238" s="287"/>
      <c r="M238" s="287">
        <v>3838</v>
      </c>
      <c r="N238" s="287" t="s">
        <v>32</v>
      </c>
      <c r="O238" s="287" t="s">
        <v>43</v>
      </c>
      <c r="P238" s="287"/>
      <c r="Q238" s="287" t="s">
        <v>24</v>
      </c>
      <c r="R238" s="287" t="s">
        <v>221</v>
      </c>
      <c r="S238" s="292" t="s">
        <v>745</v>
      </c>
      <c r="T238" s="293"/>
      <c r="U238" s="294">
        <v>5800000</v>
      </c>
      <c r="V238" s="294">
        <v>11000000</v>
      </c>
      <c r="W238" s="295">
        <v>8500000</v>
      </c>
      <c r="X238" s="296"/>
      <c r="Y238" s="287" t="s">
        <v>28</v>
      </c>
      <c r="Z238" s="297" t="s">
        <v>28</v>
      </c>
      <c r="AA238" s="313"/>
      <c r="AB238" s="313"/>
      <c r="AC238" s="298">
        <f t="shared" si="10"/>
        <v>1200000</v>
      </c>
      <c r="AD238" s="298">
        <v>1200000</v>
      </c>
      <c r="AE238" s="298">
        <f t="shared" si="11"/>
        <v>0</v>
      </c>
      <c r="AF238" s="299"/>
      <c r="AG238" s="300"/>
      <c r="AH238" s="299"/>
      <c r="AI238" s="299"/>
      <c r="AJ238" s="300"/>
      <c r="AK238" s="299"/>
      <c r="AL238" s="301">
        <v>1200000</v>
      </c>
      <c r="AM238" s="314">
        <v>1200000</v>
      </c>
      <c r="AN238" s="301"/>
      <c r="AO238" s="302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3"/>
      <c r="BH238" s="304"/>
    </row>
    <row r="239" spans="1:60" s="305" customFormat="1" ht="16.5" hidden="1" customHeight="1" x14ac:dyDescent="0.4">
      <c r="A239" s="285">
        <v>216</v>
      </c>
      <c r="B239" s="286"/>
      <c r="C239" s="286"/>
      <c r="D239" s="287" t="s">
        <v>92</v>
      </c>
      <c r="E239" s="287" t="s">
        <v>196</v>
      </c>
      <c r="F239" s="288" t="s">
        <v>92</v>
      </c>
      <c r="G239" s="289" t="s">
        <v>196</v>
      </c>
      <c r="H239" s="307"/>
      <c r="I239" s="290"/>
      <c r="J239" s="291" t="s">
        <v>78</v>
      </c>
      <c r="K239" s="287"/>
      <c r="L239" s="287"/>
      <c r="M239" s="287">
        <v>3838</v>
      </c>
      <c r="N239" s="287" t="s">
        <v>32</v>
      </c>
      <c r="O239" s="287" t="s">
        <v>43</v>
      </c>
      <c r="P239" s="287"/>
      <c r="Q239" s="287" t="s">
        <v>24</v>
      </c>
      <c r="R239" s="287" t="s">
        <v>221</v>
      </c>
      <c r="S239" s="292" t="s">
        <v>745</v>
      </c>
      <c r="T239" s="293"/>
      <c r="U239" s="294">
        <v>5800000</v>
      </c>
      <c r="V239" s="294">
        <v>11000000</v>
      </c>
      <c r="W239" s="295">
        <v>8500000</v>
      </c>
      <c r="X239" s="296"/>
      <c r="Y239" s="287" t="s">
        <v>28</v>
      </c>
      <c r="Z239" s="297" t="s">
        <v>25</v>
      </c>
      <c r="AA239" s="313"/>
      <c r="AB239" s="313"/>
      <c r="AC239" s="298">
        <f t="shared" si="10"/>
        <v>13800000</v>
      </c>
      <c r="AD239" s="298">
        <v>13800000</v>
      </c>
      <c r="AE239" s="298">
        <f t="shared" si="11"/>
        <v>0</v>
      </c>
      <c r="AF239" s="299"/>
      <c r="AG239" s="300"/>
      <c r="AH239" s="299"/>
      <c r="AI239" s="299"/>
      <c r="AJ239" s="300"/>
      <c r="AK239" s="299"/>
      <c r="AL239" s="301"/>
      <c r="AM239" s="314"/>
      <c r="AN239" s="301"/>
      <c r="AO239" s="302"/>
      <c r="AP239" s="301"/>
      <c r="AQ239" s="301"/>
      <c r="AR239" s="301"/>
      <c r="AS239" s="301">
        <v>13800000</v>
      </c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3"/>
      <c r="BH239" s="304"/>
    </row>
    <row r="240" spans="1:60" s="305" customFormat="1" ht="16.5" hidden="1" customHeight="1" x14ac:dyDescent="0.4">
      <c r="A240" s="285">
        <v>217</v>
      </c>
      <c r="B240" s="286"/>
      <c r="C240" s="286"/>
      <c r="D240" s="287" t="s">
        <v>92</v>
      </c>
      <c r="E240" s="287" t="s">
        <v>196</v>
      </c>
      <c r="F240" s="288" t="s">
        <v>92</v>
      </c>
      <c r="G240" s="289" t="s">
        <v>196</v>
      </c>
      <c r="H240" s="307"/>
      <c r="I240" s="290"/>
      <c r="J240" s="291" t="s">
        <v>78</v>
      </c>
      <c r="K240" s="287"/>
      <c r="L240" s="287"/>
      <c r="M240" s="287">
        <v>3838</v>
      </c>
      <c r="N240" s="287" t="s">
        <v>32</v>
      </c>
      <c r="O240" s="287" t="s">
        <v>43</v>
      </c>
      <c r="P240" s="287"/>
      <c r="Q240" s="287" t="s">
        <v>24</v>
      </c>
      <c r="R240" s="287" t="s">
        <v>221</v>
      </c>
      <c r="S240" s="292" t="s">
        <v>745</v>
      </c>
      <c r="T240" s="293"/>
      <c r="U240" s="294"/>
      <c r="V240" s="294">
        <v>0</v>
      </c>
      <c r="W240" s="295">
        <v>0</v>
      </c>
      <c r="X240" s="296"/>
      <c r="Y240" s="287" t="s">
        <v>25</v>
      </c>
      <c r="Z240" s="297" t="s">
        <v>656</v>
      </c>
      <c r="AA240" s="313"/>
      <c r="AB240" s="313"/>
      <c r="AC240" s="298">
        <f t="shared" si="10"/>
        <v>0</v>
      </c>
      <c r="AD240" s="298">
        <v>0</v>
      </c>
      <c r="AE240" s="298">
        <f t="shared" si="11"/>
        <v>0</v>
      </c>
      <c r="AF240" s="299"/>
      <c r="AG240" s="300"/>
      <c r="AH240" s="299"/>
      <c r="AI240" s="299"/>
      <c r="AJ240" s="300"/>
      <c r="AK240" s="299"/>
      <c r="AL240" s="301"/>
      <c r="AM240" s="314"/>
      <c r="AN240" s="301"/>
      <c r="AO240" s="302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3"/>
      <c r="BH240" s="304"/>
    </row>
    <row r="241" spans="1:60" s="305" customFormat="1" ht="16.5" hidden="1" customHeight="1" x14ac:dyDescent="0.4">
      <c r="A241" s="285">
        <v>218</v>
      </c>
      <c r="B241" s="286"/>
      <c r="C241" s="286"/>
      <c r="D241" s="287" t="s">
        <v>92</v>
      </c>
      <c r="E241" s="287" t="s">
        <v>196</v>
      </c>
      <c r="F241" s="288" t="s">
        <v>92</v>
      </c>
      <c r="G241" s="289" t="s">
        <v>196</v>
      </c>
      <c r="H241" s="307"/>
      <c r="I241" s="290"/>
      <c r="J241" s="291" t="s">
        <v>78</v>
      </c>
      <c r="K241" s="287"/>
      <c r="L241" s="287"/>
      <c r="M241" s="287">
        <v>3838</v>
      </c>
      <c r="N241" s="287" t="s">
        <v>32</v>
      </c>
      <c r="O241" s="287" t="s">
        <v>43</v>
      </c>
      <c r="P241" s="287"/>
      <c r="Q241" s="287" t="s">
        <v>46</v>
      </c>
      <c r="R241" s="287" t="s">
        <v>347</v>
      </c>
      <c r="S241" s="292" t="s">
        <v>750</v>
      </c>
      <c r="T241" s="293"/>
      <c r="U241" s="294">
        <v>166000000</v>
      </c>
      <c r="V241" s="294">
        <v>166000000</v>
      </c>
      <c r="W241" s="295">
        <v>66400000</v>
      </c>
      <c r="X241" s="296"/>
      <c r="Y241" s="287" t="s">
        <v>28</v>
      </c>
      <c r="Z241" s="297" t="s">
        <v>656</v>
      </c>
      <c r="AA241" s="313"/>
      <c r="AB241" s="313"/>
      <c r="AC241" s="298">
        <f t="shared" si="10"/>
        <v>31000000</v>
      </c>
      <c r="AD241" s="298">
        <v>31000000</v>
      </c>
      <c r="AE241" s="298">
        <f t="shared" si="11"/>
        <v>0</v>
      </c>
      <c r="AF241" s="299"/>
      <c r="AG241" s="300"/>
      <c r="AH241" s="299"/>
      <c r="AI241" s="299"/>
      <c r="AJ241" s="300"/>
      <c r="AK241" s="299"/>
      <c r="AL241" s="301"/>
      <c r="AM241" s="314"/>
      <c r="AN241" s="301"/>
      <c r="AO241" s="302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>
        <v>31000000</v>
      </c>
      <c r="BF241" s="301"/>
      <c r="BG241" s="303"/>
      <c r="BH241" s="304"/>
    </row>
    <row r="242" spans="1:60" s="305" customFormat="1" ht="16.5" hidden="1" customHeight="1" x14ac:dyDescent="0.4">
      <c r="A242" s="285">
        <v>219</v>
      </c>
      <c r="B242" s="286"/>
      <c r="C242" s="286"/>
      <c r="D242" s="287" t="s">
        <v>92</v>
      </c>
      <c r="E242" s="287" t="s">
        <v>196</v>
      </c>
      <c r="F242" s="288" t="s">
        <v>92</v>
      </c>
      <c r="G242" s="289" t="s">
        <v>196</v>
      </c>
      <c r="H242" s="307"/>
      <c r="I242" s="290"/>
      <c r="J242" s="291" t="s">
        <v>78</v>
      </c>
      <c r="K242" s="287"/>
      <c r="L242" s="287"/>
      <c r="M242" s="287">
        <v>3838</v>
      </c>
      <c r="N242" s="287" t="s">
        <v>32</v>
      </c>
      <c r="O242" s="287" t="s">
        <v>43</v>
      </c>
      <c r="P242" s="287"/>
      <c r="Q242" s="287" t="s">
        <v>46</v>
      </c>
      <c r="R242" s="287" t="s">
        <v>347</v>
      </c>
      <c r="S242" s="292" t="s">
        <v>750</v>
      </c>
      <c r="T242" s="293"/>
      <c r="U242" s="294"/>
      <c r="V242" s="294">
        <v>0</v>
      </c>
      <c r="W242" s="295">
        <v>0</v>
      </c>
      <c r="X242" s="296"/>
      <c r="Y242" s="287" t="s">
        <v>25</v>
      </c>
      <c r="Z242" s="297" t="s">
        <v>656</v>
      </c>
      <c r="AA242" s="313"/>
      <c r="AB242" s="313"/>
      <c r="AC242" s="298">
        <f t="shared" si="10"/>
        <v>0</v>
      </c>
      <c r="AD242" s="298">
        <v>0</v>
      </c>
      <c r="AE242" s="298">
        <f t="shared" si="11"/>
        <v>0</v>
      </c>
      <c r="AF242" s="299"/>
      <c r="AG242" s="300"/>
      <c r="AH242" s="299"/>
      <c r="AI242" s="299"/>
      <c r="AJ242" s="300"/>
      <c r="AK242" s="299"/>
      <c r="AL242" s="301"/>
      <c r="AM242" s="314"/>
      <c r="AN242" s="301"/>
      <c r="AO242" s="302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3"/>
      <c r="BH242" s="304"/>
    </row>
    <row r="243" spans="1:60" s="305" customFormat="1" ht="16.5" hidden="1" customHeight="1" x14ac:dyDescent="0.4">
      <c r="A243" s="285">
        <v>220</v>
      </c>
      <c r="B243" s="286"/>
      <c r="C243" s="286"/>
      <c r="D243" s="287" t="s">
        <v>92</v>
      </c>
      <c r="E243" s="287" t="s">
        <v>196</v>
      </c>
      <c r="F243" s="288" t="s">
        <v>92</v>
      </c>
      <c r="G243" s="289" t="s">
        <v>196</v>
      </c>
      <c r="H243" s="307"/>
      <c r="I243" s="290"/>
      <c r="J243" s="291" t="s">
        <v>78</v>
      </c>
      <c r="K243" s="287"/>
      <c r="L243" s="287"/>
      <c r="M243" s="287">
        <v>3838</v>
      </c>
      <c r="N243" s="287" t="s">
        <v>32</v>
      </c>
      <c r="O243" s="287" t="s">
        <v>43</v>
      </c>
      <c r="P243" s="287"/>
      <c r="Q243" s="287"/>
      <c r="R243" s="287"/>
      <c r="S243" s="292" t="s">
        <v>753</v>
      </c>
      <c r="T243" s="293"/>
      <c r="U243" s="294"/>
      <c r="V243" s="294"/>
      <c r="W243" s="295">
        <v>4545455</v>
      </c>
      <c r="X243" s="296"/>
      <c r="Y243" s="287"/>
      <c r="Z243" s="297" t="s">
        <v>656</v>
      </c>
      <c r="AA243" s="313"/>
      <c r="AB243" s="313"/>
      <c r="AC243" s="298">
        <f t="shared" si="10"/>
        <v>0</v>
      </c>
      <c r="AD243" s="298">
        <v>0</v>
      </c>
      <c r="AE243" s="298">
        <f t="shared" si="11"/>
        <v>0</v>
      </c>
      <c r="AF243" s="299"/>
      <c r="AG243" s="300"/>
      <c r="AH243" s="299"/>
      <c r="AI243" s="299"/>
      <c r="AJ243" s="300"/>
      <c r="AK243" s="299"/>
      <c r="AL243" s="301"/>
      <c r="AM243" s="314"/>
      <c r="AN243" s="301"/>
      <c r="AO243" s="302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3"/>
      <c r="BH243" s="304"/>
    </row>
    <row r="244" spans="1:60" s="305" customFormat="1" ht="16.5" hidden="1" customHeight="1" x14ac:dyDescent="0.4">
      <c r="A244" s="285">
        <v>221</v>
      </c>
      <c r="B244" s="286"/>
      <c r="C244" s="286"/>
      <c r="D244" s="287" t="s">
        <v>92</v>
      </c>
      <c r="E244" s="287" t="s">
        <v>184</v>
      </c>
      <c r="F244" s="288" t="s">
        <v>92</v>
      </c>
      <c r="G244" s="289" t="s">
        <v>196</v>
      </c>
      <c r="H244" s="307"/>
      <c r="I244" s="290"/>
      <c r="J244" s="291" t="s">
        <v>467</v>
      </c>
      <c r="K244" s="287"/>
      <c r="L244" s="287"/>
      <c r="M244" s="287">
        <v>1555</v>
      </c>
      <c r="N244" s="287" t="s">
        <v>40</v>
      </c>
      <c r="O244" s="287" t="s">
        <v>33</v>
      </c>
      <c r="P244" s="287"/>
      <c r="Q244" s="287"/>
      <c r="R244" s="287" t="s">
        <v>31</v>
      </c>
      <c r="S244" s="292" t="s">
        <v>31</v>
      </c>
      <c r="T244" s="293"/>
      <c r="U244" s="294"/>
      <c r="V244" s="294"/>
      <c r="W244" s="295">
        <v>2500</v>
      </c>
      <c r="X244" s="296"/>
      <c r="Y244" s="287" t="s">
        <v>28</v>
      </c>
      <c r="Z244" s="297" t="s">
        <v>25</v>
      </c>
      <c r="AA244" s="313"/>
      <c r="AB244" s="313"/>
      <c r="AC244" s="298">
        <f t="shared" si="10"/>
        <v>0</v>
      </c>
      <c r="AD244" s="298">
        <v>0</v>
      </c>
      <c r="AE244" s="298">
        <f t="shared" si="11"/>
        <v>0</v>
      </c>
      <c r="AF244" s="299"/>
      <c r="AG244" s="300"/>
      <c r="AH244" s="299"/>
      <c r="AI244" s="299"/>
      <c r="AJ244" s="300"/>
      <c r="AK244" s="299"/>
      <c r="AL244" s="301"/>
      <c r="AM244" s="314"/>
      <c r="AN244" s="301"/>
      <c r="AO244" s="302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3"/>
      <c r="BH244" s="304"/>
    </row>
    <row r="245" spans="1:60" s="305" customFormat="1" ht="16.5" hidden="1" customHeight="1" x14ac:dyDescent="0.4">
      <c r="A245" s="285">
        <v>222</v>
      </c>
      <c r="B245" s="286"/>
      <c r="C245" s="286"/>
      <c r="D245" s="287" t="s">
        <v>92</v>
      </c>
      <c r="E245" s="287" t="s">
        <v>184</v>
      </c>
      <c r="F245" s="288" t="s">
        <v>92</v>
      </c>
      <c r="G245" s="289" t="s">
        <v>196</v>
      </c>
      <c r="H245" s="307"/>
      <c r="I245" s="290"/>
      <c r="J245" s="291" t="s">
        <v>467</v>
      </c>
      <c r="K245" s="287"/>
      <c r="L245" s="287"/>
      <c r="M245" s="287">
        <v>1555</v>
      </c>
      <c r="N245" s="287" t="s">
        <v>40</v>
      </c>
      <c r="O245" s="287" t="s">
        <v>33</v>
      </c>
      <c r="P245" s="287" t="s">
        <v>44</v>
      </c>
      <c r="Q245" s="287" t="s">
        <v>27</v>
      </c>
      <c r="R245" s="287" t="s">
        <v>340</v>
      </c>
      <c r="S245" s="292" t="s">
        <v>340</v>
      </c>
      <c r="T245" s="293"/>
      <c r="U245" s="294"/>
      <c r="V245" s="294">
        <v>9635400</v>
      </c>
      <c r="W245" s="295"/>
      <c r="X245" s="296"/>
      <c r="Y245" s="287" t="s">
        <v>25</v>
      </c>
      <c r="Z245" s="297" t="s">
        <v>26</v>
      </c>
      <c r="AA245" s="313"/>
      <c r="AB245" s="313"/>
      <c r="AC245" s="298">
        <f t="shared" si="10"/>
        <v>10000000</v>
      </c>
      <c r="AD245" s="298">
        <v>10000000</v>
      </c>
      <c r="AE245" s="298">
        <f t="shared" si="11"/>
        <v>0</v>
      </c>
      <c r="AF245" s="299"/>
      <c r="AG245" s="300"/>
      <c r="AH245" s="299"/>
      <c r="AI245" s="299"/>
      <c r="AJ245" s="300"/>
      <c r="AK245" s="299"/>
      <c r="AL245" s="301"/>
      <c r="AM245" s="314"/>
      <c r="AN245" s="301"/>
      <c r="AO245" s="302"/>
      <c r="AP245" s="301"/>
      <c r="AQ245" s="301"/>
      <c r="AR245" s="301"/>
      <c r="AS245" s="301">
        <v>10000000</v>
      </c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3"/>
      <c r="BH245" s="304"/>
    </row>
    <row r="246" spans="1:60" s="305" customFormat="1" ht="16.5" hidden="1" customHeight="1" x14ac:dyDescent="0.4">
      <c r="A246" s="285">
        <v>223</v>
      </c>
      <c r="B246" s="286"/>
      <c r="C246" s="286"/>
      <c r="D246" s="287" t="s">
        <v>92</v>
      </c>
      <c r="E246" s="287" t="s">
        <v>184</v>
      </c>
      <c r="F246" s="288" t="s">
        <v>92</v>
      </c>
      <c r="G246" s="289" t="s">
        <v>196</v>
      </c>
      <c r="H246" s="307"/>
      <c r="I246" s="290"/>
      <c r="J246" s="291" t="s">
        <v>483</v>
      </c>
      <c r="K246" s="287"/>
      <c r="L246" s="287"/>
      <c r="M246" s="287">
        <v>2337</v>
      </c>
      <c r="N246" s="287" t="s">
        <v>23</v>
      </c>
      <c r="O246" s="287" t="s">
        <v>43</v>
      </c>
      <c r="P246" s="287" t="s">
        <v>44</v>
      </c>
      <c r="Q246" s="287" t="s">
        <v>49</v>
      </c>
      <c r="R246" s="287" t="s">
        <v>29</v>
      </c>
      <c r="S246" s="292" t="s">
        <v>29</v>
      </c>
      <c r="T246" s="293"/>
      <c r="U246" s="294">
        <v>39926960</v>
      </c>
      <c r="V246" s="294">
        <v>78841900</v>
      </c>
      <c r="W246" s="295"/>
      <c r="X246" s="296"/>
      <c r="Y246" s="287" t="s">
        <v>544</v>
      </c>
      <c r="Z246" s="297" t="s">
        <v>544</v>
      </c>
      <c r="AA246" s="313"/>
      <c r="AB246" s="313"/>
      <c r="AC246" s="298">
        <f t="shared" si="10"/>
        <v>0</v>
      </c>
      <c r="AD246" s="298">
        <v>0</v>
      </c>
      <c r="AE246" s="298">
        <f t="shared" si="11"/>
        <v>0</v>
      </c>
      <c r="AF246" s="299"/>
      <c r="AG246" s="300"/>
      <c r="AH246" s="299"/>
      <c r="AI246" s="299"/>
      <c r="AJ246" s="300"/>
      <c r="AK246" s="299"/>
      <c r="AL246" s="301"/>
      <c r="AM246" s="314"/>
      <c r="AN246" s="301"/>
      <c r="AO246" s="302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3"/>
      <c r="BH246" s="304"/>
    </row>
    <row r="247" spans="1:60" s="305" customFormat="1" ht="16.5" hidden="1" customHeight="1" x14ac:dyDescent="0.4">
      <c r="A247" s="285">
        <v>224</v>
      </c>
      <c r="B247" s="286"/>
      <c r="C247" s="286"/>
      <c r="D247" s="287" t="s">
        <v>92</v>
      </c>
      <c r="E247" s="287" t="s">
        <v>196</v>
      </c>
      <c r="F247" s="288" t="s">
        <v>92</v>
      </c>
      <c r="G247" s="289" t="s">
        <v>196</v>
      </c>
      <c r="H247" s="307"/>
      <c r="I247" s="290"/>
      <c r="J247" s="291" t="s">
        <v>483</v>
      </c>
      <c r="K247" s="287"/>
      <c r="L247" s="287"/>
      <c r="M247" s="287">
        <v>2337</v>
      </c>
      <c r="N247" s="287" t="s">
        <v>23</v>
      </c>
      <c r="O247" s="287" t="s">
        <v>43</v>
      </c>
      <c r="P247" s="287"/>
      <c r="Q247" s="287" t="s">
        <v>19</v>
      </c>
      <c r="R247" s="287" t="s">
        <v>20</v>
      </c>
      <c r="S247" s="292" t="s">
        <v>20</v>
      </c>
      <c r="T247" s="293"/>
      <c r="U247" s="294">
        <v>9049000</v>
      </c>
      <c r="V247" s="294">
        <v>0</v>
      </c>
      <c r="W247" s="295"/>
      <c r="X247" s="296"/>
      <c r="Y247" s="287" t="s">
        <v>22</v>
      </c>
      <c r="Z247" s="297" t="s">
        <v>28</v>
      </c>
      <c r="AA247" s="313"/>
      <c r="AB247" s="313"/>
      <c r="AC247" s="298">
        <f t="shared" si="10"/>
        <v>7200000</v>
      </c>
      <c r="AD247" s="298">
        <v>7200000</v>
      </c>
      <c r="AE247" s="298">
        <f t="shared" si="11"/>
        <v>0</v>
      </c>
      <c r="AF247" s="299"/>
      <c r="AG247" s="300"/>
      <c r="AH247" s="299"/>
      <c r="AI247" s="299"/>
      <c r="AJ247" s="300"/>
      <c r="AK247" s="299"/>
      <c r="AL247" s="301"/>
      <c r="AM247" s="314"/>
      <c r="AN247" s="301"/>
      <c r="AO247" s="302">
        <v>7200000</v>
      </c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3"/>
      <c r="BH247" s="304"/>
    </row>
    <row r="248" spans="1:60" s="305" customFormat="1" ht="16.5" hidden="1" customHeight="1" x14ac:dyDescent="0.4">
      <c r="A248" s="285">
        <v>225</v>
      </c>
      <c r="B248" s="286"/>
      <c r="C248" s="286"/>
      <c r="D248" s="287" t="s">
        <v>92</v>
      </c>
      <c r="E248" s="287" t="s">
        <v>196</v>
      </c>
      <c r="F248" s="288" t="s">
        <v>92</v>
      </c>
      <c r="G248" s="289" t="s">
        <v>196</v>
      </c>
      <c r="H248" s="307"/>
      <c r="I248" s="290"/>
      <c r="J248" s="291" t="s">
        <v>483</v>
      </c>
      <c r="K248" s="287"/>
      <c r="L248" s="287"/>
      <c r="M248" s="287">
        <v>2337</v>
      </c>
      <c r="N248" s="287" t="s">
        <v>23</v>
      </c>
      <c r="O248" s="287" t="s">
        <v>43</v>
      </c>
      <c r="P248" s="287"/>
      <c r="Q248" s="287"/>
      <c r="R248" s="287" t="s">
        <v>31</v>
      </c>
      <c r="S248" s="292" t="s">
        <v>31</v>
      </c>
      <c r="T248" s="293"/>
      <c r="U248" s="294"/>
      <c r="V248" s="294"/>
      <c r="W248" s="295">
        <v>3800000</v>
      </c>
      <c r="X248" s="296"/>
      <c r="Y248" s="287" t="s">
        <v>28</v>
      </c>
      <c r="Z248" s="297" t="s">
        <v>656</v>
      </c>
      <c r="AA248" s="313"/>
      <c r="AB248" s="313"/>
      <c r="AC248" s="298">
        <f t="shared" si="10"/>
        <v>0</v>
      </c>
      <c r="AD248" s="298">
        <v>0</v>
      </c>
      <c r="AE248" s="298">
        <f t="shared" si="11"/>
        <v>0</v>
      </c>
      <c r="AF248" s="299"/>
      <c r="AG248" s="300"/>
      <c r="AH248" s="299"/>
      <c r="AI248" s="299"/>
      <c r="AJ248" s="300"/>
      <c r="AK248" s="299"/>
      <c r="AL248" s="301"/>
      <c r="AM248" s="314"/>
      <c r="AN248" s="301"/>
      <c r="AO248" s="302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3"/>
      <c r="BH248" s="304"/>
    </row>
    <row r="249" spans="1:60" s="305" customFormat="1" ht="16.5" hidden="1" customHeight="1" x14ac:dyDescent="0.4">
      <c r="A249" s="285">
        <v>226</v>
      </c>
      <c r="B249" s="286"/>
      <c r="C249" s="286"/>
      <c r="D249" s="287" t="s">
        <v>92</v>
      </c>
      <c r="E249" s="287" t="s">
        <v>196</v>
      </c>
      <c r="F249" s="288" t="s">
        <v>92</v>
      </c>
      <c r="G249" s="289" t="s">
        <v>196</v>
      </c>
      <c r="H249" s="307"/>
      <c r="I249" s="290"/>
      <c r="J249" s="291" t="s">
        <v>83</v>
      </c>
      <c r="K249" s="287"/>
      <c r="L249" s="287"/>
      <c r="M249" s="287">
        <v>10496</v>
      </c>
      <c r="N249" s="287" t="s">
        <v>32</v>
      </c>
      <c r="O249" s="287" t="s">
        <v>33</v>
      </c>
      <c r="P249" s="287"/>
      <c r="Q249" s="287"/>
      <c r="R249" s="287"/>
      <c r="S249" s="292" t="s">
        <v>20</v>
      </c>
      <c r="T249" s="293"/>
      <c r="U249" s="294"/>
      <c r="V249" s="294"/>
      <c r="W249" s="295"/>
      <c r="X249" s="296"/>
      <c r="Y249" s="287" t="s">
        <v>26</v>
      </c>
      <c r="Z249" s="297" t="s">
        <v>26</v>
      </c>
      <c r="AA249" s="313"/>
      <c r="AB249" s="313"/>
      <c r="AC249" s="298">
        <f t="shared" si="10"/>
        <v>100000000</v>
      </c>
      <c r="AD249" s="298">
        <v>100000000</v>
      </c>
      <c r="AE249" s="298">
        <f t="shared" si="11"/>
        <v>0</v>
      </c>
      <c r="AF249" s="299"/>
      <c r="AG249" s="300"/>
      <c r="AH249" s="299"/>
      <c r="AI249" s="299"/>
      <c r="AJ249" s="300"/>
      <c r="AK249" s="299"/>
      <c r="AL249" s="301"/>
      <c r="AM249" s="314"/>
      <c r="AN249" s="301"/>
      <c r="AO249" s="302"/>
      <c r="AP249" s="301"/>
      <c r="AQ249" s="301">
        <v>100000000</v>
      </c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3"/>
      <c r="BH249" s="304"/>
    </row>
    <row r="250" spans="1:60" s="305" customFormat="1" ht="16.5" hidden="1" customHeight="1" x14ac:dyDescent="0.4">
      <c r="A250" s="285">
        <v>227</v>
      </c>
      <c r="B250" s="286"/>
      <c r="C250" s="286"/>
      <c r="D250" s="287" t="s">
        <v>92</v>
      </c>
      <c r="E250" s="287" t="s">
        <v>102</v>
      </c>
      <c r="F250" s="288" t="s">
        <v>92</v>
      </c>
      <c r="G250" s="289" t="s">
        <v>196</v>
      </c>
      <c r="H250" s="307"/>
      <c r="I250" s="290"/>
      <c r="J250" s="291" t="s">
        <v>83</v>
      </c>
      <c r="K250" s="287"/>
      <c r="L250" s="287"/>
      <c r="M250" s="287">
        <v>10496</v>
      </c>
      <c r="N250" s="287" t="s">
        <v>32</v>
      </c>
      <c r="O250" s="287" t="s">
        <v>43</v>
      </c>
      <c r="P250" s="287"/>
      <c r="Q250" s="287" t="s">
        <v>30</v>
      </c>
      <c r="R250" s="287" t="s">
        <v>31</v>
      </c>
      <c r="S250" s="292" t="s">
        <v>31</v>
      </c>
      <c r="T250" s="293"/>
      <c r="U250" s="294">
        <v>18192000</v>
      </c>
      <c r="V250" s="294">
        <v>12049700</v>
      </c>
      <c r="W250" s="295">
        <v>10401200</v>
      </c>
      <c r="X250" s="296"/>
      <c r="Y250" s="287" t="s">
        <v>28</v>
      </c>
      <c r="Z250" s="297" t="s">
        <v>28</v>
      </c>
      <c r="AA250" s="313"/>
      <c r="AB250" s="313"/>
      <c r="AC250" s="298">
        <f t="shared" si="10"/>
        <v>12096000</v>
      </c>
      <c r="AD250" s="298">
        <v>12096000</v>
      </c>
      <c r="AE250" s="298">
        <f t="shared" si="11"/>
        <v>0</v>
      </c>
      <c r="AF250" s="299"/>
      <c r="AG250" s="300"/>
      <c r="AH250" s="299"/>
      <c r="AI250" s="299"/>
      <c r="AJ250" s="300"/>
      <c r="AK250" s="299"/>
      <c r="AL250" s="301"/>
      <c r="AM250" s="314"/>
      <c r="AN250" s="301"/>
      <c r="AO250" s="302">
        <v>1596000</v>
      </c>
      <c r="AP250" s="301"/>
      <c r="AQ250" s="301">
        <v>1500000</v>
      </c>
      <c r="AR250" s="301"/>
      <c r="AS250" s="301">
        <v>1500000</v>
      </c>
      <c r="AT250" s="301"/>
      <c r="AU250" s="301">
        <v>1500000</v>
      </c>
      <c r="AV250" s="301"/>
      <c r="AW250" s="301">
        <v>1500000</v>
      </c>
      <c r="AX250" s="301"/>
      <c r="AY250" s="301">
        <v>1500000</v>
      </c>
      <c r="AZ250" s="301"/>
      <c r="BA250" s="301">
        <v>1500000</v>
      </c>
      <c r="BB250" s="301"/>
      <c r="BC250" s="301">
        <v>1500000</v>
      </c>
      <c r="BD250" s="301"/>
      <c r="BE250" s="301"/>
      <c r="BF250" s="301"/>
      <c r="BG250" s="303"/>
      <c r="BH250" s="304"/>
    </row>
    <row r="251" spans="1:60" s="305" customFormat="1" ht="16.5" hidden="1" customHeight="1" x14ac:dyDescent="0.4">
      <c r="A251" s="285">
        <v>228</v>
      </c>
      <c r="B251" s="286"/>
      <c r="C251" s="286"/>
      <c r="D251" s="287" t="s">
        <v>92</v>
      </c>
      <c r="E251" s="287" t="s">
        <v>102</v>
      </c>
      <c r="F251" s="288" t="s">
        <v>92</v>
      </c>
      <c r="G251" s="289" t="s">
        <v>196</v>
      </c>
      <c r="H251" s="307"/>
      <c r="I251" s="290"/>
      <c r="J251" s="291" t="s">
        <v>83</v>
      </c>
      <c r="K251" s="287"/>
      <c r="L251" s="287"/>
      <c r="M251" s="287">
        <v>10496</v>
      </c>
      <c r="N251" s="287" t="s">
        <v>32</v>
      </c>
      <c r="O251" s="287" t="s">
        <v>43</v>
      </c>
      <c r="P251" s="287"/>
      <c r="Q251" s="287" t="s">
        <v>27</v>
      </c>
      <c r="R251" s="287" t="s">
        <v>340</v>
      </c>
      <c r="S251" s="292" t="s">
        <v>340</v>
      </c>
      <c r="T251" s="293"/>
      <c r="U251" s="294">
        <v>77122455</v>
      </c>
      <c r="V251" s="294">
        <v>98000000</v>
      </c>
      <c r="W251" s="295">
        <v>115818182</v>
      </c>
      <c r="X251" s="296"/>
      <c r="Y251" s="287" t="s">
        <v>28</v>
      </c>
      <c r="Z251" s="297" t="s">
        <v>28</v>
      </c>
      <c r="AA251" s="313"/>
      <c r="AB251" s="313"/>
      <c r="AC251" s="298">
        <f t="shared" si="10"/>
        <v>100000000</v>
      </c>
      <c r="AD251" s="298">
        <v>100000000</v>
      </c>
      <c r="AE251" s="298">
        <f t="shared" si="11"/>
        <v>0</v>
      </c>
      <c r="AF251" s="299"/>
      <c r="AG251" s="300"/>
      <c r="AH251" s="299"/>
      <c r="AI251" s="299"/>
      <c r="AJ251" s="300"/>
      <c r="AK251" s="299"/>
      <c r="AL251" s="301"/>
      <c r="AM251" s="314"/>
      <c r="AN251" s="301"/>
      <c r="AO251" s="302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>
        <v>100000000</v>
      </c>
      <c r="BF251" s="301"/>
      <c r="BG251" s="303"/>
      <c r="BH251" s="304"/>
    </row>
    <row r="252" spans="1:60" s="305" customFormat="1" ht="16.5" hidden="1" customHeight="1" x14ac:dyDescent="0.4">
      <c r="A252" s="285">
        <v>229</v>
      </c>
      <c r="B252" s="286"/>
      <c r="C252" s="286"/>
      <c r="D252" s="287"/>
      <c r="E252" s="287"/>
      <c r="F252" s="288" t="s">
        <v>92</v>
      </c>
      <c r="G252" s="289" t="s">
        <v>196</v>
      </c>
      <c r="H252" s="307"/>
      <c r="I252" s="290"/>
      <c r="J252" s="291" t="s">
        <v>473</v>
      </c>
      <c r="K252" s="287"/>
      <c r="L252" s="287"/>
      <c r="M252" s="287">
        <v>19075</v>
      </c>
      <c r="N252" s="287" t="s">
        <v>35</v>
      </c>
      <c r="O252" s="287" t="s">
        <v>43</v>
      </c>
      <c r="P252" s="287" t="s">
        <v>44</v>
      </c>
      <c r="Q252" s="287" t="s">
        <v>30</v>
      </c>
      <c r="R252" s="287" t="s">
        <v>31</v>
      </c>
      <c r="S252" s="292" t="s">
        <v>31</v>
      </c>
      <c r="T252" s="293"/>
      <c r="U252" s="294">
        <v>3810000</v>
      </c>
      <c r="V252" s="294">
        <v>6305000</v>
      </c>
      <c r="W252" s="295">
        <v>4844000</v>
      </c>
      <c r="X252" s="296"/>
      <c r="Y252" s="287" t="s">
        <v>28</v>
      </c>
      <c r="Z252" s="297" t="s">
        <v>656</v>
      </c>
      <c r="AA252" s="313"/>
      <c r="AB252" s="313"/>
      <c r="AC252" s="298">
        <f t="shared" si="10"/>
        <v>0</v>
      </c>
      <c r="AD252" s="298">
        <v>0</v>
      </c>
      <c r="AE252" s="298">
        <f t="shared" si="11"/>
        <v>0</v>
      </c>
      <c r="AF252" s="299"/>
      <c r="AG252" s="300"/>
      <c r="AH252" s="299"/>
      <c r="AI252" s="299"/>
      <c r="AJ252" s="300"/>
      <c r="AK252" s="299"/>
      <c r="AL252" s="301"/>
      <c r="AM252" s="314"/>
      <c r="AN252" s="301"/>
      <c r="AO252" s="302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3"/>
      <c r="BH252" s="304"/>
    </row>
    <row r="253" spans="1:60" s="305" customFormat="1" ht="16.5" hidden="1" customHeight="1" x14ac:dyDescent="0.4">
      <c r="A253" s="285">
        <v>230</v>
      </c>
      <c r="B253" s="286"/>
      <c r="C253" s="286"/>
      <c r="D253" s="287" t="s">
        <v>92</v>
      </c>
      <c r="E253" s="287" t="s">
        <v>196</v>
      </c>
      <c r="F253" s="288" t="s">
        <v>92</v>
      </c>
      <c r="G253" s="289" t="s">
        <v>196</v>
      </c>
      <c r="H253" s="307"/>
      <c r="I253" s="290"/>
      <c r="J253" s="291" t="s">
        <v>473</v>
      </c>
      <c r="K253" s="287"/>
      <c r="L253" s="287"/>
      <c r="M253" s="287">
        <v>19075</v>
      </c>
      <c r="N253" s="287" t="s">
        <v>35</v>
      </c>
      <c r="O253" s="287" t="s">
        <v>33</v>
      </c>
      <c r="P253" s="287" t="s">
        <v>44</v>
      </c>
      <c r="Q253" s="287" t="s">
        <v>37</v>
      </c>
      <c r="R253" s="287" t="s">
        <v>38</v>
      </c>
      <c r="S253" s="292" t="s">
        <v>38</v>
      </c>
      <c r="T253" s="293"/>
      <c r="U253" s="294"/>
      <c r="V253" s="294">
        <v>0</v>
      </c>
      <c r="W253" s="295"/>
      <c r="X253" s="296"/>
      <c r="Y253" s="287" t="s">
        <v>26</v>
      </c>
      <c r="Z253" s="297" t="s">
        <v>26</v>
      </c>
      <c r="AA253" s="313"/>
      <c r="AB253" s="313"/>
      <c r="AC253" s="298">
        <f t="shared" si="10"/>
        <v>10000000</v>
      </c>
      <c r="AD253" s="298">
        <v>10000000</v>
      </c>
      <c r="AE253" s="298">
        <f t="shared" si="11"/>
        <v>0</v>
      </c>
      <c r="AF253" s="299"/>
      <c r="AG253" s="300"/>
      <c r="AH253" s="299"/>
      <c r="AI253" s="299"/>
      <c r="AJ253" s="300"/>
      <c r="AK253" s="299"/>
      <c r="AL253" s="301"/>
      <c r="AM253" s="314"/>
      <c r="AN253" s="301"/>
      <c r="AO253" s="302"/>
      <c r="AP253" s="301"/>
      <c r="AQ253" s="316">
        <v>5000000</v>
      </c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>
        <v>5000000</v>
      </c>
      <c r="BF253" s="301"/>
      <c r="BG253" s="303"/>
      <c r="BH253" s="304"/>
    </row>
    <row r="254" spans="1:60" s="305" customFormat="1" ht="16.5" hidden="1" customHeight="1" x14ac:dyDescent="0.4">
      <c r="A254" s="285">
        <v>231</v>
      </c>
      <c r="B254" s="286"/>
      <c r="C254" s="286"/>
      <c r="D254" s="287" t="s">
        <v>92</v>
      </c>
      <c r="E254" s="287" t="s">
        <v>196</v>
      </c>
      <c r="F254" s="288" t="s">
        <v>92</v>
      </c>
      <c r="G254" s="289" t="s">
        <v>196</v>
      </c>
      <c r="H254" s="307"/>
      <c r="I254" s="290"/>
      <c r="J254" s="291" t="s">
        <v>473</v>
      </c>
      <c r="K254" s="287"/>
      <c r="L254" s="287"/>
      <c r="M254" s="287">
        <v>19075</v>
      </c>
      <c r="N254" s="287" t="s">
        <v>35</v>
      </c>
      <c r="O254" s="287" t="s">
        <v>43</v>
      </c>
      <c r="P254" s="287"/>
      <c r="Q254" s="287"/>
      <c r="R254" s="287"/>
      <c r="S254" s="292" t="s">
        <v>349</v>
      </c>
      <c r="T254" s="293"/>
      <c r="U254" s="294"/>
      <c r="V254" s="294"/>
      <c r="W254" s="295">
        <v>1600000</v>
      </c>
      <c r="X254" s="296"/>
      <c r="Y254" s="287"/>
      <c r="Z254" s="297" t="s">
        <v>656</v>
      </c>
      <c r="AA254" s="313"/>
      <c r="AB254" s="313"/>
      <c r="AC254" s="298">
        <f t="shared" si="10"/>
        <v>0</v>
      </c>
      <c r="AD254" s="298">
        <v>0</v>
      </c>
      <c r="AE254" s="298">
        <f t="shared" si="11"/>
        <v>0</v>
      </c>
      <c r="AF254" s="299"/>
      <c r="AG254" s="300"/>
      <c r="AH254" s="299"/>
      <c r="AI254" s="299"/>
      <c r="AJ254" s="300"/>
      <c r="AK254" s="299"/>
      <c r="AL254" s="301"/>
      <c r="AM254" s="314"/>
      <c r="AN254" s="301"/>
      <c r="AO254" s="302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3"/>
      <c r="BH254" s="304"/>
    </row>
    <row r="255" spans="1:60" s="305" customFormat="1" ht="16.5" hidden="1" customHeight="1" x14ac:dyDescent="0.4">
      <c r="A255" s="285">
        <v>232</v>
      </c>
      <c r="B255" s="286"/>
      <c r="C255" s="286"/>
      <c r="D255" s="287" t="s">
        <v>92</v>
      </c>
      <c r="E255" s="287" t="s">
        <v>196</v>
      </c>
      <c r="F255" s="288" t="s">
        <v>92</v>
      </c>
      <c r="G255" s="289" t="s">
        <v>196</v>
      </c>
      <c r="H255" s="307"/>
      <c r="I255" s="290"/>
      <c r="J255" s="291" t="s">
        <v>445</v>
      </c>
      <c r="K255" s="287"/>
      <c r="L255" s="287"/>
      <c r="M255" s="287">
        <v>7600</v>
      </c>
      <c r="N255" s="287" t="s">
        <v>23</v>
      </c>
      <c r="O255" s="287" t="s">
        <v>43</v>
      </c>
      <c r="P255" s="287"/>
      <c r="Q255" s="287" t="s">
        <v>30</v>
      </c>
      <c r="R255" s="287" t="s">
        <v>31</v>
      </c>
      <c r="S255" s="292" t="s">
        <v>31</v>
      </c>
      <c r="T255" s="293"/>
      <c r="U255" s="294">
        <v>98179000</v>
      </c>
      <c r="V255" s="294">
        <v>88362000</v>
      </c>
      <c r="W255" s="295">
        <v>86997000</v>
      </c>
      <c r="X255" s="296"/>
      <c r="Y255" s="287" t="s">
        <v>28</v>
      </c>
      <c r="Z255" s="297" t="s">
        <v>28</v>
      </c>
      <c r="AA255" s="313"/>
      <c r="AB255" s="313"/>
      <c r="AC255" s="298">
        <f t="shared" si="10"/>
        <v>91276000</v>
      </c>
      <c r="AD255" s="298">
        <v>91276000</v>
      </c>
      <c r="AE255" s="298">
        <f t="shared" si="11"/>
        <v>0</v>
      </c>
      <c r="AF255" s="299">
        <v>46276000</v>
      </c>
      <c r="AG255" s="300">
        <v>46276000</v>
      </c>
      <c r="AH255" s="299"/>
      <c r="AI255" s="299"/>
      <c r="AJ255" s="300"/>
      <c r="AK255" s="299"/>
      <c r="AL255" s="301"/>
      <c r="AM255" s="314"/>
      <c r="AN255" s="301"/>
      <c r="AO255" s="302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>
        <v>45000000</v>
      </c>
      <c r="BF255" s="301"/>
      <c r="BG255" s="303"/>
      <c r="BH255" s="304"/>
    </row>
    <row r="256" spans="1:60" s="305" customFormat="1" ht="16.5" hidden="1" customHeight="1" x14ac:dyDescent="0.4">
      <c r="A256" s="285">
        <v>233</v>
      </c>
      <c r="B256" s="286"/>
      <c r="C256" s="286"/>
      <c r="D256" s="287" t="s">
        <v>92</v>
      </c>
      <c r="E256" s="287" t="s">
        <v>235</v>
      </c>
      <c r="F256" s="288" t="s">
        <v>92</v>
      </c>
      <c r="G256" s="289" t="s">
        <v>196</v>
      </c>
      <c r="H256" s="307"/>
      <c r="I256" s="290"/>
      <c r="J256" s="291" t="s">
        <v>445</v>
      </c>
      <c r="K256" s="287"/>
      <c r="L256" s="287"/>
      <c r="M256" s="287">
        <v>7600</v>
      </c>
      <c r="N256" s="287" t="s">
        <v>23</v>
      </c>
      <c r="O256" s="287" t="s">
        <v>43</v>
      </c>
      <c r="P256" s="287"/>
      <c r="Q256" s="287" t="s">
        <v>24</v>
      </c>
      <c r="R256" s="287" t="s">
        <v>221</v>
      </c>
      <c r="S256" s="292" t="s">
        <v>745</v>
      </c>
      <c r="T256" s="293"/>
      <c r="U256" s="294" t="s">
        <v>97</v>
      </c>
      <c r="V256" s="294">
        <v>740000</v>
      </c>
      <c r="W256" s="295">
        <v>350000</v>
      </c>
      <c r="X256" s="296"/>
      <c r="Y256" s="287" t="s">
        <v>28</v>
      </c>
      <c r="Z256" s="297" t="s">
        <v>26</v>
      </c>
      <c r="AA256" s="313"/>
      <c r="AB256" s="313"/>
      <c r="AC256" s="298">
        <f t="shared" si="10"/>
        <v>0</v>
      </c>
      <c r="AD256" s="298">
        <v>0</v>
      </c>
      <c r="AE256" s="298">
        <f t="shared" si="11"/>
        <v>0</v>
      </c>
      <c r="AF256" s="299"/>
      <c r="AG256" s="300"/>
      <c r="AH256" s="299"/>
      <c r="AI256" s="299"/>
      <c r="AJ256" s="300"/>
      <c r="AK256" s="299"/>
      <c r="AL256" s="301"/>
      <c r="AM256" s="314"/>
      <c r="AN256" s="301"/>
      <c r="AO256" s="302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3"/>
      <c r="BH256" s="304"/>
    </row>
    <row r="257" spans="1:60" s="305" customFormat="1" ht="16.5" hidden="1" customHeight="1" x14ac:dyDescent="0.4">
      <c r="A257" s="285">
        <v>234</v>
      </c>
      <c r="B257" s="286"/>
      <c r="C257" s="286"/>
      <c r="D257" s="287" t="s">
        <v>92</v>
      </c>
      <c r="E257" s="287" t="s">
        <v>235</v>
      </c>
      <c r="F257" s="288" t="s">
        <v>92</v>
      </c>
      <c r="G257" s="289" t="s">
        <v>196</v>
      </c>
      <c r="H257" s="307"/>
      <c r="I257" s="290"/>
      <c r="J257" s="291" t="s">
        <v>445</v>
      </c>
      <c r="K257" s="287"/>
      <c r="L257" s="287"/>
      <c r="M257" s="287">
        <v>7600</v>
      </c>
      <c r="N257" s="287" t="s">
        <v>23</v>
      </c>
      <c r="O257" s="287" t="s">
        <v>43</v>
      </c>
      <c r="P257" s="287"/>
      <c r="Q257" s="287" t="s">
        <v>46</v>
      </c>
      <c r="R257" s="287" t="s">
        <v>347</v>
      </c>
      <c r="S257" s="292" t="s">
        <v>750</v>
      </c>
      <c r="T257" s="293"/>
      <c r="U257" s="294">
        <v>350000</v>
      </c>
      <c r="V257" s="294">
        <v>13088000</v>
      </c>
      <c r="W257" s="295"/>
      <c r="X257" s="296"/>
      <c r="Y257" s="287" t="s">
        <v>22</v>
      </c>
      <c r="Z257" s="297" t="s">
        <v>22</v>
      </c>
      <c r="AA257" s="313"/>
      <c r="AB257" s="313"/>
      <c r="AC257" s="298">
        <f t="shared" si="10"/>
        <v>0</v>
      </c>
      <c r="AD257" s="298">
        <v>0</v>
      </c>
      <c r="AE257" s="298">
        <f t="shared" si="11"/>
        <v>0</v>
      </c>
      <c r="AF257" s="299"/>
      <c r="AG257" s="300"/>
      <c r="AH257" s="299"/>
      <c r="AI257" s="299"/>
      <c r="AJ257" s="300"/>
      <c r="AK257" s="299"/>
      <c r="AL257" s="301"/>
      <c r="AM257" s="314"/>
      <c r="AN257" s="301"/>
      <c r="AO257" s="302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3"/>
      <c r="BH257" s="304"/>
    </row>
    <row r="258" spans="1:60" s="305" customFormat="1" ht="16.5" hidden="1" customHeight="1" x14ac:dyDescent="0.4">
      <c r="A258" s="285">
        <v>235</v>
      </c>
      <c r="B258" s="286"/>
      <c r="C258" s="286"/>
      <c r="D258" s="287" t="s">
        <v>92</v>
      </c>
      <c r="E258" s="287" t="s">
        <v>235</v>
      </c>
      <c r="F258" s="288" t="s">
        <v>92</v>
      </c>
      <c r="G258" s="289" t="s">
        <v>196</v>
      </c>
      <c r="H258" s="307"/>
      <c r="I258" s="290"/>
      <c r="J258" s="291" t="s">
        <v>85</v>
      </c>
      <c r="K258" s="287"/>
      <c r="L258" s="287"/>
      <c r="M258" s="287">
        <v>3940</v>
      </c>
      <c r="N258" s="287" t="s">
        <v>23</v>
      </c>
      <c r="O258" s="287" t="s">
        <v>33</v>
      </c>
      <c r="P258" s="287"/>
      <c r="Q258" s="287"/>
      <c r="R258" s="287"/>
      <c r="S258" s="292" t="s">
        <v>29</v>
      </c>
      <c r="T258" s="293"/>
      <c r="U258" s="294"/>
      <c r="V258" s="294"/>
      <c r="W258" s="295">
        <v>15697000</v>
      </c>
      <c r="X258" s="296"/>
      <c r="Y258" s="287"/>
      <c r="Z258" s="297" t="s">
        <v>28</v>
      </c>
      <c r="AA258" s="313"/>
      <c r="AB258" s="313"/>
      <c r="AC258" s="298">
        <f t="shared" si="10"/>
        <v>120000000</v>
      </c>
      <c r="AD258" s="298">
        <v>120000000</v>
      </c>
      <c r="AE258" s="298">
        <f t="shared" si="11"/>
        <v>0</v>
      </c>
      <c r="AF258" s="299"/>
      <c r="AG258" s="300"/>
      <c r="AH258" s="299"/>
      <c r="AI258" s="299"/>
      <c r="AJ258" s="300"/>
      <c r="AK258" s="299"/>
      <c r="AL258" s="301"/>
      <c r="AM258" s="314"/>
      <c r="AN258" s="301"/>
      <c r="AO258" s="302"/>
      <c r="AP258" s="301"/>
      <c r="AQ258" s="301"/>
      <c r="AR258" s="301"/>
      <c r="AS258" s="301"/>
      <c r="AT258" s="301"/>
      <c r="AU258" s="301">
        <v>20000000</v>
      </c>
      <c r="AV258" s="301"/>
      <c r="AW258" s="301">
        <v>20000000</v>
      </c>
      <c r="AX258" s="301"/>
      <c r="AY258" s="301">
        <v>20000000</v>
      </c>
      <c r="AZ258" s="301"/>
      <c r="BA258" s="301">
        <v>20000000</v>
      </c>
      <c r="BB258" s="301"/>
      <c r="BC258" s="301">
        <v>20000000</v>
      </c>
      <c r="BD258" s="301"/>
      <c r="BE258" s="301">
        <v>20000000</v>
      </c>
      <c r="BF258" s="301"/>
      <c r="BG258" s="303"/>
      <c r="BH258" s="304"/>
    </row>
    <row r="259" spans="1:60" s="305" customFormat="1" ht="16.5" hidden="1" customHeight="1" x14ac:dyDescent="0.4">
      <c r="A259" s="285">
        <v>236</v>
      </c>
      <c r="B259" s="286"/>
      <c r="C259" s="286"/>
      <c r="D259" s="287" t="s">
        <v>92</v>
      </c>
      <c r="E259" s="287" t="s">
        <v>235</v>
      </c>
      <c r="F259" s="288" t="s">
        <v>92</v>
      </c>
      <c r="G259" s="289" t="s">
        <v>196</v>
      </c>
      <c r="H259" s="307"/>
      <c r="I259" s="290"/>
      <c r="J259" s="291" t="s">
        <v>825</v>
      </c>
      <c r="K259" s="287"/>
      <c r="L259" s="287"/>
      <c r="M259" s="287">
        <v>3940</v>
      </c>
      <c r="N259" s="287" t="s">
        <v>23</v>
      </c>
      <c r="O259" s="287" t="s">
        <v>33</v>
      </c>
      <c r="P259" s="287"/>
      <c r="Q259" s="287" t="s">
        <v>19</v>
      </c>
      <c r="R259" s="287" t="s">
        <v>20</v>
      </c>
      <c r="S259" s="292" t="s">
        <v>20</v>
      </c>
      <c r="T259" s="293" t="s">
        <v>798</v>
      </c>
      <c r="U259" s="294">
        <v>39729076</v>
      </c>
      <c r="V259" s="294">
        <v>0</v>
      </c>
      <c r="W259" s="295"/>
      <c r="X259" s="296"/>
      <c r="Y259" s="287" t="s">
        <v>22</v>
      </c>
      <c r="Z259" s="297" t="s">
        <v>28</v>
      </c>
      <c r="AA259" s="313"/>
      <c r="AB259" s="313"/>
      <c r="AC259" s="298">
        <f t="shared" si="10"/>
        <v>20566300</v>
      </c>
      <c r="AD259" s="298">
        <v>20566300</v>
      </c>
      <c r="AE259" s="298">
        <f t="shared" si="11"/>
        <v>0</v>
      </c>
      <c r="AF259" s="299"/>
      <c r="AG259" s="300"/>
      <c r="AH259" s="299"/>
      <c r="AI259" s="299">
        <v>2535170</v>
      </c>
      <c r="AJ259" s="300">
        <v>2535170</v>
      </c>
      <c r="AK259" s="299"/>
      <c r="AL259" s="301">
        <v>9536270</v>
      </c>
      <c r="AM259" s="314">
        <v>4106270</v>
      </c>
      <c r="AN259" s="301" t="s">
        <v>854</v>
      </c>
      <c r="AO259" s="302">
        <v>8924860</v>
      </c>
      <c r="AP259" s="301"/>
      <c r="AQ259" s="301">
        <v>2500000</v>
      </c>
      <c r="AR259" s="301"/>
      <c r="AS259" s="301">
        <v>2500000</v>
      </c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3"/>
      <c r="BH259" s="304"/>
    </row>
    <row r="260" spans="1:60" s="305" customFormat="1" ht="16.5" hidden="1" customHeight="1" x14ac:dyDescent="0.4">
      <c r="A260" s="285">
        <v>237</v>
      </c>
      <c r="B260" s="286"/>
      <c r="C260" s="286"/>
      <c r="D260" s="287" t="s">
        <v>92</v>
      </c>
      <c r="E260" s="287" t="s">
        <v>235</v>
      </c>
      <c r="F260" s="288" t="s">
        <v>92</v>
      </c>
      <c r="G260" s="289" t="s">
        <v>196</v>
      </c>
      <c r="H260" s="307"/>
      <c r="I260" s="290"/>
      <c r="J260" s="291" t="s">
        <v>85</v>
      </c>
      <c r="K260" s="287"/>
      <c r="L260" s="287"/>
      <c r="M260" s="287">
        <v>3940</v>
      </c>
      <c r="N260" s="287" t="s">
        <v>23</v>
      </c>
      <c r="O260" s="287" t="s">
        <v>33</v>
      </c>
      <c r="P260" s="287"/>
      <c r="Q260" s="287" t="s">
        <v>30</v>
      </c>
      <c r="R260" s="287" t="s">
        <v>31</v>
      </c>
      <c r="S260" s="292" t="s">
        <v>31</v>
      </c>
      <c r="T260" s="293"/>
      <c r="U260" s="294">
        <v>13112000</v>
      </c>
      <c r="V260" s="294">
        <v>0</v>
      </c>
      <c r="W260" s="295"/>
      <c r="X260" s="296"/>
      <c r="Y260" s="287" t="s">
        <v>22</v>
      </c>
      <c r="Z260" s="297" t="s">
        <v>28</v>
      </c>
      <c r="AA260" s="313"/>
      <c r="AB260" s="313"/>
      <c r="AC260" s="298">
        <f t="shared" si="10"/>
        <v>1000000</v>
      </c>
      <c r="AD260" s="298">
        <v>1000000</v>
      </c>
      <c r="AE260" s="298">
        <f t="shared" si="11"/>
        <v>0</v>
      </c>
      <c r="AF260" s="299"/>
      <c r="AG260" s="300"/>
      <c r="AH260" s="299"/>
      <c r="AI260" s="299"/>
      <c r="AJ260" s="300"/>
      <c r="AK260" s="299"/>
      <c r="AL260" s="301"/>
      <c r="AM260" s="314"/>
      <c r="AN260" s="301"/>
      <c r="AO260" s="302"/>
      <c r="AP260" s="301"/>
      <c r="AQ260" s="301">
        <v>1000000</v>
      </c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3"/>
      <c r="BH260" s="304"/>
    </row>
    <row r="261" spans="1:60" s="305" customFormat="1" ht="16.5" hidden="1" customHeight="1" x14ac:dyDescent="0.4">
      <c r="A261" s="285">
        <v>238</v>
      </c>
      <c r="B261" s="286"/>
      <c r="C261" s="286"/>
      <c r="D261" s="287" t="s">
        <v>92</v>
      </c>
      <c r="E261" s="287" t="s">
        <v>235</v>
      </c>
      <c r="F261" s="288" t="s">
        <v>92</v>
      </c>
      <c r="G261" s="289" t="s">
        <v>196</v>
      </c>
      <c r="H261" s="307"/>
      <c r="I261" s="290"/>
      <c r="J261" s="291" t="s">
        <v>85</v>
      </c>
      <c r="K261" s="287"/>
      <c r="L261" s="287"/>
      <c r="M261" s="287">
        <v>3940</v>
      </c>
      <c r="N261" s="287" t="s">
        <v>23</v>
      </c>
      <c r="O261" s="287" t="s">
        <v>33</v>
      </c>
      <c r="P261" s="287"/>
      <c r="Q261" s="287" t="s">
        <v>36</v>
      </c>
      <c r="R261" s="287" t="s">
        <v>341</v>
      </c>
      <c r="S261" s="292" t="s">
        <v>341</v>
      </c>
      <c r="T261" s="293"/>
      <c r="U261" s="294" t="s">
        <v>97</v>
      </c>
      <c r="V261" s="294">
        <v>0</v>
      </c>
      <c r="W261" s="295"/>
      <c r="X261" s="296"/>
      <c r="Y261" s="287" t="s">
        <v>26</v>
      </c>
      <c r="Z261" s="297" t="s">
        <v>25</v>
      </c>
      <c r="AA261" s="313"/>
      <c r="AB261" s="313"/>
      <c r="AC261" s="298">
        <f t="shared" si="10"/>
        <v>165000000</v>
      </c>
      <c r="AD261" s="298">
        <v>165000000</v>
      </c>
      <c r="AE261" s="298">
        <f t="shared" si="11"/>
        <v>0</v>
      </c>
      <c r="AF261" s="299"/>
      <c r="AG261" s="300"/>
      <c r="AH261" s="299"/>
      <c r="AI261" s="299">
        <v>10000000</v>
      </c>
      <c r="AJ261" s="300"/>
      <c r="AK261" s="299"/>
      <c r="AL261" s="301"/>
      <c r="AM261" s="314"/>
      <c r="AN261" s="301"/>
      <c r="AO261" s="302">
        <v>5000000</v>
      </c>
      <c r="AP261" s="301"/>
      <c r="AQ261" s="301">
        <v>5000000</v>
      </c>
      <c r="AR261" s="301"/>
      <c r="AS261" s="301">
        <v>5000000</v>
      </c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>
        <v>150000000</v>
      </c>
      <c r="BF261" s="301"/>
      <c r="BG261" s="303"/>
      <c r="BH261" s="304"/>
    </row>
    <row r="262" spans="1:60" s="305" customFormat="1" ht="16.5" hidden="1" customHeight="1" x14ac:dyDescent="0.4">
      <c r="A262" s="285">
        <v>239</v>
      </c>
      <c r="B262" s="286"/>
      <c r="C262" s="286"/>
      <c r="D262" s="287" t="s">
        <v>92</v>
      </c>
      <c r="E262" s="287" t="s">
        <v>235</v>
      </c>
      <c r="F262" s="288" t="s">
        <v>92</v>
      </c>
      <c r="G262" s="289" t="s">
        <v>196</v>
      </c>
      <c r="H262" s="307"/>
      <c r="I262" s="290"/>
      <c r="J262" s="291" t="s">
        <v>85</v>
      </c>
      <c r="K262" s="287"/>
      <c r="L262" s="287"/>
      <c r="M262" s="287">
        <v>3940</v>
      </c>
      <c r="N262" s="287" t="s">
        <v>23</v>
      </c>
      <c r="O262" s="287" t="s">
        <v>43</v>
      </c>
      <c r="P262" s="287"/>
      <c r="Q262" s="287" t="s">
        <v>27</v>
      </c>
      <c r="R262" s="287" t="s">
        <v>340</v>
      </c>
      <c r="S262" s="292" t="s">
        <v>340</v>
      </c>
      <c r="T262" s="293"/>
      <c r="U262" s="294">
        <v>10750000</v>
      </c>
      <c r="V262" s="294">
        <v>0</v>
      </c>
      <c r="W262" s="295">
        <v>4536000</v>
      </c>
      <c r="X262" s="296"/>
      <c r="Y262" s="287" t="s">
        <v>28</v>
      </c>
      <c r="Z262" s="297" t="s">
        <v>28</v>
      </c>
      <c r="AA262" s="313"/>
      <c r="AB262" s="313"/>
      <c r="AC262" s="298">
        <f t="shared" si="10"/>
        <v>5430000</v>
      </c>
      <c r="AD262" s="298">
        <v>5430000</v>
      </c>
      <c r="AE262" s="298">
        <f t="shared" si="11"/>
        <v>0</v>
      </c>
      <c r="AF262" s="299"/>
      <c r="AG262" s="300"/>
      <c r="AH262" s="299"/>
      <c r="AI262" s="299"/>
      <c r="AJ262" s="300"/>
      <c r="AK262" s="299"/>
      <c r="AL262" s="301">
        <v>5000000</v>
      </c>
      <c r="AM262" s="314">
        <v>5430000</v>
      </c>
      <c r="AN262" s="301"/>
      <c r="AO262" s="302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3"/>
      <c r="BH262" s="304"/>
    </row>
    <row r="263" spans="1:60" s="305" customFormat="1" ht="16.5" hidden="1" customHeight="1" x14ac:dyDescent="0.4">
      <c r="A263" s="285">
        <v>240</v>
      </c>
      <c r="B263" s="286"/>
      <c r="C263" s="286"/>
      <c r="D263" s="287" t="s">
        <v>92</v>
      </c>
      <c r="E263" s="287" t="s">
        <v>235</v>
      </c>
      <c r="F263" s="288" t="s">
        <v>92</v>
      </c>
      <c r="G263" s="289" t="s">
        <v>196</v>
      </c>
      <c r="H263" s="307"/>
      <c r="I263" s="290"/>
      <c r="J263" s="291" t="s">
        <v>85</v>
      </c>
      <c r="K263" s="287"/>
      <c r="L263" s="287"/>
      <c r="M263" s="287">
        <v>3940</v>
      </c>
      <c r="N263" s="287" t="s">
        <v>23</v>
      </c>
      <c r="O263" s="287" t="s">
        <v>33</v>
      </c>
      <c r="P263" s="287"/>
      <c r="Q263" s="287" t="s">
        <v>27</v>
      </c>
      <c r="R263" s="287" t="s">
        <v>340</v>
      </c>
      <c r="S263" s="292" t="s">
        <v>340</v>
      </c>
      <c r="T263" s="293"/>
      <c r="U263" s="294">
        <v>10750000</v>
      </c>
      <c r="V263" s="294">
        <v>0</v>
      </c>
      <c r="W263" s="295">
        <v>0</v>
      </c>
      <c r="X263" s="296"/>
      <c r="Y263" s="287" t="s">
        <v>28</v>
      </c>
      <c r="Z263" s="297" t="s">
        <v>25</v>
      </c>
      <c r="AA263" s="313"/>
      <c r="AB263" s="313"/>
      <c r="AC263" s="298">
        <f t="shared" si="10"/>
        <v>70000000</v>
      </c>
      <c r="AD263" s="298">
        <v>70000000</v>
      </c>
      <c r="AE263" s="298">
        <f t="shared" si="11"/>
        <v>0</v>
      </c>
      <c r="AF263" s="299"/>
      <c r="AG263" s="300"/>
      <c r="AH263" s="299"/>
      <c r="AI263" s="299"/>
      <c r="AJ263" s="300"/>
      <c r="AK263" s="299"/>
      <c r="AL263" s="301"/>
      <c r="AM263" s="314"/>
      <c r="AN263" s="301"/>
      <c r="AO263" s="302"/>
      <c r="AP263" s="301"/>
      <c r="AQ263" s="316">
        <v>70000000</v>
      </c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3"/>
      <c r="BH263" s="304"/>
    </row>
    <row r="264" spans="1:60" s="305" customFormat="1" ht="16.5" hidden="1" customHeight="1" x14ac:dyDescent="0.4">
      <c r="A264" s="285">
        <v>241</v>
      </c>
      <c r="B264" s="286"/>
      <c r="C264" s="286"/>
      <c r="D264" s="287" t="s">
        <v>92</v>
      </c>
      <c r="E264" s="287" t="s">
        <v>235</v>
      </c>
      <c r="F264" s="288" t="s">
        <v>92</v>
      </c>
      <c r="G264" s="289" t="s">
        <v>196</v>
      </c>
      <c r="H264" s="307"/>
      <c r="I264" s="290"/>
      <c r="J264" s="291" t="s">
        <v>85</v>
      </c>
      <c r="K264" s="287"/>
      <c r="L264" s="287"/>
      <c r="M264" s="287">
        <v>3940</v>
      </c>
      <c r="N264" s="287" t="s">
        <v>23</v>
      </c>
      <c r="O264" s="287" t="s">
        <v>33</v>
      </c>
      <c r="P264" s="287"/>
      <c r="Q264" s="287" t="s">
        <v>24</v>
      </c>
      <c r="R264" s="287" t="s">
        <v>221</v>
      </c>
      <c r="S264" s="292" t="s">
        <v>745</v>
      </c>
      <c r="T264" s="293"/>
      <c r="U264" s="294">
        <v>11000000</v>
      </c>
      <c r="V264" s="294">
        <v>11000000</v>
      </c>
      <c r="W264" s="295"/>
      <c r="X264" s="296"/>
      <c r="Y264" s="287" t="s">
        <v>25</v>
      </c>
      <c r="Z264" s="297" t="s">
        <v>25</v>
      </c>
      <c r="AA264" s="313"/>
      <c r="AB264" s="313"/>
      <c r="AC264" s="298">
        <f t="shared" si="10"/>
        <v>11000000</v>
      </c>
      <c r="AD264" s="298">
        <v>11000000</v>
      </c>
      <c r="AE264" s="298">
        <f t="shared" si="11"/>
        <v>0</v>
      </c>
      <c r="AF264" s="299"/>
      <c r="AG264" s="300"/>
      <c r="AH264" s="299"/>
      <c r="AI264" s="299"/>
      <c r="AJ264" s="300"/>
      <c r="AK264" s="299"/>
      <c r="AL264" s="301"/>
      <c r="AM264" s="314"/>
      <c r="AN264" s="301"/>
      <c r="AO264" s="302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>
        <v>11000000</v>
      </c>
      <c r="BD264" s="301"/>
      <c r="BE264" s="301"/>
      <c r="BF264" s="301"/>
      <c r="BG264" s="303"/>
      <c r="BH264" s="304"/>
    </row>
    <row r="265" spans="1:60" s="305" customFormat="1" ht="16.5" hidden="1" customHeight="1" x14ac:dyDescent="0.4">
      <c r="A265" s="285">
        <v>242</v>
      </c>
      <c r="B265" s="286"/>
      <c r="C265" s="286"/>
      <c r="D265" s="287" t="s">
        <v>92</v>
      </c>
      <c r="E265" s="287" t="s">
        <v>235</v>
      </c>
      <c r="F265" s="288" t="s">
        <v>92</v>
      </c>
      <c r="G265" s="289" t="s">
        <v>196</v>
      </c>
      <c r="H265" s="307"/>
      <c r="I265" s="290"/>
      <c r="J265" s="291" t="s">
        <v>85</v>
      </c>
      <c r="K265" s="287"/>
      <c r="L265" s="287"/>
      <c r="M265" s="287">
        <v>3940</v>
      </c>
      <c r="N265" s="287" t="s">
        <v>23</v>
      </c>
      <c r="O265" s="287" t="s">
        <v>43</v>
      </c>
      <c r="P265" s="287"/>
      <c r="Q265" s="287"/>
      <c r="R265" s="287"/>
      <c r="S265" s="292" t="s">
        <v>750</v>
      </c>
      <c r="T265" s="293"/>
      <c r="U265" s="294"/>
      <c r="V265" s="294"/>
      <c r="W265" s="295">
        <v>15697000</v>
      </c>
      <c r="X265" s="296"/>
      <c r="Y265" s="287"/>
      <c r="Z265" s="297" t="s">
        <v>656</v>
      </c>
      <c r="AA265" s="313"/>
      <c r="AB265" s="313"/>
      <c r="AC265" s="298">
        <f t="shared" si="10"/>
        <v>0</v>
      </c>
      <c r="AD265" s="298">
        <v>0</v>
      </c>
      <c r="AE265" s="298">
        <f t="shared" si="11"/>
        <v>0</v>
      </c>
      <c r="AF265" s="299"/>
      <c r="AG265" s="300"/>
      <c r="AH265" s="299"/>
      <c r="AI265" s="299"/>
      <c r="AJ265" s="300"/>
      <c r="AK265" s="299"/>
      <c r="AL265" s="301"/>
      <c r="AM265" s="314"/>
      <c r="AN265" s="301"/>
      <c r="AO265" s="302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3"/>
      <c r="BH265" s="304"/>
    </row>
    <row r="266" spans="1:60" s="305" customFormat="1" ht="16.5" hidden="1" customHeight="1" x14ac:dyDescent="0.4">
      <c r="A266" s="285">
        <v>243</v>
      </c>
      <c r="B266" s="286"/>
      <c r="C266" s="286"/>
      <c r="D266" s="287" t="s">
        <v>92</v>
      </c>
      <c r="E266" s="287" t="s">
        <v>196</v>
      </c>
      <c r="F266" s="288" t="s">
        <v>92</v>
      </c>
      <c r="G266" s="289" t="s">
        <v>196</v>
      </c>
      <c r="H266" s="307"/>
      <c r="I266" s="290"/>
      <c r="J266" s="291" t="s">
        <v>85</v>
      </c>
      <c r="K266" s="287"/>
      <c r="L266" s="287"/>
      <c r="M266" s="287">
        <v>3940</v>
      </c>
      <c r="N266" s="287" t="s">
        <v>23</v>
      </c>
      <c r="O266" s="287" t="s">
        <v>33</v>
      </c>
      <c r="P266" s="287"/>
      <c r="Q266" s="287" t="s">
        <v>42</v>
      </c>
      <c r="R266" s="287" t="s">
        <v>338</v>
      </c>
      <c r="S266" s="292" t="s">
        <v>753</v>
      </c>
      <c r="T266" s="293"/>
      <c r="U266" s="294">
        <v>27856000</v>
      </c>
      <c r="V266" s="294">
        <v>15256000</v>
      </c>
      <c r="W266" s="295"/>
      <c r="X266" s="296"/>
      <c r="Y266" s="287" t="s">
        <v>26</v>
      </c>
      <c r="Z266" s="297" t="s">
        <v>25</v>
      </c>
      <c r="AA266" s="313"/>
      <c r="AB266" s="313"/>
      <c r="AC266" s="298">
        <f t="shared" si="10"/>
        <v>12000000</v>
      </c>
      <c r="AD266" s="298">
        <v>12000000</v>
      </c>
      <c r="AE266" s="298">
        <f t="shared" si="11"/>
        <v>0</v>
      </c>
      <c r="AF266" s="299"/>
      <c r="AG266" s="300"/>
      <c r="AH266" s="299"/>
      <c r="AI266" s="299"/>
      <c r="AJ266" s="300"/>
      <c r="AK266" s="299"/>
      <c r="AL266" s="301"/>
      <c r="AM266" s="314"/>
      <c r="AN266" s="301"/>
      <c r="AO266" s="302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>
        <v>12000000</v>
      </c>
      <c r="BD266" s="301"/>
      <c r="BE266" s="301"/>
      <c r="BF266" s="301"/>
      <c r="BG266" s="303"/>
      <c r="BH266" s="304"/>
    </row>
    <row r="267" spans="1:60" s="305" customFormat="1" ht="16.5" hidden="1" customHeight="1" x14ac:dyDescent="0.4">
      <c r="A267" s="285">
        <v>244</v>
      </c>
      <c r="B267" s="286"/>
      <c r="C267" s="286"/>
      <c r="D267" s="287" t="s">
        <v>92</v>
      </c>
      <c r="E267" s="287" t="s">
        <v>196</v>
      </c>
      <c r="F267" s="288" t="s">
        <v>92</v>
      </c>
      <c r="G267" s="289" t="s">
        <v>196</v>
      </c>
      <c r="H267" s="307"/>
      <c r="I267" s="290"/>
      <c r="J267" s="291" t="s">
        <v>248</v>
      </c>
      <c r="K267" s="287"/>
      <c r="L267" s="287"/>
      <c r="M267" s="287">
        <v>46632</v>
      </c>
      <c r="N267" s="287" t="s">
        <v>23</v>
      </c>
      <c r="O267" s="287" t="s">
        <v>33</v>
      </c>
      <c r="P267" s="287"/>
      <c r="Q267" s="287" t="s">
        <v>27</v>
      </c>
      <c r="R267" s="287" t="s">
        <v>340</v>
      </c>
      <c r="S267" s="292" t="s">
        <v>340</v>
      </c>
      <c r="T267" s="293"/>
      <c r="U267" s="294"/>
      <c r="V267" s="294">
        <v>1350000</v>
      </c>
      <c r="W267" s="295"/>
      <c r="X267" s="296"/>
      <c r="Y267" s="287" t="s">
        <v>25</v>
      </c>
      <c r="Z267" s="297" t="s">
        <v>25</v>
      </c>
      <c r="AA267" s="313"/>
      <c r="AB267" s="313"/>
      <c r="AC267" s="298">
        <f t="shared" si="10"/>
        <v>1350000</v>
      </c>
      <c r="AD267" s="298">
        <v>1350000</v>
      </c>
      <c r="AE267" s="298">
        <f t="shared" si="11"/>
        <v>0</v>
      </c>
      <c r="AF267" s="299"/>
      <c r="AG267" s="300"/>
      <c r="AH267" s="299"/>
      <c r="AI267" s="299"/>
      <c r="AJ267" s="300"/>
      <c r="AK267" s="299"/>
      <c r="AL267" s="301"/>
      <c r="AM267" s="314"/>
      <c r="AN267" s="301"/>
      <c r="AO267" s="302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>
        <v>1350000</v>
      </c>
      <c r="AZ267" s="301"/>
      <c r="BA267" s="301"/>
      <c r="BB267" s="301"/>
      <c r="BC267" s="301"/>
      <c r="BD267" s="301"/>
      <c r="BE267" s="301"/>
      <c r="BF267" s="301"/>
      <c r="BG267" s="303"/>
      <c r="BH267" s="304"/>
    </row>
    <row r="268" spans="1:60" s="305" customFormat="1" ht="16.5" hidden="1" customHeight="1" x14ac:dyDescent="0.4">
      <c r="A268" s="285">
        <v>245</v>
      </c>
      <c r="B268" s="286"/>
      <c r="C268" s="286"/>
      <c r="D268" s="287" t="s">
        <v>92</v>
      </c>
      <c r="E268" s="287" t="s">
        <v>196</v>
      </c>
      <c r="F268" s="288" t="s">
        <v>92</v>
      </c>
      <c r="G268" s="289" t="s">
        <v>196</v>
      </c>
      <c r="H268" s="307"/>
      <c r="I268" s="290"/>
      <c r="J268" s="291" t="s">
        <v>486</v>
      </c>
      <c r="K268" s="287"/>
      <c r="L268" s="287"/>
      <c r="M268" s="287">
        <v>24426</v>
      </c>
      <c r="N268" s="287" t="s">
        <v>23</v>
      </c>
      <c r="O268" s="287" t="s">
        <v>117</v>
      </c>
      <c r="P268" s="287" t="s">
        <v>44</v>
      </c>
      <c r="Q268" s="287" t="s">
        <v>19</v>
      </c>
      <c r="R268" s="287" t="s">
        <v>29</v>
      </c>
      <c r="S268" s="292" t="s">
        <v>29</v>
      </c>
      <c r="T268" s="293" t="s">
        <v>798</v>
      </c>
      <c r="U268" s="294">
        <v>103340268</v>
      </c>
      <c r="V268" s="294">
        <v>104519477</v>
      </c>
      <c r="W268" s="295">
        <v>109004280</v>
      </c>
      <c r="X268" s="296"/>
      <c r="Y268" s="287" t="s">
        <v>28</v>
      </c>
      <c r="Z268" s="297" t="s">
        <v>28</v>
      </c>
      <c r="AA268" s="313"/>
      <c r="AB268" s="313"/>
      <c r="AC268" s="298">
        <f t="shared" si="10"/>
        <v>20472100</v>
      </c>
      <c r="AD268" s="298">
        <v>20472100</v>
      </c>
      <c r="AE268" s="298">
        <f t="shared" si="11"/>
        <v>0</v>
      </c>
      <c r="AF268" s="299">
        <v>2893600</v>
      </c>
      <c r="AG268" s="300">
        <v>2893600</v>
      </c>
      <c r="AH268" s="299"/>
      <c r="AI268" s="299">
        <v>1948000</v>
      </c>
      <c r="AJ268" s="300">
        <v>2441960</v>
      </c>
      <c r="AK268" s="299"/>
      <c r="AL268" s="301">
        <v>2402320</v>
      </c>
      <c r="AM268" s="314">
        <v>3258320</v>
      </c>
      <c r="AN268" s="301"/>
      <c r="AO268" s="302">
        <v>11878220</v>
      </c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3"/>
      <c r="BH268" s="304"/>
    </row>
    <row r="269" spans="1:60" s="305" customFormat="1" ht="16.5" hidden="1" customHeight="1" x14ac:dyDescent="0.4">
      <c r="A269" s="285">
        <v>246</v>
      </c>
      <c r="B269" s="286"/>
      <c r="C269" s="286"/>
      <c r="D269" s="287" t="s">
        <v>92</v>
      </c>
      <c r="E269" s="287" t="s">
        <v>196</v>
      </c>
      <c r="F269" s="288" t="s">
        <v>92</v>
      </c>
      <c r="G269" s="289" t="s">
        <v>196</v>
      </c>
      <c r="H269" s="307"/>
      <c r="I269" s="290"/>
      <c r="J269" s="291" t="s">
        <v>486</v>
      </c>
      <c r="K269" s="287"/>
      <c r="L269" s="287"/>
      <c r="M269" s="287">
        <v>24426</v>
      </c>
      <c r="N269" s="287" t="s">
        <v>23</v>
      </c>
      <c r="O269" s="287" t="s">
        <v>117</v>
      </c>
      <c r="P269" s="287" t="s">
        <v>44</v>
      </c>
      <c r="Q269" s="287" t="s">
        <v>19</v>
      </c>
      <c r="R269" s="287" t="s">
        <v>29</v>
      </c>
      <c r="S269" s="292" t="s">
        <v>29</v>
      </c>
      <c r="T269" s="293"/>
      <c r="U269" s="294">
        <v>103340268</v>
      </c>
      <c r="V269" s="294">
        <v>104519477</v>
      </c>
      <c r="W269" s="295">
        <v>0</v>
      </c>
      <c r="X269" s="296"/>
      <c r="Y269" s="287" t="s">
        <v>28</v>
      </c>
      <c r="Z269" s="297" t="s">
        <v>25</v>
      </c>
      <c r="AA269" s="313"/>
      <c r="AB269" s="313"/>
      <c r="AC269" s="298">
        <f t="shared" si="10"/>
        <v>83000000</v>
      </c>
      <c r="AD269" s="298">
        <v>83000000</v>
      </c>
      <c r="AE269" s="298">
        <f t="shared" si="11"/>
        <v>0</v>
      </c>
      <c r="AF269" s="299"/>
      <c r="AG269" s="300"/>
      <c r="AH269" s="299"/>
      <c r="AI269" s="299">
        <v>18000000</v>
      </c>
      <c r="AJ269" s="300"/>
      <c r="AK269" s="299"/>
      <c r="AL269" s="301"/>
      <c r="AM269" s="314"/>
      <c r="AN269" s="301"/>
      <c r="AO269" s="302">
        <v>9000000</v>
      </c>
      <c r="AP269" s="301"/>
      <c r="AQ269" s="301">
        <v>9000000</v>
      </c>
      <c r="AR269" s="301"/>
      <c r="AS269" s="301">
        <v>9000000</v>
      </c>
      <c r="AT269" s="301"/>
      <c r="AU269" s="301">
        <v>9000000</v>
      </c>
      <c r="AV269" s="301"/>
      <c r="AW269" s="301">
        <v>9000000</v>
      </c>
      <c r="AX269" s="301"/>
      <c r="AY269" s="301">
        <v>9000000</v>
      </c>
      <c r="AZ269" s="301"/>
      <c r="BA269" s="301">
        <v>9000000</v>
      </c>
      <c r="BB269" s="301"/>
      <c r="BC269" s="301">
        <v>10000000</v>
      </c>
      <c r="BD269" s="301"/>
      <c r="BE269" s="301">
        <v>10000000</v>
      </c>
      <c r="BF269" s="301"/>
      <c r="BG269" s="303"/>
      <c r="BH269" s="304"/>
    </row>
    <row r="270" spans="1:60" s="305" customFormat="1" ht="16.5" hidden="1" customHeight="1" x14ac:dyDescent="0.4">
      <c r="A270" s="285">
        <v>247</v>
      </c>
      <c r="B270" s="286"/>
      <c r="C270" s="286"/>
      <c r="D270" s="287" t="s">
        <v>92</v>
      </c>
      <c r="E270" s="287" t="s">
        <v>196</v>
      </c>
      <c r="F270" s="288" t="s">
        <v>92</v>
      </c>
      <c r="G270" s="289" t="s">
        <v>196</v>
      </c>
      <c r="H270" s="307"/>
      <c r="I270" s="290"/>
      <c r="J270" s="291" t="s">
        <v>486</v>
      </c>
      <c r="K270" s="287"/>
      <c r="L270" s="287"/>
      <c r="M270" s="287">
        <v>24426</v>
      </c>
      <c r="N270" s="287" t="s">
        <v>23</v>
      </c>
      <c r="O270" s="287" t="s">
        <v>117</v>
      </c>
      <c r="P270" s="287" t="s">
        <v>44</v>
      </c>
      <c r="Q270" s="287" t="s">
        <v>37</v>
      </c>
      <c r="R270" s="287" t="s">
        <v>38</v>
      </c>
      <c r="S270" s="292" t="s">
        <v>38</v>
      </c>
      <c r="T270" s="293"/>
      <c r="U270" s="294">
        <v>85816667</v>
      </c>
      <c r="V270" s="294">
        <v>139604398</v>
      </c>
      <c r="W270" s="295">
        <v>53926908</v>
      </c>
      <c r="X270" s="296"/>
      <c r="Y270" s="287" t="s">
        <v>28</v>
      </c>
      <c r="Z270" s="297" t="s">
        <v>28</v>
      </c>
      <c r="AA270" s="313"/>
      <c r="AB270" s="313"/>
      <c r="AC270" s="298">
        <f t="shared" si="10"/>
        <v>10000004</v>
      </c>
      <c r="AD270" s="298">
        <v>10000004</v>
      </c>
      <c r="AE270" s="298">
        <f t="shared" si="11"/>
        <v>0</v>
      </c>
      <c r="AF270" s="299">
        <v>2500001</v>
      </c>
      <c r="AG270" s="300">
        <v>2500001</v>
      </c>
      <c r="AH270" s="299"/>
      <c r="AI270" s="299">
        <v>2500001</v>
      </c>
      <c r="AJ270" s="300">
        <v>2500001</v>
      </c>
      <c r="AK270" s="299"/>
      <c r="AL270" s="301">
        <v>2500001</v>
      </c>
      <c r="AM270" s="314">
        <v>2500001</v>
      </c>
      <c r="AN270" s="301"/>
      <c r="AO270" s="302">
        <v>2500001</v>
      </c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3"/>
      <c r="BH270" s="304"/>
    </row>
    <row r="271" spans="1:60" s="305" customFormat="1" ht="16.5" hidden="1" customHeight="1" x14ac:dyDescent="0.4">
      <c r="A271" s="285">
        <v>248</v>
      </c>
      <c r="B271" s="286"/>
      <c r="C271" s="286"/>
      <c r="D271" s="287" t="s">
        <v>92</v>
      </c>
      <c r="E271" s="287" t="s">
        <v>196</v>
      </c>
      <c r="F271" s="288" t="s">
        <v>92</v>
      </c>
      <c r="G271" s="289" t="s">
        <v>196</v>
      </c>
      <c r="H271" s="307"/>
      <c r="I271" s="290"/>
      <c r="J271" s="291" t="s">
        <v>486</v>
      </c>
      <c r="K271" s="287"/>
      <c r="L271" s="287"/>
      <c r="M271" s="287">
        <v>24426</v>
      </c>
      <c r="N271" s="287" t="s">
        <v>23</v>
      </c>
      <c r="O271" s="287" t="s">
        <v>117</v>
      </c>
      <c r="P271" s="287" t="s">
        <v>44</v>
      </c>
      <c r="Q271" s="287" t="s">
        <v>37</v>
      </c>
      <c r="R271" s="287" t="s">
        <v>38</v>
      </c>
      <c r="S271" s="292" t="s">
        <v>38</v>
      </c>
      <c r="T271" s="293"/>
      <c r="U271" s="294">
        <v>85816667</v>
      </c>
      <c r="V271" s="294">
        <v>139604398</v>
      </c>
      <c r="W271" s="295">
        <v>0</v>
      </c>
      <c r="X271" s="296"/>
      <c r="Y271" s="287" t="s">
        <v>28</v>
      </c>
      <c r="Z271" s="297" t="s">
        <v>25</v>
      </c>
      <c r="AA271" s="313"/>
      <c r="AB271" s="313"/>
      <c r="AC271" s="298">
        <f t="shared" si="10"/>
        <v>30000000</v>
      </c>
      <c r="AD271" s="298">
        <v>30000000</v>
      </c>
      <c r="AE271" s="298">
        <f t="shared" si="11"/>
        <v>0</v>
      </c>
      <c r="AF271" s="299"/>
      <c r="AG271" s="300"/>
      <c r="AH271" s="299"/>
      <c r="AI271" s="299"/>
      <c r="AJ271" s="300"/>
      <c r="AK271" s="299"/>
      <c r="AL271" s="301"/>
      <c r="AM271" s="314"/>
      <c r="AN271" s="301"/>
      <c r="AO271" s="302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>
        <v>30000000</v>
      </c>
      <c r="BF271" s="301"/>
      <c r="BG271" s="303"/>
      <c r="BH271" s="304"/>
    </row>
    <row r="272" spans="1:60" s="305" customFormat="1" ht="16.5" hidden="1" customHeight="1" x14ac:dyDescent="0.4">
      <c r="A272" s="285">
        <v>249</v>
      </c>
      <c r="B272" s="286"/>
      <c r="C272" s="286"/>
      <c r="D272" s="287" t="s">
        <v>92</v>
      </c>
      <c r="E272" s="287" t="s">
        <v>184</v>
      </c>
      <c r="F272" s="288" t="s">
        <v>92</v>
      </c>
      <c r="G272" s="289" t="s">
        <v>196</v>
      </c>
      <c r="H272" s="307"/>
      <c r="I272" s="290"/>
      <c r="J272" s="291" t="s">
        <v>486</v>
      </c>
      <c r="K272" s="287"/>
      <c r="L272" s="287"/>
      <c r="M272" s="287">
        <v>24426</v>
      </c>
      <c r="N272" s="287" t="s">
        <v>23</v>
      </c>
      <c r="O272" s="287" t="s">
        <v>43</v>
      </c>
      <c r="P272" s="287" t="s">
        <v>44</v>
      </c>
      <c r="Q272" s="287" t="s">
        <v>54</v>
      </c>
      <c r="R272" s="287" t="s">
        <v>340</v>
      </c>
      <c r="S272" s="292" t="s">
        <v>340</v>
      </c>
      <c r="T272" s="293"/>
      <c r="U272" s="294"/>
      <c r="V272" s="294"/>
      <c r="W272" s="295">
        <v>22794000</v>
      </c>
      <c r="X272" s="296"/>
      <c r="Y272" s="287" t="s">
        <v>28</v>
      </c>
      <c r="Z272" s="297" t="s">
        <v>25</v>
      </c>
      <c r="AA272" s="313"/>
      <c r="AB272" s="313"/>
      <c r="AC272" s="298">
        <f t="shared" si="10"/>
        <v>6000000</v>
      </c>
      <c r="AD272" s="298">
        <v>6000000</v>
      </c>
      <c r="AE272" s="298">
        <f t="shared" si="11"/>
        <v>0</v>
      </c>
      <c r="AF272" s="299"/>
      <c r="AG272" s="300"/>
      <c r="AH272" s="299"/>
      <c r="AI272" s="299"/>
      <c r="AJ272" s="300"/>
      <c r="AK272" s="299"/>
      <c r="AL272" s="301"/>
      <c r="AM272" s="314"/>
      <c r="AN272" s="301"/>
      <c r="AO272" s="302"/>
      <c r="AP272" s="301"/>
      <c r="AQ272" s="316">
        <v>6000000</v>
      </c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3"/>
      <c r="BH272" s="304"/>
    </row>
    <row r="273" spans="1:60" s="305" customFormat="1" ht="16.5" hidden="1" customHeight="1" x14ac:dyDescent="0.4">
      <c r="A273" s="285">
        <v>250</v>
      </c>
      <c r="B273" s="286"/>
      <c r="C273" s="286"/>
      <c r="D273" s="287" t="s">
        <v>92</v>
      </c>
      <c r="E273" s="287" t="s">
        <v>184</v>
      </c>
      <c r="F273" s="288" t="s">
        <v>92</v>
      </c>
      <c r="G273" s="289" t="s">
        <v>196</v>
      </c>
      <c r="H273" s="307"/>
      <c r="I273" s="290"/>
      <c r="J273" s="291" t="s">
        <v>495</v>
      </c>
      <c r="K273" s="287"/>
      <c r="L273" s="287"/>
      <c r="M273" s="287">
        <v>3197</v>
      </c>
      <c r="N273" s="287" t="s">
        <v>40</v>
      </c>
      <c r="O273" s="287" t="s">
        <v>33</v>
      </c>
      <c r="P273" s="287" t="s">
        <v>44</v>
      </c>
      <c r="Q273" s="287" t="s">
        <v>27</v>
      </c>
      <c r="R273" s="287" t="s">
        <v>349</v>
      </c>
      <c r="S273" s="292" t="s">
        <v>349</v>
      </c>
      <c r="T273" s="293"/>
      <c r="U273" s="294">
        <v>2500000</v>
      </c>
      <c r="V273" s="294">
        <v>0</v>
      </c>
      <c r="W273" s="295"/>
      <c r="X273" s="296"/>
      <c r="Y273" s="287" t="s">
        <v>26</v>
      </c>
      <c r="Z273" s="297" t="s">
        <v>26</v>
      </c>
      <c r="AA273" s="313"/>
      <c r="AB273" s="313"/>
      <c r="AC273" s="298">
        <f t="shared" si="10"/>
        <v>2000000</v>
      </c>
      <c r="AD273" s="298">
        <v>2000000</v>
      </c>
      <c r="AE273" s="298">
        <f t="shared" si="11"/>
        <v>0</v>
      </c>
      <c r="AF273" s="299"/>
      <c r="AG273" s="300"/>
      <c r="AH273" s="299"/>
      <c r="AI273" s="299"/>
      <c r="AJ273" s="300"/>
      <c r="AK273" s="299"/>
      <c r="AL273" s="301"/>
      <c r="AM273" s="314"/>
      <c r="AN273" s="301"/>
      <c r="AO273" s="302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>
        <v>2000000</v>
      </c>
      <c r="BB273" s="301"/>
      <c r="BC273" s="301"/>
      <c r="BD273" s="301"/>
      <c r="BE273" s="301"/>
      <c r="BF273" s="301"/>
      <c r="BG273" s="303"/>
      <c r="BH273" s="304"/>
    </row>
    <row r="274" spans="1:60" s="305" customFormat="1" ht="16.5" hidden="1" customHeight="1" x14ac:dyDescent="0.4">
      <c r="A274" s="285">
        <v>251</v>
      </c>
      <c r="B274" s="286"/>
      <c r="C274" s="286"/>
      <c r="D274" s="287" t="s">
        <v>92</v>
      </c>
      <c r="E274" s="287" t="s">
        <v>184</v>
      </c>
      <c r="F274" s="288" t="s">
        <v>92</v>
      </c>
      <c r="G274" s="289" t="s">
        <v>196</v>
      </c>
      <c r="H274" s="307"/>
      <c r="I274" s="290"/>
      <c r="J274" s="291" t="s">
        <v>448</v>
      </c>
      <c r="K274" s="287"/>
      <c r="L274" s="287"/>
      <c r="M274" s="287">
        <v>497</v>
      </c>
      <c r="N274" s="287" t="s">
        <v>40</v>
      </c>
      <c r="O274" s="287" t="s">
        <v>43</v>
      </c>
      <c r="P274" s="287"/>
      <c r="Q274" s="287" t="s">
        <v>19</v>
      </c>
      <c r="R274" s="287" t="s">
        <v>20</v>
      </c>
      <c r="S274" s="292" t="s">
        <v>20</v>
      </c>
      <c r="T274" s="293"/>
      <c r="U274" s="294"/>
      <c r="V274" s="294">
        <v>25709000</v>
      </c>
      <c r="W274" s="295">
        <v>3271000</v>
      </c>
      <c r="X274" s="296"/>
      <c r="Y274" s="287" t="s">
        <v>28</v>
      </c>
      <c r="Z274" s="297" t="s">
        <v>28</v>
      </c>
      <c r="AA274" s="313"/>
      <c r="AB274" s="313"/>
      <c r="AC274" s="298">
        <f t="shared" si="10"/>
        <v>5000000</v>
      </c>
      <c r="AD274" s="298">
        <v>5000000</v>
      </c>
      <c r="AE274" s="298">
        <f t="shared" si="11"/>
        <v>0</v>
      </c>
      <c r="AF274" s="299"/>
      <c r="AG274" s="300"/>
      <c r="AH274" s="299"/>
      <c r="AI274" s="299"/>
      <c r="AJ274" s="300"/>
      <c r="AK274" s="299"/>
      <c r="AL274" s="301"/>
      <c r="AM274" s="314"/>
      <c r="AN274" s="301"/>
      <c r="AO274" s="302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>
        <v>5000000</v>
      </c>
      <c r="BF274" s="301"/>
      <c r="BG274" s="303"/>
      <c r="BH274" s="304"/>
    </row>
    <row r="275" spans="1:60" s="305" customFormat="1" ht="16.5" hidden="1" customHeight="1" x14ac:dyDescent="0.4">
      <c r="A275" s="285">
        <v>252</v>
      </c>
      <c r="B275" s="286"/>
      <c r="C275" s="286"/>
      <c r="D275" s="287" t="s">
        <v>92</v>
      </c>
      <c r="E275" s="287" t="s">
        <v>184</v>
      </c>
      <c r="F275" s="288" t="s">
        <v>92</v>
      </c>
      <c r="G275" s="289" t="s">
        <v>196</v>
      </c>
      <c r="H275" s="307"/>
      <c r="I275" s="290"/>
      <c r="J275" s="291" t="s">
        <v>448</v>
      </c>
      <c r="K275" s="287"/>
      <c r="L275" s="287"/>
      <c r="M275" s="287">
        <v>497</v>
      </c>
      <c r="N275" s="287" t="s">
        <v>40</v>
      </c>
      <c r="O275" s="287" t="s">
        <v>33</v>
      </c>
      <c r="P275" s="287"/>
      <c r="Q275" s="287" t="s">
        <v>30</v>
      </c>
      <c r="R275" s="287" t="s">
        <v>31</v>
      </c>
      <c r="S275" s="292" t="s">
        <v>31</v>
      </c>
      <c r="T275" s="293"/>
      <c r="U275" s="294"/>
      <c r="V275" s="294">
        <v>22000000</v>
      </c>
      <c r="W275" s="295"/>
      <c r="X275" s="296"/>
      <c r="Y275" s="287" t="s">
        <v>28</v>
      </c>
      <c r="Z275" s="297" t="s">
        <v>28</v>
      </c>
      <c r="AA275" s="313"/>
      <c r="AB275" s="313"/>
      <c r="AC275" s="298">
        <f t="shared" si="10"/>
        <v>4000000</v>
      </c>
      <c r="AD275" s="298">
        <v>4000000</v>
      </c>
      <c r="AE275" s="298">
        <f t="shared" si="11"/>
        <v>0</v>
      </c>
      <c r="AF275" s="299"/>
      <c r="AG275" s="300"/>
      <c r="AH275" s="299">
        <v>0</v>
      </c>
      <c r="AI275" s="299"/>
      <c r="AJ275" s="300"/>
      <c r="AK275" s="299"/>
      <c r="AL275" s="301">
        <v>4000000</v>
      </c>
      <c r="AM275" s="314">
        <v>4000000</v>
      </c>
      <c r="AN275" s="301"/>
      <c r="AO275" s="302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3"/>
      <c r="BH275" s="304"/>
    </row>
    <row r="276" spans="1:60" s="305" customFormat="1" ht="16.5" hidden="1" customHeight="1" x14ac:dyDescent="0.4">
      <c r="A276" s="285">
        <v>253</v>
      </c>
      <c r="B276" s="286"/>
      <c r="C276" s="286"/>
      <c r="D276" s="287" t="s">
        <v>92</v>
      </c>
      <c r="E276" s="287" t="s">
        <v>102</v>
      </c>
      <c r="F276" s="288" t="s">
        <v>92</v>
      </c>
      <c r="G276" s="289" t="s">
        <v>196</v>
      </c>
      <c r="H276" s="307"/>
      <c r="I276" s="290"/>
      <c r="J276" s="291" t="s">
        <v>448</v>
      </c>
      <c r="K276" s="287"/>
      <c r="L276" s="287"/>
      <c r="M276" s="287">
        <v>497</v>
      </c>
      <c r="N276" s="287" t="s">
        <v>40</v>
      </c>
      <c r="O276" s="287" t="s">
        <v>43</v>
      </c>
      <c r="P276" s="287"/>
      <c r="Q276" s="287" t="s">
        <v>37</v>
      </c>
      <c r="R276" s="287" t="s">
        <v>38</v>
      </c>
      <c r="S276" s="292" t="s">
        <v>38</v>
      </c>
      <c r="T276" s="293"/>
      <c r="U276" s="294"/>
      <c r="V276" s="294">
        <v>22000000</v>
      </c>
      <c r="W276" s="295">
        <v>22600000</v>
      </c>
      <c r="X276" s="296"/>
      <c r="Y276" s="287" t="s">
        <v>28</v>
      </c>
      <c r="Z276" s="297" t="s">
        <v>28</v>
      </c>
      <c r="AA276" s="313"/>
      <c r="AB276" s="313"/>
      <c r="AC276" s="298">
        <f t="shared" si="10"/>
        <v>23400000</v>
      </c>
      <c r="AD276" s="298">
        <v>23400000</v>
      </c>
      <c r="AE276" s="298">
        <f t="shared" si="11"/>
        <v>0</v>
      </c>
      <c r="AF276" s="299"/>
      <c r="AG276" s="300"/>
      <c r="AH276" s="299"/>
      <c r="AI276" s="299"/>
      <c r="AJ276" s="300"/>
      <c r="AK276" s="299"/>
      <c r="AL276" s="301">
        <v>23000000</v>
      </c>
      <c r="AM276" s="314">
        <v>23400000</v>
      </c>
      <c r="AN276" s="301"/>
      <c r="AO276" s="302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3"/>
      <c r="BH276" s="304"/>
    </row>
    <row r="277" spans="1:60" s="305" customFormat="1" ht="16.5" hidden="1" customHeight="1" x14ac:dyDescent="0.4">
      <c r="A277" s="285">
        <v>254</v>
      </c>
      <c r="B277" s="286"/>
      <c r="C277" s="286"/>
      <c r="D277" s="287" t="s">
        <v>92</v>
      </c>
      <c r="E277" s="287" t="s">
        <v>102</v>
      </c>
      <c r="F277" s="288" t="s">
        <v>92</v>
      </c>
      <c r="G277" s="289" t="s">
        <v>196</v>
      </c>
      <c r="H277" s="307"/>
      <c r="I277" s="290"/>
      <c r="J277" s="291" t="s">
        <v>448</v>
      </c>
      <c r="K277" s="287"/>
      <c r="L277" s="287"/>
      <c r="M277" s="287">
        <v>497</v>
      </c>
      <c r="N277" s="287" t="s">
        <v>40</v>
      </c>
      <c r="O277" s="287" t="s">
        <v>33</v>
      </c>
      <c r="P277" s="287"/>
      <c r="Q277" s="287" t="s">
        <v>27</v>
      </c>
      <c r="R277" s="287" t="s">
        <v>340</v>
      </c>
      <c r="S277" s="292" t="s">
        <v>340</v>
      </c>
      <c r="T277" s="293"/>
      <c r="U277" s="294">
        <v>3600000</v>
      </c>
      <c r="V277" s="294">
        <v>1360000</v>
      </c>
      <c r="W277" s="295"/>
      <c r="X277" s="296"/>
      <c r="Y277" s="287" t="s">
        <v>544</v>
      </c>
      <c r="Z277" s="297" t="s">
        <v>26</v>
      </c>
      <c r="AA277" s="313"/>
      <c r="AB277" s="313"/>
      <c r="AC277" s="298">
        <f t="shared" si="10"/>
        <v>2000000</v>
      </c>
      <c r="AD277" s="298">
        <v>2000000</v>
      </c>
      <c r="AE277" s="298">
        <f t="shared" si="11"/>
        <v>0</v>
      </c>
      <c r="AF277" s="299"/>
      <c r="AG277" s="300"/>
      <c r="AH277" s="299"/>
      <c r="AI277" s="299"/>
      <c r="AJ277" s="300"/>
      <c r="AK277" s="299"/>
      <c r="AL277" s="301"/>
      <c r="AM277" s="314"/>
      <c r="AN277" s="301"/>
      <c r="AO277" s="302"/>
      <c r="AP277" s="301"/>
      <c r="AQ277" s="301">
        <v>2000000</v>
      </c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3"/>
      <c r="BH277" s="304"/>
    </row>
    <row r="278" spans="1:60" s="305" customFormat="1" ht="16.5" hidden="1" customHeight="1" x14ac:dyDescent="0.4">
      <c r="A278" s="285">
        <v>255</v>
      </c>
      <c r="B278" s="286"/>
      <c r="C278" s="286"/>
      <c r="D278" s="287" t="s">
        <v>92</v>
      </c>
      <c r="E278" s="287" t="s">
        <v>196</v>
      </c>
      <c r="F278" s="288" t="s">
        <v>92</v>
      </c>
      <c r="G278" s="289" t="s">
        <v>196</v>
      </c>
      <c r="H278" s="307"/>
      <c r="I278" s="290"/>
      <c r="J278" s="291" t="s">
        <v>525</v>
      </c>
      <c r="K278" s="287"/>
      <c r="L278" s="287"/>
      <c r="M278" s="287">
        <v>8341</v>
      </c>
      <c r="N278" s="287" t="s">
        <v>23</v>
      </c>
      <c r="O278" s="287" t="s">
        <v>43</v>
      </c>
      <c r="P278" s="287" t="s">
        <v>44</v>
      </c>
      <c r="Q278" s="287" t="s">
        <v>30</v>
      </c>
      <c r="R278" s="287" t="s">
        <v>31</v>
      </c>
      <c r="S278" s="292" t="s">
        <v>31</v>
      </c>
      <c r="T278" s="293"/>
      <c r="U278" s="294">
        <v>7000000</v>
      </c>
      <c r="V278" s="294">
        <v>7000000</v>
      </c>
      <c r="W278" s="295"/>
      <c r="X278" s="296"/>
      <c r="Y278" s="287" t="s">
        <v>28</v>
      </c>
      <c r="Z278" s="297" t="s">
        <v>28</v>
      </c>
      <c r="AA278" s="313"/>
      <c r="AB278" s="313"/>
      <c r="AC278" s="298">
        <f t="shared" si="10"/>
        <v>8000000</v>
      </c>
      <c r="AD278" s="298">
        <v>8000000</v>
      </c>
      <c r="AE278" s="298">
        <f t="shared" si="11"/>
        <v>0</v>
      </c>
      <c r="AF278" s="299"/>
      <c r="AG278" s="300"/>
      <c r="AH278" s="299"/>
      <c r="AI278" s="299"/>
      <c r="AJ278" s="300"/>
      <c r="AK278" s="299"/>
      <c r="AL278" s="301"/>
      <c r="AM278" s="314"/>
      <c r="AN278" s="301"/>
      <c r="AO278" s="302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>
        <v>8000000</v>
      </c>
      <c r="BD278" s="301"/>
      <c r="BE278" s="301"/>
      <c r="BF278" s="301"/>
      <c r="BG278" s="303"/>
      <c r="BH278" s="304"/>
    </row>
    <row r="279" spans="1:60" s="305" customFormat="1" ht="16.5" hidden="1" customHeight="1" x14ac:dyDescent="0.4">
      <c r="A279" s="285">
        <v>256</v>
      </c>
      <c r="B279" s="286"/>
      <c r="C279" s="286"/>
      <c r="D279" s="287" t="s">
        <v>92</v>
      </c>
      <c r="E279" s="287" t="s">
        <v>196</v>
      </c>
      <c r="F279" s="288" t="s">
        <v>92</v>
      </c>
      <c r="G279" s="289" t="s">
        <v>196</v>
      </c>
      <c r="H279" s="307"/>
      <c r="I279" s="290"/>
      <c r="J279" s="291" t="s">
        <v>525</v>
      </c>
      <c r="K279" s="287"/>
      <c r="L279" s="287"/>
      <c r="M279" s="287">
        <v>8341</v>
      </c>
      <c r="N279" s="287" t="s">
        <v>40</v>
      </c>
      <c r="O279" s="287" t="s">
        <v>43</v>
      </c>
      <c r="P279" s="287" t="s">
        <v>44</v>
      </c>
      <c r="Q279" s="287" t="s">
        <v>41</v>
      </c>
      <c r="R279" s="287" t="s">
        <v>339</v>
      </c>
      <c r="S279" s="292" t="s">
        <v>746</v>
      </c>
      <c r="T279" s="293"/>
      <c r="U279" s="294">
        <v>42000000</v>
      </c>
      <c r="V279" s="294">
        <v>48175000</v>
      </c>
      <c r="W279" s="295">
        <v>47000000</v>
      </c>
      <c r="X279" s="296"/>
      <c r="Y279" s="287" t="s">
        <v>28</v>
      </c>
      <c r="Z279" s="297" t="s">
        <v>28</v>
      </c>
      <c r="AA279" s="313"/>
      <c r="AB279" s="313"/>
      <c r="AC279" s="298">
        <f t="shared" si="10"/>
        <v>47000000</v>
      </c>
      <c r="AD279" s="298">
        <v>47000000</v>
      </c>
      <c r="AE279" s="298">
        <f t="shared" si="11"/>
        <v>0</v>
      </c>
      <c r="AF279" s="299"/>
      <c r="AG279" s="300"/>
      <c r="AH279" s="299"/>
      <c r="AI279" s="299"/>
      <c r="AJ279" s="300"/>
      <c r="AK279" s="299"/>
      <c r="AL279" s="301">
        <v>11750000</v>
      </c>
      <c r="AM279" s="314"/>
      <c r="AN279" s="301" t="s">
        <v>855</v>
      </c>
      <c r="AO279" s="302"/>
      <c r="AP279" s="301"/>
      <c r="AQ279" s="301">
        <v>11750000</v>
      </c>
      <c r="AR279" s="301"/>
      <c r="AS279" s="301">
        <v>11750000</v>
      </c>
      <c r="AT279" s="301"/>
      <c r="AU279" s="301"/>
      <c r="AV279" s="301"/>
      <c r="AW279" s="301"/>
      <c r="AX279" s="301"/>
      <c r="AY279" s="301">
        <v>11750000</v>
      </c>
      <c r="AZ279" s="301"/>
      <c r="BA279" s="301"/>
      <c r="BB279" s="301"/>
      <c r="BC279" s="301"/>
      <c r="BD279" s="301"/>
      <c r="BE279" s="301">
        <v>11750000</v>
      </c>
      <c r="BF279" s="301"/>
      <c r="BG279" s="303"/>
      <c r="BH279" s="304"/>
    </row>
    <row r="280" spans="1:60" s="305" customFormat="1" ht="16.5" hidden="1" customHeight="1" x14ac:dyDescent="0.4">
      <c r="A280" s="285">
        <v>257</v>
      </c>
      <c r="B280" s="286"/>
      <c r="C280" s="286"/>
      <c r="D280" s="287" t="s">
        <v>92</v>
      </c>
      <c r="E280" s="287" t="s">
        <v>196</v>
      </c>
      <c r="F280" s="288" t="s">
        <v>92</v>
      </c>
      <c r="G280" s="289" t="s">
        <v>196</v>
      </c>
      <c r="H280" s="307"/>
      <c r="I280" s="290"/>
      <c r="J280" s="291" t="s">
        <v>57</v>
      </c>
      <c r="K280" s="287"/>
      <c r="L280" s="287"/>
      <c r="M280" s="287">
        <v>274</v>
      </c>
      <c r="N280" s="287" t="s">
        <v>23</v>
      </c>
      <c r="O280" s="287" t="s">
        <v>33</v>
      </c>
      <c r="P280" s="287"/>
      <c r="Q280" s="287" t="s">
        <v>30</v>
      </c>
      <c r="R280" s="287" t="s">
        <v>31</v>
      </c>
      <c r="S280" s="292" t="s">
        <v>31</v>
      </c>
      <c r="T280" s="293"/>
      <c r="U280" s="294"/>
      <c r="V280" s="294">
        <v>0</v>
      </c>
      <c r="W280" s="295"/>
      <c r="X280" s="296"/>
      <c r="Y280" s="287" t="s">
        <v>26</v>
      </c>
      <c r="Z280" s="297" t="s">
        <v>26</v>
      </c>
      <c r="AA280" s="313"/>
      <c r="AB280" s="313"/>
      <c r="AC280" s="298">
        <f t="shared" ref="AC280:AC343" si="12">AG280+AJ280+AM280+AO280+AQ280+AS280+AU280+AW280+AY280+BA280+BC280+BE280</f>
        <v>0</v>
      </c>
      <c r="AD280" s="298">
        <v>0</v>
      </c>
      <c r="AE280" s="298">
        <f t="shared" ref="AE280:AE343" si="13">AC280-AD280</f>
        <v>0</v>
      </c>
      <c r="AF280" s="299"/>
      <c r="AG280" s="300"/>
      <c r="AH280" s="299"/>
      <c r="AI280" s="299"/>
      <c r="AJ280" s="300"/>
      <c r="AK280" s="299"/>
      <c r="AL280" s="301"/>
      <c r="AM280" s="314"/>
      <c r="AN280" s="301"/>
      <c r="AO280" s="302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3"/>
      <c r="BH280" s="304"/>
    </row>
    <row r="281" spans="1:60" s="305" customFormat="1" ht="16.5" hidden="1" customHeight="1" x14ac:dyDescent="0.4">
      <c r="A281" s="285">
        <v>258</v>
      </c>
      <c r="B281" s="286"/>
      <c r="C281" s="286"/>
      <c r="D281" s="287" t="s">
        <v>92</v>
      </c>
      <c r="E281" s="287" t="s">
        <v>196</v>
      </c>
      <c r="F281" s="288" t="s">
        <v>92</v>
      </c>
      <c r="G281" s="289" t="s">
        <v>196</v>
      </c>
      <c r="H281" s="307"/>
      <c r="I281" s="290"/>
      <c r="J281" s="291" t="s">
        <v>57</v>
      </c>
      <c r="K281" s="287"/>
      <c r="L281" s="287"/>
      <c r="M281" s="287">
        <v>274</v>
      </c>
      <c r="N281" s="287" t="s">
        <v>23</v>
      </c>
      <c r="O281" s="287" t="s">
        <v>33</v>
      </c>
      <c r="P281" s="287"/>
      <c r="Q281" s="287" t="s">
        <v>36</v>
      </c>
      <c r="R281" s="287" t="s">
        <v>341</v>
      </c>
      <c r="S281" s="292" t="s">
        <v>341</v>
      </c>
      <c r="T281" s="293"/>
      <c r="U281" s="294"/>
      <c r="V281" s="294">
        <v>0</v>
      </c>
      <c r="W281" s="295"/>
      <c r="X281" s="296"/>
      <c r="Y281" s="287" t="s">
        <v>26</v>
      </c>
      <c r="Z281" s="297" t="s">
        <v>26</v>
      </c>
      <c r="AA281" s="313"/>
      <c r="AB281" s="313"/>
      <c r="AC281" s="298">
        <f t="shared" si="12"/>
        <v>100000000</v>
      </c>
      <c r="AD281" s="298">
        <v>100000000</v>
      </c>
      <c r="AE281" s="298">
        <f t="shared" si="13"/>
        <v>0</v>
      </c>
      <c r="AF281" s="299"/>
      <c r="AG281" s="300"/>
      <c r="AH281" s="299"/>
      <c r="AI281" s="299"/>
      <c r="AJ281" s="300"/>
      <c r="AK281" s="299"/>
      <c r="AL281" s="301"/>
      <c r="AM281" s="314"/>
      <c r="AN281" s="301"/>
      <c r="AO281" s="302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>
        <v>100000000</v>
      </c>
      <c r="BF281" s="301"/>
      <c r="BG281" s="303"/>
      <c r="BH281" s="304"/>
    </row>
    <row r="282" spans="1:60" s="305" customFormat="1" ht="16.5" hidden="1" customHeight="1" x14ac:dyDescent="0.4">
      <c r="A282" s="285">
        <v>259</v>
      </c>
      <c r="B282" s="286"/>
      <c r="C282" s="286"/>
      <c r="D282" s="287" t="s">
        <v>92</v>
      </c>
      <c r="E282" s="287" t="s">
        <v>102</v>
      </c>
      <c r="F282" s="288" t="s">
        <v>92</v>
      </c>
      <c r="G282" s="289" t="s">
        <v>196</v>
      </c>
      <c r="H282" s="307"/>
      <c r="I282" s="290"/>
      <c r="J282" s="291" t="s">
        <v>57</v>
      </c>
      <c r="K282" s="287"/>
      <c r="L282" s="287"/>
      <c r="M282" s="287">
        <v>274</v>
      </c>
      <c r="N282" s="287" t="s">
        <v>23</v>
      </c>
      <c r="O282" s="287" t="s">
        <v>33</v>
      </c>
      <c r="P282" s="287"/>
      <c r="Q282" s="287"/>
      <c r="R282" s="287"/>
      <c r="S282" s="292" t="s">
        <v>349</v>
      </c>
      <c r="T282" s="293"/>
      <c r="U282" s="294"/>
      <c r="V282" s="294">
        <v>0</v>
      </c>
      <c r="W282" s="295"/>
      <c r="X282" s="296"/>
      <c r="Y282" s="287" t="s">
        <v>26</v>
      </c>
      <c r="Z282" s="297" t="s">
        <v>26</v>
      </c>
      <c r="AA282" s="313"/>
      <c r="AB282" s="313"/>
      <c r="AC282" s="298">
        <f t="shared" si="12"/>
        <v>50000000</v>
      </c>
      <c r="AD282" s="298">
        <v>50000000</v>
      </c>
      <c r="AE282" s="298">
        <f t="shared" si="13"/>
        <v>0</v>
      </c>
      <c r="AF282" s="299"/>
      <c r="AG282" s="300"/>
      <c r="AH282" s="299"/>
      <c r="AI282" s="299"/>
      <c r="AJ282" s="300"/>
      <c r="AK282" s="299"/>
      <c r="AL282" s="301"/>
      <c r="AM282" s="314"/>
      <c r="AN282" s="301"/>
      <c r="AO282" s="302"/>
      <c r="AP282" s="301"/>
      <c r="AQ282" s="301"/>
      <c r="AR282" s="301"/>
      <c r="AS282" s="301">
        <v>50000000</v>
      </c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3"/>
      <c r="BH282" s="304"/>
    </row>
    <row r="283" spans="1:60" s="305" customFormat="1" ht="16.5" hidden="1" customHeight="1" x14ac:dyDescent="0.4">
      <c r="A283" s="285">
        <v>260</v>
      </c>
      <c r="B283" s="286"/>
      <c r="C283" s="286"/>
      <c r="D283" s="287" t="s">
        <v>92</v>
      </c>
      <c r="E283" s="287" t="s">
        <v>102</v>
      </c>
      <c r="F283" s="288" t="s">
        <v>92</v>
      </c>
      <c r="G283" s="289" t="s">
        <v>196</v>
      </c>
      <c r="H283" s="307"/>
      <c r="I283" s="290"/>
      <c r="J283" s="291" t="s">
        <v>57</v>
      </c>
      <c r="K283" s="287"/>
      <c r="L283" s="287"/>
      <c r="M283" s="287">
        <v>274</v>
      </c>
      <c r="N283" s="287" t="s">
        <v>23</v>
      </c>
      <c r="O283" s="287" t="s">
        <v>33</v>
      </c>
      <c r="P283" s="287"/>
      <c r="Q283" s="287" t="s">
        <v>24</v>
      </c>
      <c r="R283" s="287" t="s">
        <v>221</v>
      </c>
      <c r="S283" s="292" t="s">
        <v>745</v>
      </c>
      <c r="T283" s="293"/>
      <c r="U283" s="294">
        <v>10000000</v>
      </c>
      <c r="V283" s="294">
        <v>0</v>
      </c>
      <c r="W283" s="295"/>
      <c r="X283" s="296"/>
      <c r="Y283" s="287" t="s">
        <v>25</v>
      </c>
      <c r="Z283" s="297" t="s">
        <v>26</v>
      </c>
      <c r="AA283" s="313"/>
      <c r="AB283" s="313"/>
      <c r="AC283" s="298">
        <f t="shared" si="12"/>
        <v>10000000</v>
      </c>
      <c r="AD283" s="298">
        <v>10000000</v>
      </c>
      <c r="AE283" s="298">
        <f t="shared" si="13"/>
        <v>0</v>
      </c>
      <c r="AF283" s="299"/>
      <c r="AG283" s="300"/>
      <c r="AH283" s="299"/>
      <c r="AI283" s="299"/>
      <c r="AJ283" s="300"/>
      <c r="AK283" s="299"/>
      <c r="AL283" s="301"/>
      <c r="AM283" s="314"/>
      <c r="AN283" s="301"/>
      <c r="AO283" s="302"/>
      <c r="AP283" s="301"/>
      <c r="AQ283" s="301"/>
      <c r="AR283" s="301"/>
      <c r="AS283" s="301">
        <v>10000000</v>
      </c>
      <c r="AT283" s="301"/>
      <c r="AU283" s="301"/>
      <c r="AV283" s="301"/>
      <c r="AW283" s="301"/>
      <c r="AX283" s="301"/>
      <c r="AY283" s="301"/>
      <c r="AZ283" s="301"/>
      <c r="BA283" s="301"/>
      <c r="BB283" s="301"/>
      <c r="BC283" s="301"/>
      <c r="BD283" s="301"/>
      <c r="BE283" s="301"/>
      <c r="BF283" s="301"/>
      <c r="BG283" s="303"/>
      <c r="BH283" s="304"/>
    </row>
    <row r="284" spans="1:60" s="305" customFormat="1" ht="16.5" hidden="1" customHeight="1" x14ac:dyDescent="0.4">
      <c r="A284" s="285">
        <v>261</v>
      </c>
      <c r="B284" s="286"/>
      <c r="C284" s="286"/>
      <c r="D284" s="287" t="s">
        <v>92</v>
      </c>
      <c r="E284" s="287" t="s">
        <v>102</v>
      </c>
      <c r="F284" s="288" t="s">
        <v>92</v>
      </c>
      <c r="G284" s="289" t="s">
        <v>196</v>
      </c>
      <c r="H284" s="307"/>
      <c r="I284" s="290"/>
      <c r="J284" s="291" t="s">
        <v>673</v>
      </c>
      <c r="K284" s="287"/>
      <c r="L284" s="287"/>
      <c r="M284" s="287">
        <v>19075</v>
      </c>
      <c r="N284" s="287" t="s">
        <v>35</v>
      </c>
      <c r="O284" s="287" t="s">
        <v>33</v>
      </c>
      <c r="P284" s="287"/>
      <c r="Q284" s="287"/>
      <c r="R284" s="287" t="s">
        <v>31</v>
      </c>
      <c r="S284" s="292" t="s">
        <v>31</v>
      </c>
      <c r="T284" s="293"/>
      <c r="U284" s="294"/>
      <c r="V284" s="294"/>
      <c r="W284" s="295"/>
      <c r="X284" s="296"/>
      <c r="Y284" s="287" t="s">
        <v>28</v>
      </c>
      <c r="Z284" s="297" t="s">
        <v>25</v>
      </c>
      <c r="AA284" s="313"/>
      <c r="AB284" s="313"/>
      <c r="AC284" s="298">
        <f t="shared" si="12"/>
        <v>6000000</v>
      </c>
      <c r="AD284" s="298">
        <v>6000000</v>
      </c>
      <c r="AE284" s="298">
        <f t="shared" si="13"/>
        <v>0</v>
      </c>
      <c r="AF284" s="299"/>
      <c r="AG284" s="300"/>
      <c r="AH284" s="299"/>
      <c r="AI284" s="299"/>
      <c r="AJ284" s="300"/>
      <c r="AK284" s="299"/>
      <c r="AL284" s="301"/>
      <c r="AM284" s="314"/>
      <c r="AN284" s="301"/>
      <c r="AO284" s="302"/>
      <c r="AP284" s="301"/>
      <c r="AQ284" s="301"/>
      <c r="AR284" s="301"/>
      <c r="AS284" s="301">
        <v>3000000</v>
      </c>
      <c r="AT284" s="301"/>
      <c r="AU284" s="301"/>
      <c r="AV284" s="301"/>
      <c r="AW284" s="301"/>
      <c r="AX284" s="301"/>
      <c r="AY284" s="301"/>
      <c r="AZ284" s="301"/>
      <c r="BA284" s="301"/>
      <c r="BB284" s="301"/>
      <c r="BC284" s="301"/>
      <c r="BD284" s="301"/>
      <c r="BE284" s="301">
        <v>3000000</v>
      </c>
      <c r="BF284" s="301"/>
      <c r="BG284" s="303"/>
      <c r="BH284" s="304"/>
    </row>
    <row r="285" spans="1:60" s="305" customFormat="1" ht="16.5" hidden="1" customHeight="1" x14ac:dyDescent="0.4">
      <c r="A285" s="285">
        <v>262</v>
      </c>
      <c r="B285" s="286"/>
      <c r="C285" s="286"/>
      <c r="D285" s="287" t="s">
        <v>92</v>
      </c>
      <c r="E285" s="287" t="s">
        <v>102</v>
      </c>
      <c r="F285" s="288" t="s">
        <v>92</v>
      </c>
      <c r="G285" s="289" t="s">
        <v>196</v>
      </c>
      <c r="H285" s="307"/>
      <c r="I285" s="290"/>
      <c r="J285" s="291" t="s">
        <v>222</v>
      </c>
      <c r="K285" s="287"/>
      <c r="L285" s="287"/>
      <c r="M285" s="287">
        <v>46772</v>
      </c>
      <c r="N285" s="287" t="s">
        <v>18</v>
      </c>
      <c r="O285" s="287" t="s">
        <v>43</v>
      </c>
      <c r="P285" s="287" t="s">
        <v>44</v>
      </c>
      <c r="Q285" s="287" t="s">
        <v>30</v>
      </c>
      <c r="R285" s="287" t="s">
        <v>31</v>
      </c>
      <c r="S285" s="292" t="s">
        <v>31</v>
      </c>
      <c r="T285" s="293"/>
      <c r="U285" s="294">
        <v>2807000</v>
      </c>
      <c r="V285" s="294">
        <v>1492000</v>
      </c>
      <c r="W285" s="295">
        <v>2308000</v>
      </c>
      <c r="X285" s="296"/>
      <c r="Y285" s="287" t="s">
        <v>28</v>
      </c>
      <c r="Z285" s="297" t="s">
        <v>25</v>
      </c>
      <c r="AA285" s="313"/>
      <c r="AB285" s="313"/>
      <c r="AC285" s="298">
        <f t="shared" si="12"/>
        <v>2000000</v>
      </c>
      <c r="AD285" s="298">
        <v>2000000</v>
      </c>
      <c r="AE285" s="298">
        <f t="shared" si="13"/>
        <v>0</v>
      </c>
      <c r="AF285" s="299"/>
      <c r="AG285" s="300"/>
      <c r="AH285" s="299"/>
      <c r="AI285" s="299"/>
      <c r="AJ285" s="300"/>
      <c r="AK285" s="299"/>
      <c r="AL285" s="301"/>
      <c r="AM285" s="314"/>
      <c r="AN285" s="301"/>
      <c r="AO285" s="302"/>
      <c r="AP285" s="301"/>
      <c r="AQ285" s="316">
        <v>500000</v>
      </c>
      <c r="AR285" s="301"/>
      <c r="AS285" s="301">
        <v>500000</v>
      </c>
      <c r="AT285" s="301"/>
      <c r="AU285" s="301"/>
      <c r="AV285" s="301"/>
      <c r="AW285" s="301"/>
      <c r="AX285" s="301"/>
      <c r="AY285" s="301">
        <v>500000</v>
      </c>
      <c r="AZ285" s="301"/>
      <c r="BA285" s="301"/>
      <c r="BB285" s="301"/>
      <c r="BC285" s="301"/>
      <c r="BD285" s="301"/>
      <c r="BE285" s="301">
        <v>500000</v>
      </c>
      <c r="BF285" s="301"/>
      <c r="BG285" s="303"/>
      <c r="BH285" s="304"/>
    </row>
    <row r="286" spans="1:60" s="305" customFormat="1" ht="16.5" hidden="1" customHeight="1" x14ac:dyDescent="0.4">
      <c r="A286" s="285">
        <v>263</v>
      </c>
      <c r="B286" s="286"/>
      <c r="C286" s="286"/>
      <c r="D286" s="287" t="s">
        <v>92</v>
      </c>
      <c r="E286" s="287" t="s">
        <v>102</v>
      </c>
      <c r="F286" s="288" t="s">
        <v>92</v>
      </c>
      <c r="G286" s="289" t="s">
        <v>196</v>
      </c>
      <c r="H286" s="307"/>
      <c r="I286" s="290"/>
      <c r="J286" s="291" t="s">
        <v>222</v>
      </c>
      <c r="K286" s="287"/>
      <c r="L286" s="287"/>
      <c r="M286" s="287">
        <v>46772</v>
      </c>
      <c r="N286" s="287" t="s">
        <v>18</v>
      </c>
      <c r="O286" s="287" t="s">
        <v>43</v>
      </c>
      <c r="P286" s="287"/>
      <c r="Q286" s="287"/>
      <c r="R286" s="287" t="s">
        <v>31</v>
      </c>
      <c r="S286" s="292" t="s">
        <v>31</v>
      </c>
      <c r="T286" s="293"/>
      <c r="U286" s="294"/>
      <c r="V286" s="294"/>
      <c r="W286" s="295">
        <v>0</v>
      </c>
      <c r="X286" s="296"/>
      <c r="Y286" s="287" t="s">
        <v>28</v>
      </c>
      <c r="Z286" s="297" t="s">
        <v>544</v>
      </c>
      <c r="AA286" s="313"/>
      <c r="AB286" s="313"/>
      <c r="AC286" s="298">
        <f t="shared" si="12"/>
        <v>0</v>
      </c>
      <c r="AD286" s="298">
        <v>0</v>
      </c>
      <c r="AE286" s="298">
        <f t="shared" si="13"/>
        <v>0</v>
      </c>
      <c r="AF286" s="299"/>
      <c r="AG286" s="300"/>
      <c r="AH286" s="299"/>
      <c r="AI286" s="299"/>
      <c r="AJ286" s="300"/>
      <c r="AK286" s="299"/>
      <c r="AL286" s="301"/>
      <c r="AM286" s="314"/>
      <c r="AN286" s="301"/>
      <c r="AO286" s="302"/>
      <c r="AP286" s="301"/>
      <c r="AQ286" s="301"/>
      <c r="AR286" s="301"/>
      <c r="AS286" s="301"/>
      <c r="AT286" s="301"/>
      <c r="AU286" s="301"/>
      <c r="AV286" s="301"/>
      <c r="AW286" s="301"/>
      <c r="AX286" s="301"/>
      <c r="AY286" s="301"/>
      <c r="AZ286" s="301"/>
      <c r="BA286" s="301"/>
      <c r="BB286" s="301"/>
      <c r="BC286" s="301"/>
      <c r="BD286" s="301"/>
      <c r="BE286" s="301"/>
      <c r="BF286" s="301"/>
      <c r="BG286" s="303"/>
      <c r="BH286" s="304"/>
    </row>
    <row r="287" spans="1:60" s="305" customFormat="1" ht="16.5" hidden="1" customHeight="1" x14ac:dyDescent="0.4">
      <c r="A287" s="285">
        <v>264</v>
      </c>
      <c r="B287" s="286"/>
      <c r="C287" s="286"/>
      <c r="D287" s="287" t="s">
        <v>92</v>
      </c>
      <c r="E287" s="287" t="s">
        <v>102</v>
      </c>
      <c r="F287" s="288" t="s">
        <v>92</v>
      </c>
      <c r="G287" s="289" t="s">
        <v>196</v>
      </c>
      <c r="H287" s="307"/>
      <c r="I287" s="290"/>
      <c r="J287" s="291" t="s">
        <v>464</v>
      </c>
      <c r="K287" s="287"/>
      <c r="L287" s="287"/>
      <c r="M287" s="287">
        <v>14896</v>
      </c>
      <c r="N287" s="287" t="s">
        <v>40</v>
      </c>
      <c r="O287" s="287" t="s">
        <v>43</v>
      </c>
      <c r="P287" s="287" t="s">
        <v>44</v>
      </c>
      <c r="Q287" s="287" t="s">
        <v>30</v>
      </c>
      <c r="R287" s="287" t="s">
        <v>31</v>
      </c>
      <c r="S287" s="292" t="s">
        <v>31</v>
      </c>
      <c r="T287" s="293"/>
      <c r="U287" s="294">
        <v>21112000</v>
      </c>
      <c r="V287" s="294">
        <v>27561073</v>
      </c>
      <c r="W287" s="295">
        <v>26897000</v>
      </c>
      <c r="X287" s="296"/>
      <c r="Y287" s="287" t="s">
        <v>28</v>
      </c>
      <c r="Z287" s="297" t="s">
        <v>56</v>
      </c>
      <c r="AA287" s="313"/>
      <c r="AB287" s="313"/>
      <c r="AC287" s="298">
        <f t="shared" si="12"/>
        <v>25000000</v>
      </c>
      <c r="AD287" s="298">
        <v>25000000</v>
      </c>
      <c r="AE287" s="298">
        <f t="shared" si="13"/>
        <v>0</v>
      </c>
      <c r="AF287" s="299"/>
      <c r="AG287" s="300"/>
      <c r="AH287" s="299"/>
      <c r="AI287" s="299"/>
      <c r="AJ287" s="300"/>
      <c r="AK287" s="299"/>
      <c r="AL287" s="301">
        <v>1000000</v>
      </c>
      <c r="AM287" s="314"/>
      <c r="AN287" s="301"/>
      <c r="AO287" s="302"/>
      <c r="AP287" s="301"/>
      <c r="AQ287" s="301"/>
      <c r="AR287" s="301"/>
      <c r="AS287" s="301">
        <v>7000000</v>
      </c>
      <c r="AT287" s="301"/>
      <c r="AU287" s="301"/>
      <c r="AV287" s="301"/>
      <c r="AW287" s="301"/>
      <c r="AX287" s="301"/>
      <c r="AY287" s="301">
        <v>3000000</v>
      </c>
      <c r="AZ287" s="301"/>
      <c r="BA287" s="301"/>
      <c r="BB287" s="301"/>
      <c r="BC287" s="301"/>
      <c r="BD287" s="301"/>
      <c r="BE287" s="301">
        <v>15000000</v>
      </c>
      <c r="BF287" s="301"/>
      <c r="BG287" s="303"/>
      <c r="BH287" s="304"/>
    </row>
    <row r="288" spans="1:60" s="305" customFormat="1" ht="16.5" hidden="1" customHeight="1" x14ac:dyDescent="0.4">
      <c r="A288" s="285">
        <v>265</v>
      </c>
      <c r="B288" s="286"/>
      <c r="C288" s="286"/>
      <c r="D288" s="287" t="s">
        <v>92</v>
      </c>
      <c r="E288" s="287" t="s">
        <v>102</v>
      </c>
      <c r="F288" s="288" t="s">
        <v>92</v>
      </c>
      <c r="G288" s="289" t="s">
        <v>196</v>
      </c>
      <c r="H288" s="307"/>
      <c r="I288" s="290"/>
      <c r="J288" s="291" t="s">
        <v>464</v>
      </c>
      <c r="K288" s="287"/>
      <c r="L288" s="287"/>
      <c r="M288" s="287">
        <v>14896</v>
      </c>
      <c r="N288" s="287" t="s">
        <v>40</v>
      </c>
      <c r="O288" s="287" t="s">
        <v>33</v>
      </c>
      <c r="P288" s="287" t="s">
        <v>44</v>
      </c>
      <c r="Q288" s="287"/>
      <c r="R288" s="287" t="s">
        <v>349</v>
      </c>
      <c r="S288" s="292" t="s">
        <v>349</v>
      </c>
      <c r="T288" s="293"/>
      <c r="U288" s="294"/>
      <c r="V288" s="294" t="s">
        <v>97</v>
      </c>
      <c r="W288" s="295">
        <v>26400000</v>
      </c>
      <c r="X288" s="296"/>
      <c r="Y288" s="287" t="s">
        <v>28</v>
      </c>
      <c r="Z288" s="297" t="s">
        <v>25</v>
      </c>
      <c r="AA288" s="313"/>
      <c r="AB288" s="313"/>
      <c r="AC288" s="298">
        <f t="shared" si="12"/>
        <v>20000000</v>
      </c>
      <c r="AD288" s="298">
        <v>20000000</v>
      </c>
      <c r="AE288" s="298">
        <f t="shared" si="13"/>
        <v>0</v>
      </c>
      <c r="AF288" s="299"/>
      <c r="AG288" s="300"/>
      <c r="AH288" s="299"/>
      <c r="AI288" s="299"/>
      <c r="AJ288" s="300"/>
      <c r="AK288" s="299"/>
      <c r="AL288" s="301"/>
      <c r="AM288" s="314"/>
      <c r="AN288" s="301"/>
      <c r="AO288" s="302">
        <v>10000000</v>
      </c>
      <c r="AP288" s="301"/>
      <c r="AQ288" s="301">
        <v>5000000</v>
      </c>
      <c r="AR288" s="301"/>
      <c r="AS288" s="301">
        <v>5000000</v>
      </c>
      <c r="AT288" s="301"/>
      <c r="AU288" s="301"/>
      <c r="AV288" s="301"/>
      <c r="AW288" s="301"/>
      <c r="AX288" s="301"/>
      <c r="AY288" s="301"/>
      <c r="AZ288" s="301"/>
      <c r="BA288" s="301"/>
      <c r="BB288" s="301"/>
      <c r="BC288" s="301"/>
      <c r="BD288" s="301"/>
      <c r="BE288" s="301"/>
      <c r="BF288" s="301"/>
      <c r="BG288" s="303"/>
      <c r="BH288" s="304"/>
    </row>
    <row r="289" spans="1:60" s="305" customFormat="1" ht="16.5" hidden="1" customHeight="1" x14ac:dyDescent="0.4">
      <c r="A289" s="285">
        <v>266</v>
      </c>
      <c r="B289" s="286"/>
      <c r="C289" s="286"/>
      <c r="D289" s="287" t="s">
        <v>92</v>
      </c>
      <c r="E289" s="287" t="s">
        <v>102</v>
      </c>
      <c r="F289" s="288" t="s">
        <v>92</v>
      </c>
      <c r="G289" s="289" t="s">
        <v>196</v>
      </c>
      <c r="H289" s="307"/>
      <c r="I289" s="290"/>
      <c r="J289" s="291" t="s">
        <v>464</v>
      </c>
      <c r="K289" s="287"/>
      <c r="L289" s="287"/>
      <c r="M289" s="287">
        <v>14896</v>
      </c>
      <c r="N289" s="287" t="s">
        <v>40</v>
      </c>
      <c r="O289" s="287" t="s">
        <v>43</v>
      </c>
      <c r="P289" s="287" t="s">
        <v>44</v>
      </c>
      <c r="Q289" s="287" t="s">
        <v>46</v>
      </c>
      <c r="R289" s="287" t="s">
        <v>339</v>
      </c>
      <c r="S289" s="292" t="s">
        <v>746</v>
      </c>
      <c r="T289" s="293"/>
      <c r="U289" s="294">
        <v>9590000</v>
      </c>
      <c r="V289" s="294">
        <v>16299000</v>
      </c>
      <c r="W289" s="295">
        <v>12118902</v>
      </c>
      <c r="X289" s="296"/>
      <c r="Y289" s="287" t="s">
        <v>28</v>
      </c>
      <c r="Z289" s="297" t="s">
        <v>56</v>
      </c>
      <c r="AA289" s="313"/>
      <c r="AB289" s="313"/>
      <c r="AC289" s="298">
        <f t="shared" si="12"/>
        <v>11250000</v>
      </c>
      <c r="AD289" s="298">
        <v>11250000</v>
      </c>
      <c r="AE289" s="298">
        <f t="shared" si="13"/>
        <v>0</v>
      </c>
      <c r="AF289" s="299"/>
      <c r="AG289" s="300"/>
      <c r="AH289" s="299"/>
      <c r="AI289" s="299"/>
      <c r="AJ289" s="300"/>
      <c r="AK289" s="299"/>
      <c r="AL289" s="301">
        <v>3750000</v>
      </c>
      <c r="AM289" s="314"/>
      <c r="AN289" s="301"/>
      <c r="AO289" s="302"/>
      <c r="AP289" s="301"/>
      <c r="AQ289" s="301"/>
      <c r="AR289" s="301"/>
      <c r="AS289" s="301">
        <v>3750000</v>
      </c>
      <c r="AT289" s="301"/>
      <c r="AU289" s="301"/>
      <c r="AV289" s="301"/>
      <c r="AW289" s="301"/>
      <c r="AX289" s="301"/>
      <c r="AY289" s="301">
        <v>3750000</v>
      </c>
      <c r="AZ289" s="301"/>
      <c r="BA289" s="301"/>
      <c r="BB289" s="301"/>
      <c r="BC289" s="301"/>
      <c r="BD289" s="301"/>
      <c r="BE289" s="301">
        <v>3750000</v>
      </c>
      <c r="BF289" s="301"/>
      <c r="BG289" s="303"/>
      <c r="BH289" s="304"/>
    </row>
    <row r="290" spans="1:60" s="305" customFormat="1" ht="16.5" hidden="1" customHeight="1" x14ac:dyDescent="0.4">
      <c r="A290" s="285">
        <v>267</v>
      </c>
      <c r="B290" s="286"/>
      <c r="C290" s="286"/>
      <c r="D290" s="287" t="s">
        <v>92</v>
      </c>
      <c r="E290" s="287" t="s">
        <v>102</v>
      </c>
      <c r="F290" s="288" t="s">
        <v>92</v>
      </c>
      <c r="G290" s="289" t="s">
        <v>196</v>
      </c>
      <c r="H290" s="307"/>
      <c r="I290" s="290"/>
      <c r="J290" s="291" t="s">
        <v>431</v>
      </c>
      <c r="K290" s="287"/>
      <c r="L290" s="287"/>
      <c r="M290" s="287">
        <v>60405</v>
      </c>
      <c r="N290" s="287" t="s">
        <v>40</v>
      </c>
      <c r="O290" s="287" t="s">
        <v>43</v>
      </c>
      <c r="P290" s="287" t="s">
        <v>44</v>
      </c>
      <c r="Q290" s="287" t="s">
        <v>48</v>
      </c>
      <c r="R290" s="287" t="s">
        <v>685</v>
      </c>
      <c r="S290" s="292" t="s">
        <v>743</v>
      </c>
      <c r="T290" s="293"/>
      <c r="U290" s="294">
        <v>5600000</v>
      </c>
      <c r="V290" s="294">
        <v>2520000</v>
      </c>
      <c r="W290" s="295"/>
      <c r="X290" s="296"/>
      <c r="Y290" s="287" t="s">
        <v>21</v>
      </c>
      <c r="Z290" s="297" t="s">
        <v>544</v>
      </c>
      <c r="AA290" s="313"/>
      <c r="AB290" s="313"/>
      <c r="AC290" s="298">
        <f t="shared" si="12"/>
        <v>0</v>
      </c>
      <c r="AD290" s="298">
        <v>0</v>
      </c>
      <c r="AE290" s="298">
        <f t="shared" si="13"/>
        <v>0</v>
      </c>
      <c r="AF290" s="299"/>
      <c r="AG290" s="300"/>
      <c r="AH290" s="299"/>
      <c r="AI290" s="299"/>
      <c r="AJ290" s="300"/>
      <c r="AK290" s="299"/>
      <c r="AL290" s="301"/>
      <c r="AM290" s="314"/>
      <c r="AN290" s="301"/>
      <c r="AO290" s="302"/>
      <c r="AP290" s="301"/>
      <c r="AQ290" s="301"/>
      <c r="AR290" s="301"/>
      <c r="AS290" s="301"/>
      <c r="AT290" s="301"/>
      <c r="AU290" s="301"/>
      <c r="AV290" s="301"/>
      <c r="AW290" s="301"/>
      <c r="AX290" s="301"/>
      <c r="AY290" s="301"/>
      <c r="AZ290" s="301"/>
      <c r="BA290" s="301"/>
      <c r="BB290" s="301"/>
      <c r="BC290" s="301"/>
      <c r="BD290" s="301"/>
      <c r="BE290" s="301"/>
      <c r="BF290" s="301"/>
      <c r="BG290" s="303"/>
      <c r="BH290" s="304"/>
    </row>
    <row r="291" spans="1:60" s="305" customFormat="1" ht="16.5" hidden="1" customHeight="1" x14ac:dyDescent="0.4">
      <c r="A291" s="285">
        <v>268</v>
      </c>
      <c r="B291" s="286"/>
      <c r="C291" s="286"/>
      <c r="D291" s="287" t="s">
        <v>92</v>
      </c>
      <c r="E291" s="287" t="s">
        <v>102</v>
      </c>
      <c r="F291" s="288" t="s">
        <v>92</v>
      </c>
      <c r="G291" s="289" t="s">
        <v>196</v>
      </c>
      <c r="H291" s="307"/>
      <c r="I291" s="290"/>
      <c r="J291" s="291" t="s">
        <v>485</v>
      </c>
      <c r="K291" s="287"/>
      <c r="L291" s="287"/>
      <c r="M291" s="287">
        <v>23770</v>
      </c>
      <c r="N291" s="287" t="s">
        <v>40</v>
      </c>
      <c r="O291" s="287" t="s">
        <v>43</v>
      </c>
      <c r="P291" s="287" t="s">
        <v>44</v>
      </c>
      <c r="Q291" s="287" t="s">
        <v>30</v>
      </c>
      <c r="R291" s="287" t="s">
        <v>31</v>
      </c>
      <c r="S291" s="292" t="s">
        <v>31</v>
      </c>
      <c r="T291" s="293"/>
      <c r="U291" s="294">
        <v>5621000</v>
      </c>
      <c r="V291" s="294">
        <v>5467927</v>
      </c>
      <c r="W291" s="295">
        <v>2897000</v>
      </c>
      <c r="X291" s="296"/>
      <c r="Y291" s="287" t="s">
        <v>25</v>
      </c>
      <c r="Z291" s="297" t="s">
        <v>56</v>
      </c>
      <c r="AA291" s="313"/>
      <c r="AB291" s="313"/>
      <c r="AC291" s="298">
        <f t="shared" si="12"/>
        <v>5000000</v>
      </c>
      <c r="AD291" s="298">
        <v>5000000</v>
      </c>
      <c r="AE291" s="298">
        <f t="shared" si="13"/>
        <v>0</v>
      </c>
      <c r="AF291" s="299"/>
      <c r="AG291" s="300"/>
      <c r="AH291" s="299"/>
      <c r="AI291" s="299"/>
      <c r="AJ291" s="300"/>
      <c r="AK291" s="299"/>
      <c r="AL291" s="301"/>
      <c r="AM291" s="314"/>
      <c r="AN291" s="301"/>
      <c r="AO291" s="302"/>
      <c r="AP291" s="301"/>
      <c r="AQ291" s="301"/>
      <c r="AR291" s="301"/>
      <c r="AS291" s="301"/>
      <c r="AT291" s="301"/>
      <c r="AU291" s="301"/>
      <c r="AV291" s="301"/>
      <c r="AW291" s="301"/>
      <c r="AX291" s="301"/>
      <c r="AY291" s="301"/>
      <c r="AZ291" s="301"/>
      <c r="BA291" s="301"/>
      <c r="BB291" s="301"/>
      <c r="BC291" s="301">
        <v>3000000</v>
      </c>
      <c r="BD291" s="301"/>
      <c r="BE291" s="301">
        <v>2000000</v>
      </c>
      <c r="BF291" s="301"/>
      <c r="BG291" s="303"/>
      <c r="BH291" s="304"/>
    </row>
    <row r="292" spans="1:60" s="305" customFormat="1" ht="16.5" hidden="1" customHeight="1" x14ac:dyDescent="0.4">
      <c r="A292" s="285">
        <v>269</v>
      </c>
      <c r="B292" s="286"/>
      <c r="C292" s="286"/>
      <c r="D292" s="287" t="s">
        <v>92</v>
      </c>
      <c r="E292" s="287" t="s">
        <v>102</v>
      </c>
      <c r="F292" s="288" t="s">
        <v>92</v>
      </c>
      <c r="G292" s="289" t="s">
        <v>196</v>
      </c>
      <c r="H292" s="307"/>
      <c r="I292" s="290"/>
      <c r="J292" s="291" t="s">
        <v>485</v>
      </c>
      <c r="K292" s="287"/>
      <c r="L292" s="287"/>
      <c r="M292" s="287">
        <v>23770</v>
      </c>
      <c r="N292" s="287" t="s">
        <v>40</v>
      </c>
      <c r="O292" s="287" t="s">
        <v>43</v>
      </c>
      <c r="P292" s="287" t="s">
        <v>44</v>
      </c>
      <c r="Q292" s="287"/>
      <c r="R292" s="287" t="s">
        <v>339</v>
      </c>
      <c r="S292" s="292" t="s">
        <v>746</v>
      </c>
      <c r="T292" s="293"/>
      <c r="U292" s="294"/>
      <c r="V292" s="294"/>
      <c r="W292" s="295">
        <v>1646340</v>
      </c>
      <c r="X292" s="296"/>
      <c r="Y292" s="287" t="s">
        <v>28</v>
      </c>
      <c r="Z292" s="297" t="s">
        <v>56</v>
      </c>
      <c r="AA292" s="313"/>
      <c r="AB292" s="313"/>
      <c r="AC292" s="298">
        <f t="shared" si="12"/>
        <v>0</v>
      </c>
      <c r="AD292" s="298">
        <v>0</v>
      </c>
      <c r="AE292" s="298">
        <f t="shared" si="13"/>
        <v>0</v>
      </c>
      <c r="AF292" s="299"/>
      <c r="AG292" s="300"/>
      <c r="AH292" s="299"/>
      <c r="AI292" s="299"/>
      <c r="AJ292" s="300"/>
      <c r="AK292" s="299"/>
      <c r="AL292" s="301"/>
      <c r="AM292" s="314"/>
      <c r="AN292" s="301"/>
      <c r="AO292" s="302"/>
      <c r="AP292" s="301"/>
      <c r="AQ292" s="301"/>
      <c r="AR292" s="301"/>
      <c r="AS292" s="301"/>
      <c r="AT292" s="301"/>
      <c r="AU292" s="301"/>
      <c r="AV292" s="301"/>
      <c r="AW292" s="301"/>
      <c r="AX292" s="301"/>
      <c r="AY292" s="301"/>
      <c r="AZ292" s="301"/>
      <c r="BA292" s="301"/>
      <c r="BB292" s="301"/>
      <c r="BC292" s="301"/>
      <c r="BD292" s="301"/>
      <c r="BE292" s="301"/>
      <c r="BF292" s="301"/>
      <c r="BG292" s="303"/>
      <c r="BH292" s="304"/>
    </row>
    <row r="293" spans="1:60" s="305" customFormat="1" ht="16.5" hidden="1" customHeight="1" x14ac:dyDescent="0.4">
      <c r="A293" s="285">
        <v>270</v>
      </c>
      <c r="B293" s="286"/>
      <c r="C293" s="286"/>
      <c r="D293" s="287" t="s">
        <v>92</v>
      </c>
      <c r="E293" s="287" t="s">
        <v>102</v>
      </c>
      <c r="F293" s="288" t="s">
        <v>92</v>
      </c>
      <c r="G293" s="289" t="s">
        <v>196</v>
      </c>
      <c r="H293" s="307"/>
      <c r="I293" s="290"/>
      <c r="J293" s="291" t="s">
        <v>485</v>
      </c>
      <c r="K293" s="287"/>
      <c r="L293" s="287"/>
      <c r="M293" s="287">
        <v>23770</v>
      </c>
      <c r="N293" s="287" t="s">
        <v>40</v>
      </c>
      <c r="O293" s="287" t="s">
        <v>43</v>
      </c>
      <c r="P293" s="287" t="s">
        <v>44</v>
      </c>
      <c r="Q293" s="287" t="s">
        <v>46</v>
      </c>
      <c r="R293" s="287" t="s">
        <v>347</v>
      </c>
      <c r="S293" s="292" t="s">
        <v>750</v>
      </c>
      <c r="T293" s="293"/>
      <c r="U293" s="294">
        <v>2420000</v>
      </c>
      <c r="V293" s="294">
        <v>0</v>
      </c>
      <c r="W293" s="295"/>
      <c r="X293" s="296"/>
      <c r="Y293" s="287" t="s">
        <v>22</v>
      </c>
      <c r="Z293" s="297" t="s">
        <v>56</v>
      </c>
      <c r="AA293" s="313"/>
      <c r="AB293" s="313"/>
      <c r="AC293" s="298">
        <f t="shared" si="12"/>
        <v>0</v>
      </c>
      <c r="AD293" s="298">
        <v>0</v>
      </c>
      <c r="AE293" s="298">
        <f t="shared" si="13"/>
        <v>0</v>
      </c>
      <c r="AF293" s="299"/>
      <c r="AG293" s="300"/>
      <c r="AH293" s="299"/>
      <c r="AI293" s="299"/>
      <c r="AJ293" s="300"/>
      <c r="AK293" s="299"/>
      <c r="AL293" s="301"/>
      <c r="AM293" s="314"/>
      <c r="AN293" s="301"/>
      <c r="AO293" s="302"/>
      <c r="AP293" s="301"/>
      <c r="AQ293" s="301"/>
      <c r="AR293" s="301"/>
      <c r="AS293" s="301"/>
      <c r="AT293" s="301"/>
      <c r="AU293" s="301"/>
      <c r="AV293" s="301"/>
      <c r="AW293" s="301"/>
      <c r="AX293" s="301"/>
      <c r="AY293" s="301"/>
      <c r="AZ293" s="301"/>
      <c r="BA293" s="301"/>
      <c r="BB293" s="301"/>
      <c r="BC293" s="301"/>
      <c r="BD293" s="301"/>
      <c r="BE293" s="301"/>
      <c r="BF293" s="301"/>
      <c r="BG293" s="303"/>
      <c r="BH293" s="304"/>
    </row>
    <row r="294" spans="1:60" s="305" customFormat="1" ht="16.5" hidden="1" customHeight="1" x14ac:dyDescent="0.4">
      <c r="A294" s="285">
        <v>271</v>
      </c>
      <c r="B294" s="286"/>
      <c r="C294" s="286"/>
      <c r="D294" s="287" t="s">
        <v>92</v>
      </c>
      <c r="E294" s="287" t="s">
        <v>102</v>
      </c>
      <c r="F294" s="288" t="s">
        <v>92</v>
      </c>
      <c r="G294" s="289" t="s">
        <v>196</v>
      </c>
      <c r="H294" s="307"/>
      <c r="I294" s="290"/>
      <c r="J294" s="291" t="s">
        <v>432</v>
      </c>
      <c r="K294" s="287"/>
      <c r="L294" s="287"/>
      <c r="M294" s="287">
        <v>60404</v>
      </c>
      <c r="N294" s="287" t="s">
        <v>40</v>
      </c>
      <c r="O294" s="287" t="s">
        <v>43</v>
      </c>
      <c r="P294" s="287" t="s">
        <v>44</v>
      </c>
      <c r="Q294" s="287" t="s">
        <v>48</v>
      </c>
      <c r="R294" s="287" t="s">
        <v>685</v>
      </c>
      <c r="S294" s="292" t="s">
        <v>743</v>
      </c>
      <c r="T294" s="293"/>
      <c r="U294" s="294">
        <v>2660000</v>
      </c>
      <c r="V294" s="294">
        <v>1400000</v>
      </c>
      <c r="W294" s="295"/>
      <c r="X294" s="296"/>
      <c r="Y294" s="287" t="s">
        <v>21</v>
      </c>
      <c r="Z294" s="297" t="s">
        <v>544</v>
      </c>
      <c r="AA294" s="313"/>
      <c r="AB294" s="313"/>
      <c r="AC294" s="298">
        <f t="shared" si="12"/>
        <v>0</v>
      </c>
      <c r="AD294" s="298">
        <v>0</v>
      </c>
      <c r="AE294" s="298">
        <f t="shared" si="13"/>
        <v>0</v>
      </c>
      <c r="AF294" s="299"/>
      <c r="AG294" s="300"/>
      <c r="AH294" s="299"/>
      <c r="AI294" s="299"/>
      <c r="AJ294" s="300"/>
      <c r="AK294" s="299"/>
      <c r="AL294" s="301"/>
      <c r="AM294" s="314"/>
      <c r="AN294" s="301"/>
      <c r="AO294" s="302"/>
      <c r="AP294" s="301"/>
      <c r="AQ294" s="301"/>
      <c r="AR294" s="301"/>
      <c r="AS294" s="301"/>
      <c r="AT294" s="301"/>
      <c r="AU294" s="301"/>
      <c r="AV294" s="301"/>
      <c r="AW294" s="301"/>
      <c r="AX294" s="301"/>
      <c r="AY294" s="301"/>
      <c r="AZ294" s="301"/>
      <c r="BA294" s="301"/>
      <c r="BB294" s="301"/>
      <c r="BC294" s="301"/>
      <c r="BD294" s="301"/>
      <c r="BE294" s="301"/>
      <c r="BF294" s="301"/>
      <c r="BG294" s="303"/>
      <c r="BH294" s="304"/>
    </row>
    <row r="295" spans="1:60" s="305" customFormat="1" ht="16.5" hidden="1" customHeight="1" x14ac:dyDescent="0.4">
      <c r="A295" s="285">
        <v>272</v>
      </c>
      <c r="B295" s="286"/>
      <c r="C295" s="286"/>
      <c r="D295" s="287" t="s">
        <v>92</v>
      </c>
      <c r="E295" s="287" t="s">
        <v>102</v>
      </c>
      <c r="F295" s="288" t="s">
        <v>92</v>
      </c>
      <c r="G295" s="289" t="s">
        <v>196</v>
      </c>
      <c r="H295" s="307"/>
      <c r="I295" s="290"/>
      <c r="J295" s="291" t="s">
        <v>565</v>
      </c>
      <c r="K295" s="287"/>
      <c r="L295" s="287"/>
      <c r="M295" s="287">
        <v>43116</v>
      </c>
      <c r="N295" s="287" t="s">
        <v>18</v>
      </c>
      <c r="O295" s="287" t="s">
        <v>43</v>
      </c>
      <c r="P295" s="287" t="s">
        <v>44</v>
      </c>
      <c r="Q295" s="287"/>
      <c r="R295" s="287" t="s">
        <v>339</v>
      </c>
      <c r="S295" s="292" t="s">
        <v>746</v>
      </c>
      <c r="T295" s="293"/>
      <c r="U295" s="294"/>
      <c r="V295" s="294"/>
      <c r="W295" s="295">
        <v>182928</v>
      </c>
      <c r="X295" s="296"/>
      <c r="Y295" s="287" t="s">
        <v>28</v>
      </c>
      <c r="Z295" s="297" t="s">
        <v>544</v>
      </c>
      <c r="AA295" s="313"/>
      <c r="AB295" s="313"/>
      <c r="AC295" s="298">
        <f t="shared" si="12"/>
        <v>0</v>
      </c>
      <c r="AD295" s="298">
        <v>0</v>
      </c>
      <c r="AE295" s="298">
        <f t="shared" si="13"/>
        <v>0</v>
      </c>
      <c r="AF295" s="299"/>
      <c r="AG295" s="300"/>
      <c r="AH295" s="299"/>
      <c r="AI295" s="299"/>
      <c r="AJ295" s="300"/>
      <c r="AK295" s="299"/>
      <c r="AL295" s="301"/>
      <c r="AM295" s="314"/>
      <c r="AN295" s="301"/>
      <c r="AO295" s="302"/>
      <c r="AP295" s="301"/>
      <c r="AQ295" s="301"/>
      <c r="AR295" s="301"/>
      <c r="AS295" s="301"/>
      <c r="AT295" s="301"/>
      <c r="AU295" s="301"/>
      <c r="AV295" s="301"/>
      <c r="AW295" s="301"/>
      <c r="AX295" s="301"/>
      <c r="AY295" s="301"/>
      <c r="AZ295" s="301"/>
      <c r="BA295" s="301"/>
      <c r="BB295" s="301"/>
      <c r="BC295" s="301"/>
      <c r="BD295" s="301"/>
      <c r="BE295" s="301"/>
      <c r="BF295" s="301"/>
      <c r="BG295" s="303"/>
      <c r="BH295" s="304"/>
    </row>
    <row r="296" spans="1:60" s="305" customFormat="1" ht="16.5" hidden="1" customHeight="1" x14ac:dyDescent="0.4">
      <c r="A296" s="285">
        <v>273</v>
      </c>
      <c r="B296" s="286"/>
      <c r="C296" s="286"/>
      <c r="D296" s="287" t="s">
        <v>92</v>
      </c>
      <c r="E296" s="287" t="s">
        <v>102</v>
      </c>
      <c r="F296" s="288" t="s">
        <v>92</v>
      </c>
      <c r="G296" s="289" t="s">
        <v>196</v>
      </c>
      <c r="H296" s="307"/>
      <c r="I296" s="290"/>
      <c r="J296" s="291" t="s">
        <v>507</v>
      </c>
      <c r="K296" s="287"/>
      <c r="L296" s="287"/>
      <c r="M296" s="287">
        <v>50670</v>
      </c>
      <c r="N296" s="287" t="s">
        <v>18</v>
      </c>
      <c r="O296" s="287" t="s">
        <v>43</v>
      </c>
      <c r="P296" s="287" t="s">
        <v>44</v>
      </c>
      <c r="Q296" s="287" t="s">
        <v>30</v>
      </c>
      <c r="R296" s="287" t="s">
        <v>31</v>
      </c>
      <c r="S296" s="292" t="s">
        <v>31</v>
      </c>
      <c r="T296" s="293"/>
      <c r="U296" s="294">
        <v>4799000</v>
      </c>
      <c r="V296" s="294">
        <v>5075000</v>
      </c>
      <c r="W296" s="295">
        <v>4023000</v>
      </c>
      <c r="X296" s="296"/>
      <c r="Y296" s="287" t="s">
        <v>28</v>
      </c>
      <c r="Z296" s="297" t="s">
        <v>28</v>
      </c>
      <c r="AA296" s="313"/>
      <c r="AB296" s="313"/>
      <c r="AC296" s="298">
        <f t="shared" si="12"/>
        <v>592000</v>
      </c>
      <c r="AD296" s="298">
        <v>592000</v>
      </c>
      <c r="AE296" s="298">
        <f t="shared" si="13"/>
        <v>0</v>
      </c>
      <c r="AF296" s="299"/>
      <c r="AG296" s="300"/>
      <c r="AH296" s="299"/>
      <c r="AI296" s="299"/>
      <c r="AJ296" s="300"/>
      <c r="AK296" s="299"/>
      <c r="AL296" s="301"/>
      <c r="AM296" s="314">
        <v>592000</v>
      </c>
      <c r="AN296" s="301"/>
      <c r="AO296" s="302"/>
      <c r="AP296" s="301"/>
      <c r="AQ296" s="301"/>
      <c r="AR296" s="301"/>
      <c r="AS296" s="301"/>
      <c r="AT296" s="301"/>
      <c r="AU296" s="301"/>
      <c r="AV296" s="301"/>
      <c r="AW296" s="301"/>
      <c r="AX296" s="301"/>
      <c r="AY296" s="301"/>
      <c r="AZ296" s="301"/>
      <c r="BA296" s="301"/>
      <c r="BB296" s="301"/>
      <c r="BC296" s="301"/>
      <c r="BD296" s="301"/>
      <c r="BE296" s="301"/>
      <c r="BF296" s="301"/>
      <c r="BG296" s="303"/>
      <c r="BH296" s="304"/>
    </row>
    <row r="297" spans="1:60" s="305" customFormat="1" ht="16.5" hidden="1" customHeight="1" x14ac:dyDescent="0.4">
      <c r="A297" s="285">
        <v>274</v>
      </c>
      <c r="B297" s="286"/>
      <c r="C297" s="286"/>
      <c r="D297" s="287" t="s">
        <v>92</v>
      </c>
      <c r="E297" s="287" t="s">
        <v>102</v>
      </c>
      <c r="F297" s="288" t="s">
        <v>92</v>
      </c>
      <c r="G297" s="289" t="s">
        <v>196</v>
      </c>
      <c r="H297" s="307"/>
      <c r="I297" s="290"/>
      <c r="J297" s="291" t="s">
        <v>507</v>
      </c>
      <c r="K297" s="287"/>
      <c r="L297" s="287"/>
      <c r="M297" s="287">
        <v>50670</v>
      </c>
      <c r="N297" s="287" t="s">
        <v>18</v>
      </c>
      <c r="O297" s="287" t="s">
        <v>43</v>
      </c>
      <c r="P297" s="287" t="s">
        <v>44</v>
      </c>
      <c r="Q297" s="287" t="s">
        <v>30</v>
      </c>
      <c r="R297" s="287" t="s">
        <v>31</v>
      </c>
      <c r="S297" s="292" t="s">
        <v>31</v>
      </c>
      <c r="T297" s="293"/>
      <c r="U297" s="294">
        <v>4799000</v>
      </c>
      <c r="V297" s="294">
        <v>5075000</v>
      </c>
      <c r="W297" s="295">
        <v>4023000</v>
      </c>
      <c r="X297" s="296"/>
      <c r="Y297" s="287" t="s">
        <v>28</v>
      </c>
      <c r="Z297" s="297" t="s">
        <v>25</v>
      </c>
      <c r="AA297" s="313"/>
      <c r="AB297" s="313"/>
      <c r="AC297" s="298">
        <f t="shared" si="12"/>
        <v>5000000</v>
      </c>
      <c r="AD297" s="298">
        <v>5000000</v>
      </c>
      <c r="AE297" s="298">
        <f t="shared" si="13"/>
        <v>0</v>
      </c>
      <c r="AF297" s="299"/>
      <c r="AG297" s="300"/>
      <c r="AH297" s="299"/>
      <c r="AI297" s="299"/>
      <c r="AJ297" s="300"/>
      <c r="AK297" s="299"/>
      <c r="AL297" s="301"/>
      <c r="AM297" s="314"/>
      <c r="AN297" s="301"/>
      <c r="AO297" s="302"/>
      <c r="AP297" s="301"/>
      <c r="AQ297" s="301"/>
      <c r="AR297" s="301"/>
      <c r="AS297" s="301"/>
      <c r="AT297" s="301"/>
      <c r="AU297" s="301"/>
      <c r="AV297" s="301"/>
      <c r="AW297" s="301"/>
      <c r="AX297" s="301"/>
      <c r="AY297" s="301"/>
      <c r="AZ297" s="301"/>
      <c r="BA297" s="301"/>
      <c r="BB297" s="301"/>
      <c r="BC297" s="301"/>
      <c r="BD297" s="301"/>
      <c r="BE297" s="301">
        <v>5000000</v>
      </c>
      <c r="BF297" s="301"/>
      <c r="BG297" s="303"/>
      <c r="BH297" s="304"/>
    </row>
    <row r="298" spans="1:60" s="305" customFormat="1" ht="16.5" hidden="1" customHeight="1" x14ac:dyDescent="0.4">
      <c r="A298" s="285">
        <v>275</v>
      </c>
      <c r="B298" s="286"/>
      <c r="C298" s="286"/>
      <c r="D298" s="287" t="s">
        <v>92</v>
      </c>
      <c r="E298" s="287" t="s">
        <v>102</v>
      </c>
      <c r="F298" s="288" t="s">
        <v>92</v>
      </c>
      <c r="G298" s="289" t="s">
        <v>196</v>
      </c>
      <c r="H298" s="307"/>
      <c r="I298" s="290"/>
      <c r="J298" s="291" t="s">
        <v>507</v>
      </c>
      <c r="K298" s="287"/>
      <c r="L298" s="287"/>
      <c r="M298" s="287">
        <v>50670</v>
      </c>
      <c r="N298" s="287" t="s">
        <v>18</v>
      </c>
      <c r="O298" s="287" t="s">
        <v>43</v>
      </c>
      <c r="P298" s="287" t="s">
        <v>44</v>
      </c>
      <c r="Q298" s="287" t="s">
        <v>27</v>
      </c>
      <c r="R298" s="287" t="s">
        <v>340</v>
      </c>
      <c r="S298" s="292" t="s">
        <v>340</v>
      </c>
      <c r="T298" s="293"/>
      <c r="U298" s="294">
        <v>1920000</v>
      </c>
      <c r="V298" s="294">
        <v>0</v>
      </c>
      <c r="W298" s="295"/>
      <c r="X298" s="296"/>
      <c r="Y298" s="287" t="s">
        <v>22</v>
      </c>
      <c r="Z298" s="297" t="s">
        <v>544</v>
      </c>
      <c r="AA298" s="313"/>
      <c r="AB298" s="313"/>
      <c r="AC298" s="298">
        <f t="shared" si="12"/>
        <v>0</v>
      </c>
      <c r="AD298" s="298">
        <v>0</v>
      </c>
      <c r="AE298" s="298">
        <f t="shared" si="13"/>
        <v>0</v>
      </c>
      <c r="AF298" s="299"/>
      <c r="AG298" s="300"/>
      <c r="AH298" s="299"/>
      <c r="AI298" s="299"/>
      <c r="AJ298" s="300"/>
      <c r="AK298" s="299"/>
      <c r="AL298" s="301"/>
      <c r="AM298" s="314"/>
      <c r="AN298" s="301"/>
      <c r="AO298" s="302"/>
      <c r="AP298" s="301"/>
      <c r="AQ298" s="301"/>
      <c r="AR298" s="301"/>
      <c r="AS298" s="301"/>
      <c r="AT298" s="301"/>
      <c r="AU298" s="301"/>
      <c r="AV298" s="301"/>
      <c r="AW298" s="301"/>
      <c r="AX298" s="301"/>
      <c r="AY298" s="301"/>
      <c r="AZ298" s="301"/>
      <c r="BA298" s="301"/>
      <c r="BB298" s="301"/>
      <c r="BC298" s="301"/>
      <c r="BD298" s="301"/>
      <c r="BE298" s="301"/>
      <c r="BF298" s="301"/>
      <c r="BG298" s="303"/>
      <c r="BH298" s="304"/>
    </row>
    <row r="299" spans="1:60" s="305" customFormat="1" ht="16.5" hidden="1" customHeight="1" x14ac:dyDescent="0.4">
      <c r="A299" s="285">
        <v>276</v>
      </c>
      <c r="B299" s="286"/>
      <c r="C299" s="286"/>
      <c r="D299" s="287"/>
      <c r="E299" s="287"/>
      <c r="F299" s="288" t="s">
        <v>92</v>
      </c>
      <c r="G299" s="289" t="s">
        <v>196</v>
      </c>
      <c r="H299" s="307"/>
      <c r="I299" s="290"/>
      <c r="J299" s="291" t="s">
        <v>433</v>
      </c>
      <c r="K299" s="287"/>
      <c r="L299" s="287"/>
      <c r="M299" s="287">
        <v>60217</v>
      </c>
      <c r="N299" s="287" t="s">
        <v>18</v>
      </c>
      <c r="O299" s="287" t="s">
        <v>43</v>
      </c>
      <c r="P299" s="287" t="s">
        <v>44</v>
      </c>
      <c r="Q299" s="287" t="s">
        <v>48</v>
      </c>
      <c r="R299" s="287" t="s">
        <v>685</v>
      </c>
      <c r="S299" s="292" t="s">
        <v>743</v>
      </c>
      <c r="T299" s="293"/>
      <c r="U299" s="294">
        <v>4383960</v>
      </c>
      <c r="V299" s="294">
        <v>560000</v>
      </c>
      <c r="W299" s="295"/>
      <c r="X299" s="296"/>
      <c r="Y299" s="287" t="s">
        <v>21</v>
      </c>
      <c r="Z299" s="297" t="s">
        <v>544</v>
      </c>
      <c r="AA299" s="313"/>
      <c r="AB299" s="313"/>
      <c r="AC299" s="298">
        <f t="shared" si="12"/>
        <v>0</v>
      </c>
      <c r="AD299" s="298">
        <v>0</v>
      </c>
      <c r="AE299" s="298">
        <f t="shared" si="13"/>
        <v>0</v>
      </c>
      <c r="AF299" s="299"/>
      <c r="AG299" s="300"/>
      <c r="AH299" s="299"/>
      <c r="AI299" s="299"/>
      <c r="AJ299" s="300"/>
      <c r="AK299" s="299"/>
      <c r="AL299" s="301"/>
      <c r="AM299" s="314"/>
      <c r="AN299" s="301"/>
      <c r="AO299" s="302"/>
      <c r="AP299" s="301"/>
      <c r="AQ299" s="301"/>
      <c r="AR299" s="301"/>
      <c r="AS299" s="301"/>
      <c r="AT299" s="301"/>
      <c r="AU299" s="301"/>
      <c r="AV299" s="301"/>
      <c r="AW299" s="301"/>
      <c r="AX299" s="301"/>
      <c r="AY299" s="301"/>
      <c r="AZ299" s="301"/>
      <c r="BA299" s="301"/>
      <c r="BB299" s="301"/>
      <c r="BC299" s="301"/>
      <c r="BD299" s="301"/>
      <c r="BE299" s="301"/>
      <c r="BF299" s="301"/>
      <c r="BG299" s="303"/>
      <c r="BH299" s="304"/>
    </row>
    <row r="300" spans="1:60" s="305" customFormat="1" ht="16.5" hidden="1" customHeight="1" x14ac:dyDescent="0.4">
      <c r="A300" s="285">
        <v>277</v>
      </c>
      <c r="B300" s="286"/>
      <c r="C300" s="286"/>
      <c r="D300" s="287" t="s">
        <v>92</v>
      </c>
      <c r="E300" s="287" t="s">
        <v>102</v>
      </c>
      <c r="F300" s="288" t="s">
        <v>92</v>
      </c>
      <c r="G300" s="289" t="s">
        <v>196</v>
      </c>
      <c r="H300" s="307"/>
      <c r="I300" s="290"/>
      <c r="J300" s="291" t="s">
        <v>687</v>
      </c>
      <c r="K300" s="287"/>
      <c r="L300" s="287"/>
      <c r="M300" s="287">
        <v>63355</v>
      </c>
      <c r="N300" s="287" t="s">
        <v>18</v>
      </c>
      <c r="O300" s="287" t="s">
        <v>43</v>
      </c>
      <c r="P300" s="287"/>
      <c r="Q300" s="287"/>
      <c r="R300" s="287" t="s">
        <v>563</v>
      </c>
      <c r="S300" s="292" t="s">
        <v>739</v>
      </c>
      <c r="T300" s="293"/>
      <c r="U300" s="294"/>
      <c r="V300" s="294"/>
      <c r="W300" s="295">
        <v>6958000</v>
      </c>
      <c r="X300" s="296"/>
      <c r="Y300" s="287" t="s">
        <v>28</v>
      </c>
      <c r="Z300" s="297" t="s">
        <v>656</v>
      </c>
      <c r="AA300" s="313"/>
      <c r="AB300" s="313"/>
      <c r="AC300" s="298">
        <f t="shared" si="12"/>
        <v>0</v>
      </c>
      <c r="AD300" s="298">
        <v>0</v>
      </c>
      <c r="AE300" s="298">
        <f t="shared" si="13"/>
        <v>0</v>
      </c>
      <c r="AF300" s="299"/>
      <c r="AG300" s="300"/>
      <c r="AH300" s="299"/>
      <c r="AI300" s="299"/>
      <c r="AJ300" s="300"/>
      <c r="AK300" s="299"/>
      <c r="AL300" s="301"/>
      <c r="AM300" s="314"/>
      <c r="AN300" s="301"/>
      <c r="AO300" s="302"/>
      <c r="AP300" s="301"/>
      <c r="AQ300" s="301"/>
      <c r="AR300" s="301"/>
      <c r="AS300" s="301"/>
      <c r="AT300" s="301"/>
      <c r="AU300" s="301"/>
      <c r="AV300" s="301"/>
      <c r="AW300" s="301"/>
      <c r="AX300" s="301"/>
      <c r="AY300" s="301"/>
      <c r="AZ300" s="301"/>
      <c r="BA300" s="301"/>
      <c r="BB300" s="301"/>
      <c r="BC300" s="301"/>
      <c r="BD300" s="301"/>
      <c r="BE300" s="301"/>
      <c r="BF300" s="301"/>
      <c r="BG300" s="303"/>
      <c r="BH300" s="304"/>
    </row>
    <row r="301" spans="1:60" s="305" customFormat="1" ht="16.5" hidden="1" customHeight="1" x14ac:dyDescent="0.4">
      <c r="A301" s="285">
        <v>278</v>
      </c>
      <c r="B301" s="286"/>
      <c r="C301" s="286"/>
      <c r="D301" s="287" t="s">
        <v>92</v>
      </c>
      <c r="E301" s="287" t="s">
        <v>102</v>
      </c>
      <c r="F301" s="288" t="s">
        <v>92</v>
      </c>
      <c r="G301" s="289" t="s">
        <v>196</v>
      </c>
      <c r="H301" s="307"/>
      <c r="I301" s="290"/>
      <c r="J301" s="291" t="s">
        <v>564</v>
      </c>
      <c r="K301" s="287"/>
      <c r="L301" s="287"/>
      <c r="M301" s="287">
        <v>46437</v>
      </c>
      <c r="N301" s="287" t="s">
        <v>18</v>
      </c>
      <c r="O301" s="287" t="s">
        <v>43</v>
      </c>
      <c r="P301" s="287"/>
      <c r="Q301" s="287"/>
      <c r="R301" s="287"/>
      <c r="S301" s="292" t="s">
        <v>31</v>
      </c>
      <c r="T301" s="293"/>
      <c r="U301" s="294"/>
      <c r="V301" s="294"/>
      <c r="W301" s="295">
        <v>2650000</v>
      </c>
      <c r="X301" s="296"/>
      <c r="Y301" s="287"/>
      <c r="Z301" s="297" t="s">
        <v>656</v>
      </c>
      <c r="AA301" s="313"/>
      <c r="AB301" s="313"/>
      <c r="AC301" s="298">
        <f t="shared" si="12"/>
        <v>0</v>
      </c>
      <c r="AD301" s="298">
        <v>0</v>
      </c>
      <c r="AE301" s="298">
        <f t="shared" si="13"/>
        <v>0</v>
      </c>
      <c r="AF301" s="299"/>
      <c r="AG301" s="300"/>
      <c r="AH301" s="299"/>
      <c r="AI301" s="299"/>
      <c r="AJ301" s="300"/>
      <c r="AK301" s="299"/>
      <c r="AL301" s="301"/>
      <c r="AM301" s="314"/>
      <c r="AN301" s="301"/>
      <c r="AO301" s="302"/>
      <c r="AP301" s="301"/>
      <c r="AQ301" s="301"/>
      <c r="AR301" s="301"/>
      <c r="AS301" s="301"/>
      <c r="AT301" s="301"/>
      <c r="AU301" s="301"/>
      <c r="AV301" s="301"/>
      <c r="AW301" s="301"/>
      <c r="AX301" s="301"/>
      <c r="AY301" s="301"/>
      <c r="AZ301" s="301"/>
      <c r="BA301" s="301"/>
      <c r="BB301" s="301"/>
      <c r="BC301" s="301"/>
      <c r="BD301" s="301"/>
      <c r="BE301" s="301"/>
      <c r="BF301" s="301"/>
      <c r="BG301" s="303"/>
      <c r="BH301" s="304"/>
    </row>
    <row r="302" spans="1:60" s="305" customFormat="1" ht="16.5" hidden="1" customHeight="1" x14ac:dyDescent="0.4">
      <c r="A302" s="285">
        <v>279</v>
      </c>
      <c r="B302" s="286"/>
      <c r="C302" s="286"/>
      <c r="D302" s="287" t="s">
        <v>92</v>
      </c>
      <c r="E302" s="287" t="s">
        <v>102</v>
      </c>
      <c r="F302" s="288" t="s">
        <v>92</v>
      </c>
      <c r="G302" s="289" t="s">
        <v>196</v>
      </c>
      <c r="H302" s="307"/>
      <c r="I302" s="290"/>
      <c r="J302" s="291" t="s">
        <v>564</v>
      </c>
      <c r="K302" s="287"/>
      <c r="L302" s="287"/>
      <c r="M302" s="287">
        <v>46437</v>
      </c>
      <c r="N302" s="287" t="s">
        <v>18</v>
      </c>
      <c r="O302" s="287" t="s">
        <v>43</v>
      </c>
      <c r="P302" s="287" t="s">
        <v>44</v>
      </c>
      <c r="Q302" s="287"/>
      <c r="R302" s="287" t="s">
        <v>339</v>
      </c>
      <c r="S302" s="292" t="s">
        <v>746</v>
      </c>
      <c r="T302" s="293"/>
      <c r="U302" s="294"/>
      <c r="V302" s="294"/>
      <c r="W302" s="295">
        <v>1807830</v>
      </c>
      <c r="X302" s="296"/>
      <c r="Y302" s="287" t="s">
        <v>28</v>
      </c>
      <c r="Z302" s="297" t="s">
        <v>544</v>
      </c>
      <c r="AA302" s="313"/>
      <c r="AB302" s="313"/>
      <c r="AC302" s="298">
        <f t="shared" si="12"/>
        <v>0</v>
      </c>
      <c r="AD302" s="298">
        <v>0</v>
      </c>
      <c r="AE302" s="298">
        <f t="shared" si="13"/>
        <v>0</v>
      </c>
      <c r="AF302" s="299"/>
      <c r="AG302" s="300"/>
      <c r="AH302" s="299"/>
      <c r="AI302" s="299"/>
      <c r="AJ302" s="300"/>
      <c r="AK302" s="299"/>
      <c r="AL302" s="301"/>
      <c r="AM302" s="314"/>
      <c r="AN302" s="301"/>
      <c r="AO302" s="302"/>
      <c r="AP302" s="301"/>
      <c r="AQ302" s="301"/>
      <c r="AR302" s="301"/>
      <c r="AS302" s="301"/>
      <c r="AT302" s="301"/>
      <c r="AU302" s="301"/>
      <c r="AV302" s="301"/>
      <c r="AW302" s="301"/>
      <c r="AX302" s="301"/>
      <c r="AY302" s="301"/>
      <c r="AZ302" s="301"/>
      <c r="BA302" s="301"/>
      <c r="BB302" s="301"/>
      <c r="BC302" s="301"/>
      <c r="BD302" s="301"/>
      <c r="BE302" s="301"/>
      <c r="BF302" s="301"/>
      <c r="BG302" s="303"/>
      <c r="BH302" s="304"/>
    </row>
    <row r="303" spans="1:60" s="305" customFormat="1" ht="16.5" hidden="1" customHeight="1" x14ac:dyDescent="0.4">
      <c r="A303" s="285">
        <v>280</v>
      </c>
      <c r="B303" s="286"/>
      <c r="C303" s="286"/>
      <c r="D303" s="287" t="s">
        <v>92</v>
      </c>
      <c r="E303" s="287" t="s">
        <v>102</v>
      </c>
      <c r="F303" s="288" t="s">
        <v>92</v>
      </c>
      <c r="G303" s="289" t="s">
        <v>196</v>
      </c>
      <c r="H303" s="307"/>
      <c r="I303" s="290"/>
      <c r="J303" s="291" t="s">
        <v>434</v>
      </c>
      <c r="K303" s="287"/>
      <c r="L303" s="287"/>
      <c r="M303" s="287">
        <v>60406</v>
      </c>
      <c r="N303" s="287" t="s">
        <v>18</v>
      </c>
      <c r="O303" s="287" t="s">
        <v>43</v>
      </c>
      <c r="P303" s="287"/>
      <c r="Q303" s="287" t="s">
        <v>48</v>
      </c>
      <c r="R303" s="287" t="s">
        <v>685</v>
      </c>
      <c r="S303" s="292" t="s">
        <v>743</v>
      </c>
      <c r="T303" s="293"/>
      <c r="U303" s="294">
        <v>2100000</v>
      </c>
      <c r="V303" s="294">
        <v>420000</v>
      </c>
      <c r="W303" s="295"/>
      <c r="X303" s="296"/>
      <c r="Y303" s="287" t="s">
        <v>22</v>
      </c>
      <c r="Z303" s="297" t="s">
        <v>544</v>
      </c>
      <c r="AA303" s="313"/>
      <c r="AB303" s="313"/>
      <c r="AC303" s="298">
        <f t="shared" si="12"/>
        <v>0</v>
      </c>
      <c r="AD303" s="298">
        <v>0</v>
      </c>
      <c r="AE303" s="298">
        <f t="shared" si="13"/>
        <v>0</v>
      </c>
      <c r="AF303" s="299"/>
      <c r="AG303" s="300"/>
      <c r="AH303" s="299"/>
      <c r="AI303" s="299"/>
      <c r="AJ303" s="300"/>
      <c r="AK303" s="299"/>
      <c r="AL303" s="301"/>
      <c r="AM303" s="314"/>
      <c r="AN303" s="301"/>
      <c r="AO303" s="302"/>
      <c r="AP303" s="301"/>
      <c r="AQ303" s="301"/>
      <c r="AR303" s="301"/>
      <c r="AS303" s="301"/>
      <c r="AT303" s="301"/>
      <c r="AU303" s="301"/>
      <c r="AV303" s="301"/>
      <c r="AW303" s="301"/>
      <c r="AX303" s="301"/>
      <c r="AY303" s="301"/>
      <c r="AZ303" s="301"/>
      <c r="BA303" s="301"/>
      <c r="BB303" s="301"/>
      <c r="BC303" s="301"/>
      <c r="BD303" s="301"/>
      <c r="BE303" s="301"/>
      <c r="BF303" s="301"/>
      <c r="BG303" s="303"/>
      <c r="BH303" s="304"/>
    </row>
    <row r="304" spans="1:60" s="305" customFormat="1" ht="16.5" hidden="1" customHeight="1" x14ac:dyDescent="0.4">
      <c r="A304" s="285">
        <v>281</v>
      </c>
      <c r="B304" s="286"/>
      <c r="C304" s="286"/>
      <c r="D304" s="287" t="s">
        <v>92</v>
      </c>
      <c r="E304" s="287" t="s">
        <v>102</v>
      </c>
      <c r="F304" s="288" t="s">
        <v>92</v>
      </c>
      <c r="G304" s="289" t="s">
        <v>196</v>
      </c>
      <c r="H304" s="307"/>
      <c r="I304" s="290"/>
      <c r="J304" s="291" t="s">
        <v>670</v>
      </c>
      <c r="K304" s="287"/>
      <c r="L304" s="287"/>
      <c r="M304" s="287">
        <v>61038</v>
      </c>
      <c r="N304" s="287" t="s">
        <v>18</v>
      </c>
      <c r="O304" s="287" t="s">
        <v>43</v>
      </c>
      <c r="P304" s="287"/>
      <c r="Q304" s="287" t="s">
        <v>30</v>
      </c>
      <c r="R304" s="287" t="s">
        <v>31</v>
      </c>
      <c r="S304" s="292" t="s">
        <v>31</v>
      </c>
      <c r="T304" s="293"/>
      <c r="U304" s="294" t="s">
        <v>97</v>
      </c>
      <c r="V304" s="294">
        <v>672000</v>
      </c>
      <c r="W304" s="295"/>
      <c r="X304" s="296"/>
      <c r="Y304" s="287" t="s">
        <v>21</v>
      </c>
      <c r="Z304" s="297" t="s">
        <v>56</v>
      </c>
      <c r="AA304" s="313"/>
      <c r="AB304" s="313"/>
      <c r="AC304" s="298">
        <f t="shared" si="12"/>
        <v>1000000</v>
      </c>
      <c r="AD304" s="298">
        <v>1000000</v>
      </c>
      <c r="AE304" s="298">
        <f t="shared" si="13"/>
        <v>0</v>
      </c>
      <c r="AF304" s="299"/>
      <c r="AG304" s="300"/>
      <c r="AH304" s="299"/>
      <c r="AI304" s="299"/>
      <c r="AJ304" s="300"/>
      <c r="AK304" s="299"/>
      <c r="AL304" s="301"/>
      <c r="AM304" s="314"/>
      <c r="AN304" s="301"/>
      <c r="AO304" s="302"/>
      <c r="AP304" s="301"/>
      <c r="AQ304" s="301"/>
      <c r="AR304" s="301"/>
      <c r="AS304" s="301"/>
      <c r="AT304" s="301"/>
      <c r="AU304" s="301"/>
      <c r="AV304" s="301"/>
      <c r="AW304" s="301"/>
      <c r="AX304" s="301"/>
      <c r="AY304" s="301"/>
      <c r="AZ304" s="301"/>
      <c r="BA304" s="301"/>
      <c r="BB304" s="301"/>
      <c r="BC304" s="301">
        <v>700000</v>
      </c>
      <c r="BD304" s="301"/>
      <c r="BE304" s="301">
        <v>300000</v>
      </c>
      <c r="BF304" s="301"/>
      <c r="BG304" s="303"/>
      <c r="BH304" s="304"/>
    </row>
    <row r="305" spans="1:60" s="305" customFormat="1" ht="16.5" hidden="1" customHeight="1" x14ac:dyDescent="0.4">
      <c r="A305" s="285">
        <v>282</v>
      </c>
      <c r="B305" s="286"/>
      <c r="C305" s="286"/>
      <c r="D305" s="287" t="s">
        <v>92</v>
      </c>
      <c r="E305" s="287" t="s">
        <v>196</v>
      </c>
      <c r="F305" s="288" t="s">
        <v>92</v>
      </c>
      <c r="G305" s="289" t="s">
        <v>196</v>
      </c>
      <c r="H305" s="307"/>
      <c r="I305" s="290"/>
      <c r="J305" s="291" t="s">
        <v>627</v>
      </c>
      <c r="K305" s="287"/>
      <c r="L305" s="287"/>
      <c r="M305" s="287">
        <v>50356</v>
      </c>
      <c r="N305" s="287" t="s">
        <v>18</v>
      </c>
      <c r="O305" s="287" t="s">
        <v>43</v>
      </c>
      <c r="P305" s="287" t="s">
        <v>44</v>
      </c>
      <c r="Q305" s="287" t="s">
        <v>30</v>
      </c>
      <c r="R305" s="287" t="s">
        <v>31</v>
      </c>
      <c r="S305" s="292" t="s">
        <v>31</v>
      </c>
      <c r="T305" s="293"/>
      <c r="U305" s="294">
        <v>4640000</v>
      </c>
      <c r="V305" s="294">
        <v>4449000</v>
      </c>
      <c r="W305" s="295">
        <v>6302000</v>
      </c>
      <c r="X305" s="296"/>
      <c r="Y305" s="287" t="s">
        <v>28</v>
      </c>
      <c r="Z305" s="297" t="s">
        <v>56</v>
      </c>
      <c r="AA305" s="313"/>
      <c r="AB305" s="313"/>
      <c r="AC305" s="298">
        <f t="shared" si="12"/>
        <v>4000000</v>
      </c>
      <c r="AD305" s="298">
        <v>4000000</v>
      </c>
      <c r="AE305" s="298">
        <f t="shared" si="13"/>
        <v>0</v>
      </c>
      <c r="AF305" s="299"/>
      <c r="AG305" s="300"/>
      <c r="AH305" s="299"/>
      <c r="AI305" s="299"/>
      <c r="AJ305" s="300"/>
      <c r="AK305" s="299"/>
      <c r="AL305" s="301">
        <v>1000000</v>
      </c>
      <c r="AM305" s="314"/>
      <c r="AN305" s="301"/>
      <c r="AO305" s="302"/>
      <c r="AP305" s="301"/>
      <c r="AQ305" s="301"/>
      <c r="AR305" s="301"/>
      <c r="AS305" s="301">
        <v>1000000</v>
      </c>
      <c r="AT305" s="301"/>
      <c r="AU305" s="301"/>
      <c r="AV305" s="301"/>
      <c r="AW305" s="301"/>
      <c r="AX305" s="301"/>
      <c r="AY305" s="301">
        <v>1000000</v>
      </c>
      <c r="AZ305" s="301"/>
      <c r="BA305" s="301"/>
      <c r="BB305" s="301"/>
      <c r="BC305" s="301"/>
      <c r="BD305" s="301"/>
      <c r="BE305" s="301">
        <v>2000000</v>
      </c>
      <c r="BF305" s="301"/>
      <c r="BG305" s="303"/>
      <c r="BH305" s="304"/>
    </row>
    <row r="306" spans="1:60" s="305" customFormat="1" ht="16.5" hidden="1" customHeight="1" x14ac:dyDescent="0.4">
      <c r="A306" s="285">
        <v>283</v>
      </c>
      <c r="B306" s="286"/>
      <c r="C306" s="286"/>
      <c r="D306" s="287" t="s">
        <v>92</v>
      </c>
      <c r="E306" s="287" t="s">
        <v>196</v>
      </c>
      <c r="F306" s="288" t="s">
        <v>92</v>
      </c>
      <c r="G306" s="289" t="s">
        <v>196</v>
      </c>
      <c r="H306" s="307"/>
      <c r="I306" s="290"/>
      <c r="J306" s="291" t="s">
        <v>435</v>
      </c>
      <c r="K306" s="287"/>
      <c r="L306" s="287"/>
      <c r="M306" s="287">
        <v>60408</v>
      </c>
      <c r="N306" s="287" t="s">
        <v>18</v>
      </c>
      <c r="O306" s="287" t="s">
        <v>43</v>
      </c>
      <c r="P306" s="287" t="s">
        <v>44</v>
      </c>
      <c r="Q306" s="287" t="s">
        <v>48</v>
      </c>
      <c r="R306" s="287" t="s">
        <v>685</v>
      </c>
      <c r="S306" s="292" t="s">
        <v>743</v>
      </c>
      <c r="T306" s="293"/>
      <c r="U306" s="294">
        <v>9240000</v>
      </c>
      <c r="V306" s="294">
        <v>1680000</v>
      </c>
      <c r="W306" s="295"/>
      <c r="X306" s="296"/>
      <c r="Y306" s="287" t="s">
        <v>21</v>
      </c>
      <c r="Z306" s="297" t="s">
        <v>544</v>
      </c>
      <c r="AA306" s="313"/>
      <c r="AB306" s="313"/>
      <c r="AC306" s="298">
        <f t="shared" si="12"/>
        <v>0</v>
      </c>
      <c r="AD306" s="298">
        <v>0</v>
      </c>
      <c r="AE306" s="298">
        <f t="shared" si="13"/>
        <v>0</v>
      </c>
      <c r="AF306" s="299"/>
      <c r="AG306" s="300"/>
      <c r="AH306" s="299"/>
      <c r="AI306" s="299"/>
      <c r="AJ306" s="300"/>
      <c r="AK306" s="299"/>
      <c r="AL306" s="301"/>
      <c r="AM306" s="314"/>
      <c r="AN306" s="301"/>
      <c r="AO306" s="302"/>
      <c r="AP306" s="301"/>
      <c r="AQ306" s="301"/>
      <c r="AR306" s="301"/>
      <c r="AS306" s="301"/>
      <c r="AT306" s="301"/>
      <c r="AU306" s="301"/>
      <c r="AV306" s="301"/>
      <c r="AW306" s="301"/>
      <c r="AX306" s="301"/>
      <c r="AY306" s="301"/>
      <c r="AZ306" s="301"/>
      <c r="BA306" s="301"/>
      <c r="BB306" s="301"/>
      <c r="BC306" s="301"/>
      <c r="BD306" s="301"/>
      <c r="BE306" s="301"/>
      <c r="BF306" s="301"/>
      <c r="BG306" s="303"/>
      <c r="BH306" s="304"/>
    </row>
    <row r="307" spans="1:60" s="305" customFormat="1" ht="16.5" hidden="1" customHeight="1" x14ac:dyDescent="0.4">
      <c r="A307" s="285">
        <v>284</v>
      </c>
      <c r="B307" s="286"/>
      <c r="C307" s="286"/>
      <c r="D307" s="287"/>
      <c r="E307" s="287"/>
      <c r="F307" s="288" t="s">
        <v>92</v>
      </c>
      <c r="G307" s="289" t="s">
        <v>229</v>
      </c>
      <c r="H307" s="307"/>
      <c r="I307" s="290"/>
      <c r="J307" s="291" t="s">
        <v>773</v>
      </c>
      <c r="K307" s="287"/>
      <c r="L307" s="287"/>
      <c r="M307" s="287">
        <v>28575</v>
      </c>
      <c r="N307" s="287" t="s">
        <v>23</v>
      </c>
      <c r="O307" s="287"/>
      <c r="P307" s="287"/>
      <c r="Q307" s="287"/>
      <c r="R307" s="287"/>
      <c r="S307" s="292" t="s">
        <v>20</v>
      </c>
      <c r="T307" s="293"/>
      <c r="U307" s="294"/>
      <c r="V307" s="294"/>
      <c r="W307" s="295">
        <v>21708000</v>
      </c>
      <c r="X307" s="296"/>
      <c r="Y307" s="287"/>
      <c r="Z307" s="297" t="s">
        <v>656</v>
      </c>
      <c r="AA307" s="313"/>
      <c r="AB307" s="313"/>
      <c r="AC307" s="298">
        <f t="shared" si="12"/>
        <v>0</v>
      </c>
      <c r="AD307" s="298">
        <v>0</v>
      </c>
      <c r="AE307" s="298">
        <f t="shared" si="13"/>
        <v>0</v>
      </c>
      <c r="AF307" s="299"/>
      <c r="AG307" s="300"/>
      <c r="AH307" s="299"/>
      <c r="AI307" s="299"/>
      <c r="AJ307" s="300"/>
      <c r="AK307" s="299"/>
      <c r="AL307" s="301"/>
      <c r="AM307" s="314"/>
      <c r="AN307" s="301"/>
      <c r="AO307" s="302"/>
      <c r="AP307" s="301"/>
      <c r="AQ307" s="301"/>
      <c r="AR307" s="301"/>
      <c r="AS307" s="301"/>
      <c r="AT307" s="301"/>
      <c r="AU307" s="301"/>
      <c r="AV307" s="301"/>
      <c r="AW307" s="301"/>
      <c r="AX307" s="301"/>
      <c r="AY307" s="301"/>
      <c r="AZ307" s="301"/>
      <c r="BA307" s="301"/>
      <c r="BB307" s="301"/>
      <c r="BC307" s="301"/>
      <c r="BD307" s="301"/>
      <c r="BE307" s="301"/>
      <c r="BF307" s="301"/>
      <c r="BG307" s="303"/>
      <c r="BH307" s="304"/>
    </row>
    <row r="308" spans="1:60" s="305" customFormat="1" ht="16.5" hidden="1" customHeight="1" x14ac:dyDescent="0.4">
      <c r="A308" s="285">
        <v>285</v>
      </c>
      <c r="B308" s="286"/>
      <c r="C308" s="286"/>
      <c r="D308" s="287" t="s">
        <v>92</v>
      </c>
      <c r="E308" s="287" t="s">
        <v>235</v>
      </c>
      <c r="F308" s="288" t="s">
        <v>92</v>
      </c>
      <c r="G308" s="289" t="s">
        <v>858</v>
      </c>
      <c r="H308" s="307"/>
      <c r="I308" s="290"/>
      <c r="J308" s="291" t="s">
        <v>239</v>
      </c>
      <c r="K308" s="287"/>
      <c r="L308" s="287"/>
      <c r="M308" s="287">
        <v>42175</v>
      </c>
      <c r="N308" s="287" t="s">
        <v>18</v>
      </c>
      <c r="O308" s="287" t="s">
        <v>43</v>
      </c>
      <c r="P308" s="287" t="s">
        <v>44</v>
      </c>
      <c r="Q308" s="287" t="s">
        <v>19</v>
      </c>
      <c r="R308" s="287" t="s">
        <v>20</v>
      </c>
      <c r="S308" s="292" t="s">
        <v>20</v>
      </c>
      <c r="T308" s="293"/>
      <c r="U308" s="294">
        <v>332837636</v>
      </c>
      <c r="V308" s="294">
        <v>175410387</v>
      </c>
      <c r="W308" s="295">
        <v>5300000</v>
      </c>
      <c r="X308" s="296"/>
      <c r="Y308" s="287" t="s">
        <v>56</v>
      </c>
      <c r="Z308" s="297" t="s">
        <v>28</v>
      </c>
      <c r="AA308" s="313"/>
      <c r="AB308" s="313"/>
      <c r="AC308" s="298">
        <f t="shared" si="12"/>
        <v>6200000</v>
      </c>
      <c r="AD308" s="298">
        <v>6200000</v>
      </c>
      <c r="AE308" s="298">
        <f t="shared" si="13"/>
        <v>0</v>
      </c>
      <c r="AF308" s="299"/>
      <c r="AG308" s="300"/>
      <c r="AH308" s="299"/>
      <c r="AI308" s="299"/>
      <c r="AJ308" s="300"/>
      <c r="AK308" s="299"/>
      <c r="AL308" s="301"/>
      <c r="AM308" s="314"/>
      <c r="AN308" s="301"/>
      <c r="AO308" s="302"/>
      <c r="AP308" s="301"/>
      <c r="AQ308" s="301"/>
      <c r="AR308" s="301"/>
      <c r="AS308" s="301"/>
      <c r="AT308" s="301"/>
      <c r="AU308" s="301"/>
      <c r="AV308" s="301"/>
      <c r="AW308" s="301"/>
      <c r="AX308" s="301"/>
      <c r="AY308" s="301"/>
      <c r="AZ308" s="301"/>
      <c r="BA308" s="301">
        <v>0</v>
      </c>
      <c r="BB308" s="301"/>
      <c r="BC308" s="301"/>
      <c r="BD308" s="301"/>
      <c r="BE308" s="301">
        <v>6200000</v>
      </c>
      <c r="BF308" s="301"/>
      <c r="BG308" s="303"/>
      <c r="BH308" s="304"/>
    </row>
    <row r="309" spans="1:60" s="305" customFormat="1" ht="16.5" hidden="1" customHeight="1" x14ac:dyDescent="0.4">
      <c r="A309" s="285">
        <v>286</v>
      </c>
      <c r="B309" s="286"/>
      <c r="C309" s="286"/>
      <c r="D309" s="287" t="s">
        <v>92</v>
      </c>
      <c r="E309" s="287" t="s">
        <v>235</v>
      </c>
      <c r="F309" s="288" t="s">
        <v>92</v>
      </c>
      <c r="G309" s="289" t="s">
        <v>858</v>
      </c>
      <c r="H309" s="307"/>
      <c r="I309" s="290"/>
      <c r="J309" s="291" t="s">
        <v>239</v>
      </c>
      <c r="K309" s="287"/>
      <c r="L309" s="287"/>
      <c r="M309" s="287">
        <v>42175</v>
      </c>
      <c r="N309" s="287" t="s">
        <v>18</v>
      </c>
      <c r="O309" s="287" t="s">
        <v>43</v>
      </c>
      <c r="P309" s="287" t="s">
        <v>44</v>
      </c>
      <c r="Q309" s="287" t="s">
        <v>19</v>
      </c>
      <c r="R309" s="287" t="s">
        <v>340</v>
      </c>
      <c r="S309" s="292" t="s">
        <v>340</v>
      </c>
      <c r="T309" s="293"/>
      <c r="U309" s="294"/>
      <c r="V309" s="294">
        <v>42100000</v>
      </c>
      <c r="W309" s="295">
        <v>62713636</v>
      </c>
      <c r="X309" s="296"/>
      <c r="Y309" s="287" t="s">
        <v>28</v>
      </c>
      <c r="Z309" s="297" t="s">
        <v>28</v>
      </c>
      <c r="AA309" s="313"/>
      <c r="AB309" s="313"/>
      <c r="AC309" s="298">
        <f t="shared" si="12"/>
        <v>49000000</v>
      </c>
      <c r="AD309" s="298">
        <v>49000000</v>
      </c>
      <c r="AE309" s="298">
        <f t="shared" si="13"/>
        <v>0</v>
      </c>
      <c r="AF309" s="299"/>
      <c r="AG309" s="300"/>
      <c r="AH309" s="299"/>
      <c r="AI309" s="299"/>
      <c r="AJ309" s="300"/>
      <c r="AK309" s="299"/>
      <c r="AL309" s="301"/>
      <c r="AM309" s="314"/>
      <c r="AN309" s="301"/>
      <c r="AO309" s="302"/>
      <c r="AP309" s="301"/>
      <c r="AQ309" s="301"/>
      <c r="AR309" s="301"/>
      <c r="AS309" s="301"/>
      <c r="AT309" s="301"/>
      <c r="AU309" s="301"/>
      <c r="AV309" s="301"/>
      <c r="AW309" s="301"/>
      <c r="AX309" s="301"/>
      <c r="AY309" s="301"/>
      <c r="AZ309" s="301"/>
      <c r="BA309" s="301"/>
      <c r="BB309" s="301"/>
      <c r="BC309" s="301"/>
      <c r="BD309" s="301"/>
      <c r="BE309" s="301">
        <v>49000000</v>
      </c>
      <c r="BF309" s="301"/>
      <c r="BG309" s="303"/>
      <c r="BH309" s="304"/>
    </row>
    <row r="310" spans="1:60" s="305" customFormat="1" ht="16.5" hidden="1" customHeight="1" x14ac:dyDescent="0.4">
      <c r="A310" s="285">
        <v>287</v>
      </c>
      <c r="B310" s="286"/>
      <c r="C310" s="286"/>
      <c r="D310" s="287" t="s">
        <v>92</v>
      </c>
      <c r="E310" s="287" t="s">
        <v>229</v>
      </c>
      <c r="F310" s="288" t="s">
        <v>92</v>
      </c>
      <c r="G310" s="289" t="s">
        <v>229</v>
      </c>
      <c r="H310" s="307"/>
      <c r="I310" s="290"/>
      <c r="J310" s="291" t="s">
        <v>612</v>
      </c>
      <c r="K310" s="287"/>
      <c r="L310" s="287"/>
      <c r="M310" s="287">
        <v>63549</v>
      </c>
      <c r="N310" s="287" t="s">
        <v>23</v>
      </c>
      <c r="O310" s="287"/>
      <c r="P310" s="287"/>
      <c r="Q310" s="287"/>
      <c r="R310" s="287" t="s">
        <v>563</v>
      </c>
      <c r="S310" s="292" t="s">
        <v>739</v>
      </c>
      <c r="T310" s="293"/>
      <c r="U310" s="294"/>
      <c r="V310" s="294"/>
      <c r="W310" s="295">
        <v>2660000</v>
      </c>
      <c r="X310" s="296"/>
      <c r="Y310" s="287" t="s">
        <v>28</v>
      </c>
      <c r="Z310" s="297" t="s">
        <v>25</v>
      </c>
      <c r="AA310" s="313"/>
      <c r="AB310" s="313"/>
      <c r="AC310" s="298">
        <f t="shared" si="12"/>
        <v>0</v>
      </c>
      <c r="AD310" s="298">
        <v>0</v>
      </c>
      <c r="AE310" s="298">
        <f t="shared" si="13"/>
        <v>0</v>
      </c>
      <c r="AF310" s="299"/>
      <c r="AG310" s="300"/>
      <c r="AH310" s="299"/>
      <c r="AI310" s="299">
        <v>3000000</v>
      </c>
      <c r="AJ310" s="300"/>
      <c r="AK310" s="299"/>
      <c r="AL310" s="301"/>
      <c r="AM310" s="314"/>
      <c r="AN310" s="301"/>
      <c r="AO310" s="302"/>
      <c r="AP310" s="301"/>
      <c r="AQ310" s="301"/>
      <c r="AR310" s="301"/>
      <c r="AS310" s="301"/>
      <c r="AT310" s="301"/>
      <c r="AU310" s="301"/>
      <c r="AV310" s="301"/>
      <c r="AW310" s="301"/>
      <c r="AX310" s="301"/>
      <c r="AY310" s="301"/>
      <c r="AZ310" s="301"/>
      <c r="BA310" s="301"/>
      <c r="BB310" s="301"/>
      <c r="BC310" s="301"/>
      <c r="BD310" s="301"/>
      <c r="BE310" s="301"/>
      <c r="BF310" s="301"/>
      <c r="BG310" s="303"/>
      <c r="BH310" s="304"/>
    </row>
    <row r="311" spans="1:60" s="305" customFormat="1" ht="16.5" hidden="1" customHeight="1" x14ac:dyDescent="0.4">
      <c r="A311" s="285">
        <v>288</v>
      </c>
      <c r="B311" s="286"/>
      <c r="C311" s="286"/>
      <c r="D311" s="287" t="s">
        <v>92</v>
      </c>
      <c r="E311" s="287" t="s">
        <v>229</v>
      </c>
      <c r="F311" s="288" t="s">
        <v>92</v>
      </c>
      <c r="G311" s="289" t="s">
        <v>229</v>
      </c>
      <c r="H311" s="307"/>
      <c r="I311" s="290"/>
      <c r="J311" s="291" t="s">
        <v>489</v>
      </c>
      <c r="K311" s="287"/>
      <c r="L311" s="287"/>
      <c r="M311" s="287">
        <v>28179</v>
      </c>
      <c r="N311" s="287" t="s">
        <v>32</v>
      </c>
      <c r="O311" s="287" t="s">
        <v>43</v>
      </c>
      <c r="P311" s="287" t="s">
        <v>44</v>
      </c>
      <c r="Q311" s="287" t="s">
        <v>24</v>
      </c>
      <c r="R311" s="287" t="s">
        <v>221</v>
      </c>
      <c r="S311" s="292" t="s">
        <v>745</v>
      </c>
      <c r="T311" s="293"/>
      <c r="U311" s="294">
        <v>47025000</v>
      </c>
      <c r="V311" s="294">
        <v>90909091</v>
      </c>
      <c r="W311" s="295">
        <v>90909091</v>
      </c>
      <c r="X311" s="296"/>
      <c r="Y311" s="287" t="s">
        <v>28</v>
      </c>
      <c r="Z311" s="297" t="s">
        <v>28</v>
      </c>
      <c r="AA311" s="313"/>
      <c r="AB311" s="313"/>
      <c r="AC311" s="298">
        <f t="shared" si="12"/>
        <v>90909092</v>
      </c>
      <c r="AD311" s="298">
        <v>90909092</v>
      </c>
      <c r="AE311" s="298">
        <f t="shared" si="13"/>
        <v>0</v>
      </c>
      <c r="AF311" s="299">
        <v>54545455</v>
      </c>
      <c r="AG311" s="300">
        <v>54545455</v>
      </c>
      <c r="AH311" s="299"/>
      <c r="AI311" s="299"/>
      <c r="AJ311" s="300"/>
      <c r="AK311" s="299"/>
      <c r="AL311" s="301"/>
      <c r="AM311" s="314"/>
      <c r="AN311" s="301"/>
      <c r="AO311" s="302"/>
      <c r="AP311" s="301"/>
      <c r="AQ311" s="301"/>
      <c r="AR311" s="301"/>
      <c r="AS311" s="301"/>
      <c r="AT311" s="301"/>
      <c r="AU311" s="301"/>
      <c r="AV311" s="301"/>
      <c r="AW311" s="301"/>
      <c r="AX311" s="301"/>
      <c r="AY311" s="301"/>
      <c r="AZ311" s="301"/>
      <c r="BA311" s="301"/>
      <c r="BB311" s="301"/>
      <c r="BC311" s="301"/>
      <c r="BD311" s="301"/>
      <c r="BE311" s="301">
        <v>36363637</v>
      </c>
      <c r="BF311" s="301"/>
      <c r="BG311" s="303"/>
      <c r="BH311" s="304"/>
    </row>
    <row r="312" spans="1:60" s="305" customFormat="1" ht="16.5" hidden="1" customHeight="1" x14ac:dyDescent="0.4">
      <c r="A312" s="285">
        <v>289</v>
      </c>
      <c r="B312" s="286"/>
      <c r="C312" s="286"/>
      <c r="D312" s="287" t="s">
        <v>92</v>
      </c>
      <c r="E312" s="287" t="s">
        <v>229</v>
      </c>
      <c r="F312" s="288" t="s">
        <v>92</v>
      </c>
      <c r="G312" s="289" t="s">
        <v>229</v>
      </c>
      <c r="H312" s="307"/>
      <c r="I312" s="290"/>
      <c r="J312" s="291" t="s">
        <v>489</v>
      </c>
      <c r="K312" s="287"/>
      <c r="L312" s="287"/>
      <c r="M312" s="287">
        <v>28179</v>
      </c>
      <c r="N312" s="287" t="s">
        <v>32</v>
      </c>
      <c r="O312" s="287"/>
      <c r="P312" s="287"/>
      <c r="Q312" s="287" t="s">
        <v>34</v>
      </c>
      <c r="R312" s="287" t="s">
        <v>343</v>
      </c>
      <c r="S312" s="292" t="s">
        <v>748</v>
      </c>
      <c r="T312" s="293"/>
      <c r="U312" s="294">
        <v>90660600</v>
      </c>
      <c r="V312" s="294">
        <v>0</v>
      </c>
      <c r="W312" s="295"/>
      <c r="X312" s="296"/>
      <c r="Y312" s="287" t="s">
        <v>26</v>
      </c>
      <c r="Z312" s="297" t="s">
        <v>618</v>
      </c>
      <c r="AA312" s="313"/>
      <c r="AB312" s="313"/>
      <c r="AC312" s="298">
        <f t="shared" si="12"/>
        <v>0</v>
      </c>
      <c r="AD312" s="298">
        <v>0</v>
      </c>
      <c r="AE312" s="298">
        <f t="shared" si="13"/>
        <v>0</v>
      </c>
      <c r="AF312" s="299"/>
      <c r="AG312" s="300"/>
      <c r="AH312" s="299"/>
      <c r="AI312" s="299"/>
      <c r="AJ312" s="300"/>
      <c r="AK312" s="299"/>
      <c r="AL312" s="301"/>
      <c r="AM312" s="314"/>
      <c r="AN312" s="301"/>
      <c r="AO312" s="302"/>
      <c r="AP312" s="301"/>
      <c r="AQ312" s="301"/>
      <c r="AR312" s="301"/>
      <c r="AS312" s="301"/>
      <c r="AT312" s="301"/>
      <c r="AU312" s="301"/>
      <c r="AV312" s="301"/>
      <c r="AW312" s="301"/>
      <c r="AX312" s="301"/>
      <c r="AY312" s="301"/>
      <c r="AZ312" s="301"/>
      <c r="BA312" s="301"/>
      <c r="BB312" s="301"/>
      <c r="BC312" s="301"/>
      <c r="BD312" s="301"/>
      <c r="BE312" s="301"/>
      <c r="BF312" s="301"/>
      <c r="BG312" s="303"/>
      <c r="BH312" s="304"/>
    </row>
    <row r="313" spans="1:60" s="305" customFormat="1" ht="16.5" hidden="1" customHeight="1" x14ac:dyDescent="0.4">
      <c r="A313" s="285">
        <v>290</v>
      </c>
      <c r="B313" s="286"/>
      <c r="C313" s="286"/>
      <c r="D313" s="287"/>
      <c r="E313" s="287"/>
      <c r="F313" s="288" t="s">
        <v>92</v>
      </c>
      <c r="G313" s="289" t="s">
        <v>229</v>
      </c>
      <c r="H313" s="307"/>
      <c r="I313" s="290"/>
      <c r="J313" s="291" t="s">
        <v>775</v>
      </c>
      <c r="K313" s="287"/>
      <c r="L313" s="287"/>
      <c r="M313" s="287">
        <v>28179</v>
      </c>
      <c r="N313" s="287" t="s">
        <v>32</v>
      </c>
      <c r="O313" s="287"/>
      <c r="P313" s="287"/>
      <c r="Q313" s="287"/>
      <c r="R313" s="287"/>
      <c r="S313" s="292" t="s">
        <v>745</v>
      </c>
      <c r="T313" s="293"/>
      <c r="U313" s="294"/>
      <c r="V313" s="294"/>
      <c r="W313" s="295">
        <v>24545455</v>
      </c>
      <c r="X313" s="296"/>
      <c r="Y313" s="287"/>
      <c r="Z313" s="297" t="s">
        <v>656</v>
      </c>
      <c r="AA313" s="313"/>
      <c r="AB313" s="313"/>
      <c r="AC313" s="298">
        <f t="shared" si="12"/>
        <v>0</v>
      </c>
      <c r="AD313" s="298">
        <v>0</v>
      </c>
      <c r="AE313" s="298">
        <f t="shared" si="13"/>
        <v>0</v>
      </c>
      <c r="AF313" s="299"/>
      <c r="AG313" s="300"/>
      <c r="AH313" s="299"/>
      <c r="AI313" s="299"/>
      <c r="AJ313" s="300"/>
      <c r="AK313" s="299"/>
      <c r="AL313" s="301"/>
      <c r="AM313" s="314"/>
      <c r="AN313" s="301"/>
      <c r="AO313" s="302"/>
      <c r="AP313" s="301"/>
      <c r="AQ313" s="301"/>
      <c r="AR313" s="301"/>
      <c r="AS313" s="301"/>
      <c r="AT313" s="301"/>
      <c r="AU313" s="301"/>
      <c r="AV313" s="301"/>
      <c r="AW313" s="301"/>
      <c r="AX313" s="301"/>
      <c r="AY313" s="301"/>
      <c r="AZ313" s="301"/>
      <c r="BA313" s="301"/>
      <c r="BB313" s="301"/>
      <c r="BC313" s="301"/>
      <c r="BD313" s="301"/>
      <c r="BE313" s="301"/>
      <c r="BF313" s="301"/>
      <c r="BG313" s="303"/>
      <c r="BH313" s="304"/>
    </row>
    <row r="314" spans="1:60" s="305" customFormat="1" ht="16.5" hidden="1" customHeight="1" x14ac:dyDescent="0.4">
      <c r="A314" s="285">
        <v>291</v>
      </c>
      <c r="B314" s="286"/>
      <c r="C314" s="286"/>
      <c r="D314" s="287" t="s">
        <v>92</v>
      </c>
      <c r="E314" s="287" t="s">
        <v>229</v>
      </c>
      <c r="F314" s="288" t="s">
        <v>92</v>
      </c>
      <c r="G314" s="289" t="s">
        <v>229</v>
      </c>
      <c r="H314" s="307"/>
      <c r="I314" s="290"/>
      <c r="J314" s="291" t="s">
        <v>232</v>
      </c>
      <c r="K314" s="287"/>
      <c r="L314" s="287"/>
      <c r="M314" s="287">
        <v>4002</v>
      </c>
      <c r="N314" s="287" t="s">
        <v>23</v>
      </c>
      <c r="O314" s="287" t="s">
        <v>33</v>
      </c>
      <c r="P314" s="287" t="s">
        <v>44</v>
      </c>
      <c r="Q314" s="287" t="s">
        <v>19</v>
      </c>
      <c r="R314" s="287" t="s">
        <v>20</v>
      </c>
      <c r="S314" s="292" t="s">
        <v>20</v>
      </c>
      <c r="T314" s="293"/>
      <c r="U314" s="294">
        <v>100000</v>
      </c>
      <c r="V314" s="294">
        <v>0</v>
      </c>
      <c r="W314" s="295"/>
      <c r="X314" s="296"/>
      <c r="Y314" s="287" t="s">
        <v>26</v>
      </c>
      <c r="Z314" s="297" t="s">
        <v>26</v>
      </c>
      <c r="AA314" s="313"/>
      <c r="AB314" s="313"/>
      <c r="AC314" s="298">
        <f t="shared" si="12"/>
        <v>1000000</v>
      </c>
      <c r="AD314" s="298">
        <v>1000000</v>
      </c>
      <c r="AE314" s="298">
        <f t="shared" si="13"/>
        <v>0</v>
      </c>
      <c r="AF314" s="299"/>
      <c r="AG314" s="300"/>
      <c r="AH314" s="299"/>
      <c r="AI314" s="299"/>
      <c r="AJ314" s="300"/>
      <c r="AK314" s="299"/>
      <c r="AL314" s="301"/>
      <c r="AM314" s="314"/>
      <c r="AN314" s="301"/>
      <c r="AO314" s="302"/>
      <c r="AP314" s="301"/>
      <c r="AQ314" s="301"/>
      <c r="AR314" s="301"/>
      <c r="AS314" s="301">
        <v>1000000</v>
      </c>
      <c r="AT314" s="301"/>
      <c r="AU314" s="301"/>
      <c r="AV314" s="301"/>
      <c r="AW314" s="301"/>
      <c r="AX314" s="301"/>
      <c r="AY314" s="301"/>
      <c r="AZ314" s="301"/>
      <c r="BA314" s="301"/>
      <c r="BB314" s="301"/>
      <c r="BC314" s="301"/>
      <c r="BD314" s="301"/>
      <c r="BE314" s="301"/>
      <c r="BF314" s="301"/>
      <c r="BG314" s="303"/>
      <c r="BH314" s="304"/>
    </row>
    <row r="315" spans="1:60" s="305" customFormat="1" ht="16.5" hidden="1" customHeight="1" x14ac:dyDescent="0.4">
      <c r="A315" s="285">
        <v>292</v>
      </c>
      <c r="B315" s="286"/>
      <c r="C315" s="286"/>
      <c r="D315" s="287" t="s">
        <v>92</v>
      </c>
      <c r="E315" s="287" t="s">
        <v>229</v>
      </c>
      <c r="F315" s="288" t="s">
        <v>92</v>
      </c>
      <c r="G315" s="289" t="s">
        <v>229</v>
      </c>
      <c r="H315" s="307"/>
      <c r="I315" s="290"/>
      <c r="J315" s="291" t="s">
        <v>529</v>
      </c>
      <c r="K315" s="287"/>
      <c r="L315" s="287"/>
      <c r="M315" s="287">
        <v>9757</v>
      </c>
      <c r="N315" s="287" t="s">
        <v>32</v>
      </c>
      <c r="O315" s="287" t="s">
        <v>43</v>
      </c>
      <c r="P315" s="287" t="s">
        <v>44</v>
      </c>
      <c r="Q315" s="287" t="s">
        <v>36</v>
      </c>
      <c r="R315" s="287" t="s">
        <v>341</v>
      </c>
      <c r="S315" s="292" t="s">
        <v>341</v>
      </c>
      <c r="T315" s="293"/>
      <c r="U315" s="294"/>
      <c r="V315" s="294">
        <v>27909091</v>
      </c>
      <c r="W315" s="295"/>
      <c r="X315" s="296"/>
      <c r="Y315" s="287" t="s">
        <v>25</v>
      </c>
      <c r="Z315" s="297" t="s">
        <v>618</v>
      </c>
      <c r="AA315" s="313"/>
      <c r="AB315" s="313"/>
      <c r="AC315" s="298">
        <f t="shared" si="12"/>
        <v>0</v>
      </c>
      <c r="AD315" s="298">
        <v>0</v>
      </c>
      <c r="AE315" s="298">
        <f t="shared" si="13"/>
        <v>0</v>
      </c>
      <c r="AF315" s="299"/>
      <c r="AG315" s="300"/>
      <c r="AH315" s="299"/>
      <c r="AI315" s="299"/>
      <c r="AJ315" s="300"/>
      <c r="AK315" s="299"/>
      <c r="AL315" s="301"/>
      <c r="AM315" s="314"/>
      <c r="AN315" s="301"/>
      <c r="AO315" s="302"/>
      <c r="AP315" s="301"/>
      <c r="AQ315" s="301"/>
      <c r="AR315" s="301"/>
      <c r="AS315" s="301"/>
      <c r="AT315" s="301"/>
      <c r="AU315" s="301"/>
      <c r="AV315" s="301"/>
      <c r="AW315" s="301"/>
      <c r="AX315" s="301"/>
      <c r="AY315" s="301"/>
      <c r="AZ315" s="301"/>
      <c r="BA315" s="301"/>
      <c r="BB315" s="301"/>
      <c r="BC315" s="301"/>
      <c r="BD315" s="301"/>
      <c r="BE315" s="301"/>
      <c r="BF315" s="301"/>
      <c r="BG315" s="303"/>
      <c r="BH315" s="304"/>
    </row>
    <row r="316" spans="1:60" s="305" customFormat="1" ht="16.5" hidden="1" customHeight="1" x14ac:dyDescent="0.4">
      <c r="A316" s="285">
        <v>293</v>
      </c>
      <c r="B316" s="286"/>
      <c r="C316" s="286"/>
      <c r="D316" s="287" t="s">
        <v>92</v>
      </c>
      <c r="E316" s="287" t="s">
        <v>229</v>
      </c>
      <c r="F316" s="288" t="s">
        <v>92</v>
      </c>
      <c r="G316" s="289" t="s">
        <v>229</v>
      </c>
      <c r="H316" s="307"/>
      <c r="I316" s="290"/>
      <c r="J316" s="291" t="s">
        <v>529</v>
      </c>
      <c r="K316" s="287"/>
      <c r="L316" s="287"/>
      <c r="M316" s="287">
        <v>9757</v>
      </c>
      <c r="N316" s="287" t="s">
        <v>32</v>
      </c>
      <c r="O316" s="287"/>
      <c r="P316" s="287"/>
      <c r="Q316" s="287"/>
      <c r="R316" s="287" t="s">
        <v>340</v>
      </c>
      <c r="S316" s="292" t="s">
        <v>340</v>
      </c>
      <c r="T316" s="293"/>
      <c r="U316" s="294">
        <v>0</v>
      </c>
      <c r="V316" s="294">
        <v>0</v>
      </c>
      <c r="W316" s="295">
        <v>105240000</v>
      </c>
      <c r="X316" s="296"/>
      <c r="Y316" s="287" t="s">
        <v>28</v>
      </c>
      <c r="Z316" s="297" t="s">
        <v>56</v>
      </c>
      <c r="AA316" s="313"/>
      <c r="AB316" s="313"/>
      <c r="AC316" s="298">
        <f t="shared" si="12"/>
        <v>0</v>
      </c>
      <c r="AD316" s="298">
        <v>0</v>
      </c>
      <c r="AE316" s="298">
        <f t="shared" si="13"/>
        <v>0</v>
      </c>
      <c r="AF316" s="299"/>
      <c r="AG316" s="300"/>
      <c r="AH316" s="299"/>
      <c r="AI316" s="299">
        <v>500000000</v>
      </c>
      <c r="AJ316" s="300"/>
      <c r="AK316" s="299"/>
      <c r="AL316" s="301"/>
      <c r="AM316" s="314"/>
      <c r="AN316" s="301"/>
      <c r="AO316" s="302"/>
      <c r="AP316" s="301"/>
      <c r="AQ316" s="301"/>
      <c r="AR316" s="301"/>
      <c r="AS316" s="301"/>
      <c r="AT316" s="301"/>
      <c r="AU316" s="301"/>
      <c r="AV316" s="301"/>
      <c r="AW316" s="301"/>
      <c r="AX316" s="301"/>
      <c r="AY316" s="301"/>
      <c r="AZ316" s="301"/>
      <c r="BA316" s="301"/>
      <c r="BB316" s="301"/>
      <c r="BC316" s="301"/>
      <c r="BD316" s="301"/>
      <c r="BE316" s="301"/>
      <c r="BF316" s="301"/>
      <c r="BG316" s="303"/>
      <c r="BH316" s="304"/>
    </row>
    <row r="317" spans="1:60" s="305" customFormat="1" ht="16.5" hidden="1" customHeight="1" x14ac:dyDescent="0.4">
      <c r="A317" s="285">
        <v>294</v>
      </c>
      <c r="B317" s="286"/>
      <c r="C317" s="286"/>
      <c r="D317" s="287" t="s">
        <v>92</v>
      </c>
      <c r="E317" s="287" t="s">
        <v>138</v>
      </c>
      <c r="F317" s="288" t="s">
        <v>92</v>
      </c>
      <c r="G317" s="289" t="s">
        <v>229</v>
      </c>
      <c r="H317" s="307"/>
      <c r="I317" s="290"/>
      <c r="J317" s="291" t="s">
        <v>142</v>
      </c>
      <c r="K317" s="287"/>
      <c r="L317" s="287"/>
      <c r="M317" s="287">
        <v>7606</v>
      </c>
      <c r="N317" s="287" t="s">
        <v>32</v>
      </c>
      <c r="O317" s="287"/>
      <c r="P317" s="287"/>
      <c r="Q317" s="287" t="s">
        <v>27</v>
      </c>
      <c r="R317" s="287" t="s">
        <v>349</v>
      </c>
      <c r="S317" s="292" t="s">
        <v>349</v>
      </c>
      <c r="T317" s="293"/>
      <c r="U317" s="294" t="s">
        <v>97</v>
      </c>
      <c r="V317" s="294">
        <v>158837091</v>
      </c>
      <c r="W317" s="295"/>
      <c r="X317" s="296"/>
      <c r="Y317" s="287" t="s">
        <v>56</v>
      </c>
      <c r="Z317" s="297" t="s">
        <v>26</v>
      </c>
      <c r="AA317" s="313"/>
      <c r="AB317" s="313"/>
      <c r="AC317" s="298">
        <f t="shared" si="12"/>
        <v>100000000</v>
      </c>
      <c r="AD317" s="298">
        <v>100000000</v>
      </c>
      <c r="AE317" s="298">
        <f t="shared" si="13"/>
        <v>0</v>
      </c>
      <c r="AF317" s="299"/>
      <c r="AG317" s="300"/>
      <c r="AH317" s="299"/>
      <c r="AI317" s="299"/>
      <c r="AJ317" s="300"/>
      <c r="AK317" s="299"/>
      <c r="AL317" s="301"/>
      <c r="AM317" s="314"/>
      <c r="AN317" s="301"/>
      <c r="AO317" s="302"/>
      <c r="AP317" s="301"/>
      <c r="AQ317" s="301"/>
      <c r="AR317" s="301"/>
      <c r="AS317" s="301"/>
      <c r="AT317" s="301"/>
      <c r="AU317" s="301"/>
      <c r="AV317" s="301"/>
      <c r="AW317" s="301"/>
      <c r="AX317" s="301"/>
      <c r="AY317" s="301"/>
      <c r="AZ317" s="301"/>
      <c r="BA317" s="301"/>
      <c r="BB317" s="301"/>
      <c r="BC317" s="301"/>
      <c r="BD317" s="301"/>
      <c r="BE317" s="301">
        <v>100000000</v>
      </c>
      <c r="BF317" s="301"/>
      <c r="BG317" s="303"/>
      <c r="BH317" s="304"/>
    </row>
    <row r="318" spans="1:60" s="305" customFormat="1" ht="16.5" hidden="1" customHeight="1" x14ac:dyDescent="0.4">
      <c r="A318" s="285">
        <v>295</v>
      </c>
      <c r="B318" s="286"/>
      <c r="C318" s="286"/>
      <c r="D318" s="287" t="s">
        <v>92</v>
      </c>
      <c r="E318" s="287" t="s">
        <v>193</v>
      </c>
      <c r="F318" s="288" t="s">
        <v>92</v>
      </c>
      <c r="G318" s="289" t="s">
        <v>229</v>
      </c>
      <c r="H318" s="307"/>
      <c r="I318" s="290"/>
      <c r="J318" s="291" t="s">
        <v>76</v>
      </c>
      <c r="K318" s="287"/>
      <c r="L318" s="287"/>
      <c r="M318" s="287">
        <v>41763</v>
      </c>
      <c r="N318" s="287" t="s">
        <v>23</v>
      </c>
      <c r="O318" s="287"/>
      <c r="P318" s="287"/>
      <c r="Q318" s="287" t="s">
        <v>27</v>
      </c>
      <c r="R318" s="287" t="s">
        <v>340</v>
      </c>
      <c r="S318" s="292" t="s">
        <v>340</v>
      </c>
      <c r="T318" s="293"/>
      <c r="U318" s="294">
        <v>2000000</v>
      </c>
      <c r="V318" s="294">
        <v>0</v>
      </c>
      <c r="W318" s="295"/>
      <c r="X318" s="296"/>
      <c r="Y318" s="287" t="s">
        <v>26</v>
      </c>
      <c r="Z318" s="297" t="s">
        <v>618</v>
      </c>
      <c r="AA318" s="313"/>
      <c r="AB318" s="313"/>
      <c r="AC318" s="298">
        <f t="shared" si="12"/>
        <v>0</v>
      </c>
      <c r="AD318" s="298">
        <v>0</v>
      </c>
      <c r="AE318" s="298">
        <f t="shared" si="13"/>
        <v>0</v>
      </c>
      <c r="AF318" s="299"/>
      <c r="AG318" s="300"/>
      <c r="AH318" s="299"/>
      <c r="AI318" s="299"/>
      <c r="AJ318" s="300"/>
      <c r="AK318" s="299"/>
      <c r="AL318" s="301"/>
      <c r="AM318" s="314"/>
      <c r="AN318" s="301"/>
      <c r="AO318" s="302"/>
      <c r="AP318" s="301"/>
      <c r="AQ318" s="301"/>
      <c r="AR318" s="301"/>
      <c r="AS318" s="301"/>
      <c r="AT318" s="301"/>
      <c r="AU318" s="301"/>
      <c r="AV318" s="301"/>
      <c r="AW318" s="301"/>
      <c r="AX318" s="301"/>
      <c r="AY318" s="301"/>
      <c r="AZ318" s="301"/>
      <c r="BA318" s="301"/>
      <c r="BB318" s="301"/>
      <c r="BC318" s="301"/>
      <c r="BD318" s="301"/>
      <c r="BE318" s="301">
        <v>0</v>
      </c>
      <c r="BF318" s="301"/>
      <c r="BG318" s="303"/>
      <c r="BH318" s="304"/>
    </row>
    <row r="319" spans="1:60" s="305" customFormat="1" ht="16.5" hidden="1" customHeight="1" x14ac:dyDescent="0.4">
      <c r="A319" s="285">
        <v>296</v>
      </c>
      <c r="B319" s="286"/>
      <c r="C319" s="286"/>
      <c r="D319" s="287" t="s">
        <v>92</v>
      </c>
      <c r="E319" s="287" t="s">
        <v>184</v>
      </c>
      <c r="F319" s="288" t="s">
        <v>92</v>
      </c>
      <c r="G319" s="289" t="s">
        <v>229</v>
      </c>
      <c r="H319" s="307"/>
      <c r="I319" s="290"/>
      <c r="J319" s="291" t="s">
        <v>460</v>
      </c>
      <c r="K319" s="287"/>
      <c r="L319" s="287"/>
      <c r="M319" s="287">
        <v>1365</v>
      </c>
      <c r="N319" s="287" t="s">
        <v>23</v>
      </c>
      <c r="O319" s="287" t="s">
        <v>43</v>
      </c>
      <c r="P319" s="287" t="s">
        <v>44</v>
      </c>
      <c r="Q319" s="287" t="s">
        <v>30</v>
      </c>
      <c r="R319" s="287" t="s">
        <v>31</v>
      </c>
      <c r="S319" s="292" t="s">
        <v>31</v>
      </c>
      <c r="T319" s="293"/>
      <c r="U319" s="294">
        <v>14711000</v>
      </c>
      <c r="V319" s="294">
        <v>0</v>
      </c>
      <c r="W319" s="295"/>
      <c r="X319" s="296"/>
      <c r="Y319" s="287" t="s">
        <v>25</v>
      </c>
      <c r="Z319" s="297" t="s">
        <v>26</v>
      </c>
      <c r="AA319" s="313"/>
      <c r="AB319" s="313"/>
      <c r="AC319" s="298">
        <f t="shared" si="12"/>
        <v>10000000</v>
      </c>
      <c r="AD319" s="298">
        <v>10000000</v>
      </c>
      <c r="AE319" s="298">
        <f t="shared" si="13"/>
        <v>0</v>
      </c>
      <c r="AF319" s="299"/>
      <c r="AG319" s="300"/>
      <c r="AH319" s="299"/>
      <c r="AI319" s="299"/>
      <c r="AJ319" s="300"/>
      <c r="AK319" s="299"/>
      <c r="AL319" s="301"/>
      <c r="AM319" s="314"/>
      <c r="AN319" s="301"/>
      <c r="AO319" s="302"/>
      <c r="AP319" s="301"/>
      <c r="AQ319" s="301"/>
      <c r="AR319" s="301"/>
      <c r="AS319" s="301"/>
      <c r="AT319" s="301"/>
      <c r="AU319" s="301"/>
      <c r="AV319" s="301"/>
      <c r="AW319" s="301"/>
      <c r="AX319" s="301"/>
      <c r="AY319" s="301"/>
      <c r="AZ319" s="301"/>
      <c r="BA319" s="301"/>
      <c r="BB319" s="301"/>
      <c r="BC319" s="301"/>
      <c r="BD319" s="301"/>
      <c r="BE319" s="301">
        <v>10000000</v>
      </c>
      <c r="BF319" s="301"/>
      <c r="BG319" s="303"/>
      <c r="BH319" s="304"/>
    </row>
    <row r="320" spans="1:60" s="305" customFormat="1" ht="16.5" hidden="1" customHeight="1" x14ac:dyDescent="0.4">
      <c r="A320" s="285">
        <v>297</v>
      </c>
      <c r="B320" s="286"/>
      <c r="C320" s="286"/>
      <c r="D320" s="287" t="s">
        <v>92</v>
      </c>
      <c r="E320" s="287" t="s">
        <v>184</v>
      </c>
      <c r="F320" s="288" t="s">
        <v>92</v>
      </c>
      <c r="G320" s="289" t="s">
        <v>229</v>
      </c>
      <c r="H320" s="307"/>
      <c r="I320" s="290"/>
      <c r="J320" s="291" t="s">
        <v>460</v>
      </c>
      <c r="K320" s="287"/>
      <c r="L320" s="287"/>
      <c r="M320" s="287">
        <v>1365</v>
      </c>
      <c r="N320" s="287" t="s">
        <v>23</v>
      </c>
      <c r="O320" s="287"/>
      <c r="P320" s="287"/>
      <c r="Q320" s="287" t="s">
        <v>30</v>
      </c>
      <c r="R320" s="287" t="s">
        <v>31</v>
      </c>
      <c r="S320" s="292" t="s">
        <v>31</v>
      </c>
      <c r="T320" s="293"/>
      <c r="U320" s="294">
        <v>3000</v>
      </c>
      <c r="V320" s="294">
        <v>0</v>
      </c>
      <c r="W320" s="295"/>
      <c r="X320" s="296"/>
      <c r="Y320" s="287" t="s">
        <v>22</v>
      </c>
      <c r="Z320" s="297" t="s">
        <v>618</v>
      </c>
      <c r="AA320" s="313"/>
      <c r="AB320" s="313"/>
      <c r="AC320" s="298">
        <f t="shared" si="12"/>
        <v>0</v>
      </c>
      <c r="AD320" s="298">
        <v>0</v>
      </c>
      <c r="AE320" s="298">
        <f t="shared" si="13"/>
        <v>0</v>
      </c>
      <c r="AF320" s="299"/>
      <c r="AG320" s="300"/>
      <c r="AH320" s="299"/>
      <c r="AI320" s="299"/>
      <c r="AJ320" s="300"/>
      <c r="AK320" s="299"/>
      <c r="AL320" s="301"/>
      <c r="AM320" s="314"/>
      <c r="AN320" s="301"/>
      <c r="AO320" s="302"/>
      <c r="AP320" s="301"/>
      <c r="AQ320" s="301"/>
      <c r="AR320" s="301"/>
      <c r="AS320" s="301"/>
      <c r="AT320" s="301"/>
      <c r="AU320" s="301"/>
      <c r="AV320" s="301"/>
      <c r="AW320" s="301"/>
      <c r="AX320" s="301"/>
      <c r="AY320" s="301"/>
      <c r="AZ320" s="301"/>
      <c r="BA320" s="301"/>
      <c r="BB320" s="301"/>
      <c r="BC320" s="301"/>
      <c r="BD320" s="301"/>
      <c r="BE320" s="301"/>
      <c r="BF320" s="301"/>
      <c r="BG320" s="303"/>
      <c r="BH320" s="304"/>
    </row>
    <row r="321" spans="1:60" s="305" customFormat="1" ht="16.5" hidden="1" customHeight="1" x14ac:dyDescent="0.4">
      <c r="A321" s="285">
        <v>298</v>
      </c>
      <c r="B321" s="286"/>
      <c r="C321" s="286"/>
      <c r="D321" s="287" t="s">
        <v>92</v>
      </c>
      <c r="E321" s="287" t="s">
        <v>229</v>
      </c>
      <c r="F321" s="288" t="s">
        <v>92</v>
      </c>
      <c r="G321" s="289" t="s">
        <v>229</v>
      </c>
      <c r="H321" s="307"/>
      <c r="I321" s="290"/>
      <c r="J321" s="291" t="s">
        <v>480</v>
      </c>
      <c r="K321" s="287"/>
      <c r="L321" s="287"/>
      <c r="M321" s="287">
        <v>22564</v>
      </c>
      <c r="N321" s="287" t="s">
        <v>18</v>
      </c>
      <c r="O321" s="287" t="s">
        <v>43</v>
      </c>
      <c r="P321" s="287" t="s">
        <v>44</v>
      </c>
      <c r="Q321" s="287" t="s">
        <v>48</v>
      </c>
      <c r="R321" s="287" t="s">
        <v>685</v>
      </c>
      <c r="S321" s="292" t="s">
        <v>743</v>
      </c>
      <c r="T321" s="293"/>
      <c r="U321" s="294"/>
      <c r="V321" s="294">
        <v>0</v>
      </c>
      <c r="W321" s="295"/>
      <c r="X321" s="296"/>
      <c r="Y321" s="287" t="s">
        <v>25</v>
      </c>
      <c r="Z321" s="297" t="s">
        <v>25</v>
      </c>
      <c r="AA321" s="313"/>
      <c r="AB321" s="313"/>
      <c r="AC321" s="298">
        <f t="shared" si="12"/>
        <v>1000000</v>
      </c>
      <c r="AD321" s="298">
        <v>1000000</v>
      </c>
      <c r="AE321" s="298">
        <f t="shared" si="13"/>
        <v>0</v>
      </c>
      <c r="AF321" s="299"/>
      <c r="AG321" s="300"/>
      <c r="AH321" s="299"/>
      <c r="AI321" s="299"/>
      <c r="AJ321" s="300"/>
      <c r="AK321" s="299"/>
      <c r="AL321" s="301"/>
      <c r="AM321" s="314"/>
      <c r="AN321" s="301"/>
      <c r="AO321" s="302"/>
      <c r="AP321" s="301"/>
      <c r="AQ321" s="301"/>
      <c r="AR321" s="301"/>
      <c r="AS321" s="301">
        <v>1000000</v>
      </c>
      <c r="AT321" s="301"/>
      <c r="AU321" s="301"/>
      <c r="AV321" s="301"/>
      <c r="AW321" s="301"/>
      <c r="AX321" s="301"/>
      <c r="AY321" s="301"/>
      <c r="AZ321" s="301"/>
      <c r="BA321" s="301"/>
      <c r="BB321" s="301"/>
      <c r="BC321" s="301"/>
      <c r="BD321" s="301"/>
      <c r="BE321" s="301"/>
      <c r="BF321" s="301"/>
      <c r="BG321" s="303"/>
      <c r="BH321" s="304"/>
    </row>
    <row r="322" spans="1:60" s="305" customFormat="1" ht="16.5" hidden="1" customHeight="1" x14ac:dyDescent="0.4">
      <c r="A322" s="285">
        <v>299</v>
      </c>
      <c r="B322" s="286"/>
      <c r="C322" s="286"/>
      <c r="D322" s="287" t="s">
        <v>92</v>
      </c>
      <c r="E322" s="287" t="s">
        <v>229</v>
      </c>
      <c r="F322" s="288" t="s">
        <v>92</v>
      </c>
      <c r="G322" s="289" t="s">
        <v>229</v>
      </c>
      <c r="H322" s="307"/>
      <c r="I322" s="290"/>
      <c r="J322" s="291" t="s">
        <v>437</v>
      </c>
      <c r="K322" s="287"/>
      <c r="L322" s="287"/>
      <c r="M322" s="287">
        <v>60206</v>
      </c>
      <c r="N322" s="287" t="s">
        <v>23</v>
      </c>
      <c r="O322" s="287"/>
      <c r="P322" s="287"/>
      <c r="Q322" s="287" t="s">
        <v>48</v>
      </c>
      <c r="R322" s="287" t="s">
        <v>685</v>
      </c>
      <c r="S322" s="292" t="s">
        <v>743</v>
      </c>
      <c r="T322" s="293"/>
      <c r="U322" s="294">
        <v>44660000</v>
      </c>
      <c r="V322" s="294">
        <v>7560000</v>
      </c>
      <c r="W322" s="295"/>
      <c r="X322" s="296"/>
      <c r="Y322" s="287" t="s">
        <v>21</v>
      </c>
      <c r="Z322" s="297" t="s">
        <v>618</v>
      </c>
      <c r="AA322" s="313"/>
      <c r="AB322" s="313"/>
      <c r="AC322" s="298">
        <f t="shared" si="12"/>
        <v>0</v>
      </c>
      <c r="AD322" s="298">
        <v>0</v>
      </c>
      <c r="AE322" s="298">
        <f t="shared" si="13"/>
        <v>0</v>
      </c>
      <c r="AF322" s="299"/>
      <c r="AG322" s="300"/>
      <c r="AH322" s="299"/>
      <c r="AI322" s="299"/>
      <c r="AJ322" s="300"/>
      <c r="AK322" s="299"/>
      <c r="AL322" s="301"/>
      <c r="AM322" s="314"/>
      <c r="AN322" s="301"/>
      <c r="AO322" s="302"/>
      <c r="AP322" s="301"/>
      <c r="AQ322" s="301"/>
      <c r="AR322" s="301"/>
      <c r="AS322" s="301"/>
      <c r="AT322" s="301"/>
      <c r="AU322" s="301"/>
      <c r="AV322" s="301"/>
      <c r="AW322" s="301"/>
      <c r="AX322" s="301"/>
      <c r="AY322" s="301"/>
      <c r="AZ322" s="301"/>
      <c r="BA322" s="301"/>
      <c r="BB322" s="301"/>
      <c r="BC322" s="301"/>
      <c r="BD322" s="301"/>
      <c r="BE322" s="301"/>
      <c r="BF322" s="301"/>
      <c r="BG322" s="303"/>
      <c r="BH322" s="304"/>
    </row>
    <row r="323" spans="1:60" s="305" customFormat="1" ht="16.5" hidden="1" customHeight="1" x14ac:dyDescent="0.4">
      <c r="A323" s="285">
        <v>300</v>
      </c>
      <c r="B323" s="286"/>
      <c r="C323" s="286"/>
      <c r="D323" s="287" t="s">
        <v>92</v>
      </c>
      <c r="E323" s="287" t="s">
        <v>229</v>
      </c>
      <c r="F323" s="288" t="s">
        <v>92</v>
      </c>
      <c r="G323" s="289" t="s">
        <v>229</v>
      </c>
      <c r="H323" s="307"/>
      <c r="I323" s="290"/>
      <c r="J323" s="291" t="s">
        <v>487</v>
      </c>
      <c r="K323" s="287"/>
      <c r="L323" s="287"/>
      <c r="M323" s="287">
        <v>26051</v>
      </c>
      <c r="N323" s="287" t="s">
        <v>18</v>
      </c>
      <c r="O323" s="287" t="s">
        <v>43</v>
      </c>
      <c r="P323" s="287" t="s">
        <v>44</v>
      </c>
      <c r="Q323" s="287" t="s">
        <v>30</v>
      </c>
      <c r="R323" s="287" t="s">
        <v>31</v>
      </c>
      <c r="S323" s="292" t="s">
        <v>31</v>
      </c>
      <c r="T323" s="293"/>
      <c r="U323" s="294">
        <v>1800000</v>
      </c>
      <c r="V323" s="294">
        <v>1704000</v>
      </c>
      <c r="W323" s="295">
        <v>1648000</v>
      </c>
      <c r="X323" s="296"/>
      <c r="Y323" s="287" t="s">
        <v>28</v>
      </c>
      <c r="Z323" s="297" t="s">
        <v>28</v>
      </c>
      <c r="AA323" s="313"/>
      <c r="AB323" s="313"/>
      <c r="AC323" s="298">
        <f t="shared" si="12"/>
        <v>3000000</v>
      </c>
      <c r="AD323" s="298">
        <v>3000000</v>
      </c>
      <c r="AE323" s="298">
        <f t="shared" si="13"/>
        <v>0</v>
      </c>
      <c r="AF323" s="299"/>
      <c r="AG323" s="300"/>
      <c r="AH323" s="299"/>
      <c r="AI323" s="299">
        <v>0</v>
      </c>
      <c r="AJ323" s="300"/>
      <c r="AK323" s="299"/>
      <c r="AL323" s="301"/>
      <c r="AM323" s="314"/>
      <c r="AN323" s="301"/>
      <c r="AO323" s="302"/>
      <c r="AP323" s="301"/>
      <c r="AQ323" s="301"/>
      <c r="AR323" s="301"/>
      <c r="AS323" s="301"/>
      <c r="AT323" s="301"/>
      <c r="AU323" s="301"/>
      <c r="AV323" s="301"/>
      <c r="AW323" s="301"/>
      <c r="AX323" s="301"/>
      <c r="AY323" s="301">
        <v>3000000</v>
      </c>
      <c r="AZ323" s="301"/>
      <c r="BA323" s="301"/>
      <c r="BB323" s="301"/>
      <c r="BC323" s="301"/>
      <c r="BD323" s="301"/>
      <c r="BE323" s="301"/>
      <c r="BF323" s="301"/>
      <c r="BG323" s="303"/>
      <c r="BH323" s="304"/>
    </row>
    <row r="324" spans="1:60" s="305" customFormat="1" ht="16.5" hidden="1" customHeight="1" x14ac:dyDescent="0.4">
      <c r="A324" s="285">
        <v>301</v>
      </c>
      <c r="B324" s="286"/>
      <c r="C324" s="286"/>
      <c r="D324" s="287" t="s">
        <v>92</v>
      </c>
      <c r="E324" s="287" t="s">
        <v>229</v>
      </c>
      <c r="F324" s="288" t="s">
        <v>92</v>
      </c>
      <c r="G324" s="289" t="s">
        <v>229</v>
      </c>
      <c r="H324" s="307"/>
      <c r="I324" s="290"/>
      <c r="J324" s="291" t="s">
        <v>438</v>
      </c>
      <c r="K324" s="287"/>
      <c r="L324" s="287"/>
      <c r="M324" s="287">
        <v>60785</v>
      </c>
      <c r="N324" s="287" t="s">
        <v>23</v>
      </c>
      <c r="O324" s="287" t="s">
        <v>43</v>
      </c>
      <c r="P324" s="287" t="s">
        <v>44</v>
      </c>
      <c r="Q324" s="287" t="s">
        <v>48</v>
      </c>
      <c r="R324" s="287" t="s">
        <v>685</v>
      </c>
      <c r="S324" s="292" t="s">
        <v>743</v>
      </c>
      <c r="T324" s="293"/>
      <c r="U324" s="294">
        <v>3780000</v>
      </c>
      <c r="V324" s="294">
        <v>3220000</v>
      </c>
      <c r="W324" s="295"/>
      <c r="X324" s="296"/>
      <c r="Y324" s="287" t="s">
        <v>21</v>
      </c>
      <c r="Z324" s="297" t="s">
        <v>618</v>
      </c>
      <c r="AA324" s="313"/>
      <c r="AB324" s="313"/>
      <c r="AC324" s="298">
        <f t="shared" si="12"/>
        <v>0</v>
      </c>
      <c r="AD324" s="298">
        <v>0</v>
      </c>
      <c r="AE324" s="298">
        <f t="shared" si="13"/>
        <v>0</v>
      </c>
      <c r="AF324" s="299"/>
      <c r="AG324" s="300"/>
      <c r="AH324" s="299"/>
      <c r="AI324" s="299"/>
      <c r="AJ324" s="300"/>
      <c r="AK324" s="299"/>
      <c r="AL324" s="301"/>
      <c r="AM324" s="314"/>
      <c r="AN324" s="301"/>
      <c r="AO324" s="302"/>
      <c r="AP324" s="301"/>
      <c r="AQ324" s="301"/>
      <c r="AR324" s="301"/>
      <c r="AS324" s="301"/>
      <c r="AT324" s="301"/>
      <c r="AU324" s="301"/>
      <c r="AV324" s="301"/>
      <c r="AW324" s="301"/>
      <c r="AX324" s="301"/>
      <c r="AY324" s="301"/>
      <c r="AZ324" s="301"/>
      <c r="BA324" s="301"/>
      <c r="BB324" s="301"/>
      <c r="BC324" s="301"/>
      <c r="BD324" s="301"/>
      <c r="BE324" s="301"/>
      <c r="BF324" s="301"/>
      <c r="BG324" s="303"/>
      <c r="BH324" s="304"/>
    </row>
    <row r="325" spans="1:60" s="305" customFormat="1" ht="16.5" hidden="1" customHeight="1" x14ac:dyDescent="0.4">
      <c r="A325" s="285">
        <v>302</v>
      </c>
      <c r="B325" s="286"/>
      <c r="C325" s="286"/>
      <c r="D325" s="287" t="s">
        <v>92</v>
      </c>
      <c r="E325" s="287" t="s">
        <v>229</v>
      </c>
      <c r="F325" s="288" t="s">
        <v>92</v>
      </c>
      <c r="G325" s="289" t="s">
        <v>229</v>
      </c>
      <c r="H325" s="307"/>
      <c r="I325" s="290"/>
      <c r="J325" s="291" t="s">
        <v>478</v>
      </c>
      <c r="K325" s="287"/>
      <c r="L325" s="287"/>
      <c r="M325" s="287">
        <v>22188</v>
      </c>
      <c r="N325" s="287" t="s">
        <v>40</v>
      </c>
      <c r="O325" s="287" t="s">
        <v>43</v>
      </c>
      <c r="P325" s="287" t="s">
        <v>44</v>
      </c>
      <c r="Q325" s="287" t="s">
        <v>30</v>
      </c>
      <c r="R325" s="287" t="s">
        <v>31</v>
      </c>
      <c r="S325" s="292" t="s">
        <v>31</v>
      </c>
      <c r="T325" s="293"/>
      <c r="U325" s="294"/>
      <c r="V325" s="294">
        <v>4785000</v>
      </c>
      <c r="W325" s="295">
        <v>4980500</v>
      </c>
      <c r="X325" s="296"/>
      <c r="Y325" s="287" t="s">
        <v>28</v>
      </c>
      <c r="Z325" s="297" t="s">
        <v>26</v>
      </c>
      <c r="AA325" s="313"/>
      <c r="AB325" s="313"/>
      <c r="AC325" s="298">
        <f t="shared" si="12"/>
        <v>5000000</v>
      </c>
      <c r="AD325" s="298">
        <v>5000000</v>
      </c>
      <c r="AE325" s="298">
        <f t="shared" si="13"/>
        <v>0</v>
      </c>
      <c r="AF325" s="299"/>
      <c r="AG325" s="300"/>
      <c r="AH325" s="299"/>
      <c r="AI325" s="299"/>
      <c r="AJ325" s="300"/>
      <c r="AK325" s="299"/>
      <c r="AL325" s="301"/>
      <c r="AM325" s="314"/>
      <c r="AN325" s="301"/>
      <c r="AO325" s="302"/>
      <c r="AP325" s="301"/>
      <c r="AQ325" s="301"/>
      <c r="AR325" s="301"/>
      <c r="AS325" s="301"/>
      <c r="AT325" s="301"/>
      <c r="AU325" s="301"/>
      <c r="AV325" s="301"/>
      <c r="AW325" s="301"/>
      <c r="AX325" s="301"/>
      <c r="AY325" s="301">
        <v>5000000</v>
      </c>
      <c r="AZ325" s="301"/>
      <c r="BA325" s="301"/>
      <c r="BB325" s="301"/>
      <c r="BC325" s="301"/>
      <c r="BD325" s="301"/>
      <c r="BE325" s="301"/>
      <c r="BF325" s="301"/>
      <c r="BG325" s="303"/>
      <c r="BH325" s="304"/>
    </row>
    <row r="326" spans="1:60" s="305" customFormat="1" ht="16.5" hidden="1" customHeight="1" x14ac:dyDescent="0.4">
      <c r="A326" s="285">
        <v>303</v>
      </c>
      <c r="B326" s="286"/>
      <c r="C326" s="286"/>
      <c r="D326" s="287" t="s">
        <v>92</v>
      </c>
      <c r="E326" s="287" t="s">
        <v>229</v>
      </c>
      <c r="F326" s="288" t="s">
        <v>92</v>
      </c>
      <c r="G326" s="289" t="s">
        <v>229</v>
      </c>
      <c r="H326" s="307"/>
      <c r="I326" s="290"/>
      <c r="J326" s="291" t="s">
        <v>478</v>
      </c>
      <c r="K326" s="287"/>
      <c r="L326" s="287"/>
      <c r="M326" s="287">
        <v>22188</v>
      </c>
      <c r="N326" s="287" t="s">
        <v>23</v>
      </c>
      <c r="O326" s="287"/>
      <c r="P326" s="287"/>
      <c r="Q326" s="287" t="s">
        <v>27</v>
      </c>
      <c r="R326" s="287" t="s">
        <v>340</v>
      </c>
      <c r="S326" s="292" t="s">
        <v>340</v>
      </c>
      <c r="T326" s="293"/>
      <c r="U326" s="294"/>
      <c r="V326" s="294">
        <v>6300000</v>
      </c>
      <c r="W326" s="295">
        <v>7300000</v>
      </c>
      <c r="X326" s="296"/>
      <c r="Y326" s="287" t="s">
        <v>28</v>
      </c>
      <c r="Z326" s="297" t="s">
        <v>25</v>
      </c>
      <c r="AA326" s="313"/>
      <c r="AB326" s="313"/>
      <c r="AC326" s="298">
        <f t="shared" si="12"/>
        <v>6000000</v>
      </c>
      <c r="AD326" s="298">
        <v>6000000</v>
      </c>
      <c r="AE326" s="298">
        <f t="shared" si="13"/>
        <v>0</v>
      </c>
      <c r="AF326" s="299"/>
      <c r="AG326" s="300"/>
      <c r="AH326" s="299"/>
      <c r="AI326" s="299"/>
      <c r="AJ326" s="300"/>
      <c r="AK326" s="299"/>
      <c r="AL326" s="301"/>
      <c r="AM326" s="314"/>
      <c r="AN326" s="301"/>
      <c r="AO326" s="302"/>
      <c r="AP326" s="301"/>
      <c r="AQ326" s="316">
        <v>3000000</v>
      </c>
      <c r="AR326" s="301"/>
      <c r="AS326" s="301"/>
      <c r="AT326" s="301"/>
      <c r="AU326" s="301"/>
      <c r="AV326" s="301"/>
      <c r="AW326" s="301"/>
      <c r="AX326" s="301"/>
      <c r="AY326" s="301">
        <v>3000000</v>
      </c>
      <c r="AZ326" s="301"/>
      <c r="BA326" s="301"/>
      <c r="BB326" s="301"/>
      <c r="BC326" s="301"/>
      <c r="BD326" s="301"/>
      <c r="BE326" s="301"/>
      <c r="BF326" s="301"/>
      <c r="BG326" s="303"/>
      <c r="BH326" s="304"/>
    </row>
    <row r="327" spans="1:60" s="305" customFormat="1" ht="16.5" hidden="1" customHeight="1" x14ac:dyDescent="0.4">
      <c r="A327" s="285">
        <v>304</v>
      </c>
      <c r="B327" s="286"/>
      <c r="C327" s="286"/>
      <c r="D327" s="287" t="s">
        <v>92</v>
      </c>
      <c r="E327" s="287" t="s">
        <v>229</v>
      </c>
      <c r="F327" s="288" t="s">
        <v>92</v>
      </c>
      <c r="G327" s="289" t="s">
        <v>229</v>
      </c>
      <c r="H327" s="307"/>
      <c r="I327" s="290"/>
      <c r="J327" s="291" t="s">
        <v>478</v>
      </c>
      <c r="K327" s="287"/>
      <c r="L327" s="287"/>
      <c r="M327" s="287">
        <v>22188</v>
      </c>
      <c r="N327" s="287" t="s">
        <v>40</v>
      </c>
      <c r="O327" s="287" t="s">
        <v>43</v>
      </c>
      <c r="P327" s="287" t="s">
        <v>44</v>
      </c>
      <c r="Q327" s="287" t="s">
        <v>47</v>
      </c>
      <c r="R327" s="287" t="s">
        <v>340</v>
      </c>
      <c r="S327" s="292" t="s">
        <v>340</v>
      </c>
      <c r="T327" s="293"/>
      <c r="U327" s="294">
        <v>23692000</v>
      </c>
      <c r="V327" s="294">
        <v>0</v>
      </c>
      <c r="W327" s="295">
        <v>0</v>
      </c>
      <c r="X327" s="296"/>
      <c r="Y327" s="287" t="s">
        <v>25</v>
      </c>
      <c r="Z327" s="297" t="s">
        <v>618</v>
      </c>
      <c r="AA327" s="313"/>
      <c r="AB327" s="313"/>
      <c r="AC327" s="298">
        <f t="shared" si="12"/>
        <v>0</v>
      </c>
      <c r="AD327" s="298">
        <v>0</v>
      </c>
      <c r="AE327" s="298">
        <f t="shared" si="13"/>
        <v>0</v>
      </c>
      <c r="AF327" s="299"/>
      <c r="AG327" s="300"/>
      <c r="AH327" s="299"/>
      <c r="AI327" s="299"/>
      <c r="AJ327" s="300"/>
      <c r="AK327" s="299"/>
      <c r="AL327" s="301"/>
      <c r="AM327" s="314"/>
      <c r="AN327" s="301"/>
      <c r="AO327" s="302"/>
      <c r="AP327" s="301"/>
      <c r="AQ327" s="301"/>
      <c r="AR327" s="301"/>
      <c r="AS327" s="301"/>
      <c r="AT327" s="301"/>
      <c r="AU327" s="301"/>
      <c r="AV327" s="301"/>
      <c r="AW327" s="301"/>
      <c r="AX327" s="301"/>
      <c r="AY327" s="301"/>
      <c r="AZ327" s="301"/>
      <c r="BA327" s="301"/>
      <c r="BB327" s="301"/>
      <c r="BC327" s="301"/>
      <c r="BD327" s="301"/>
      <c r="BE327" s="301"/>
      <c r="BF327" s="301"/>
      <c r="BG327" s="303"/>
      <c r="BH327" s="304"/>
    </row>
    <row r="328" spans="1:60" s="305" customFormat="1" ht="16.5" hidden="1" customHeight="1" x14ac:dyDescent="0.4">
      <c r="A328" s="285">
        <v>305</v>
      </c>
      <c r="B328" s="286"/>
      <c r="C328" s="286"/>
      <c r="D328" s="287" t="s">
        <v>92</v>
      </c>
      <c r="E328" s="287" t="s">
        <v>229</v>
      </c>
      <c r="F328" s="288" t="s">
        <v>92</v>
      </c>
      <c r="G328" s="289" t="s">
        <v>229</v>
      </c>
      <c r="H328" s="307"/>
      <c r="I328" s="290"/>
      <c r="J328" s="291" t="s">
        <v>688</v>
      </c>
      <c r="K328" s="287"/>
      <c r="L328" s="287"/>
      <c r="M328" s="287">
        <v>22188</v>
      </c>
      <c r="N328" s="287" t="s">
        <v>23</v>
      </c>
      <c r="O328" s="287"/>
      <c r="P328" s="287"/>
      <c r="Q328" s="287"/>
      <c r="R328" s="287" t="s">
        <v>563</v>
      </c>
      <c r="S328" s="292" t="s">
        <v>739</v>
      </c>
      <c r="T328" s="293"/>
      <c r="U328" s="294"/>
      <c r="V328" s="294"/>
      <c r="W328" s="295">
        <v>18200000</v>
      </c>
      <c r="X328" s="296"/>
      <c r="Y328" s="287" t="s">
        <v>28</v>
      </c>
      <c r="Z328" s="297" t="s">
        <v>656</v>
      </c>
      <c r="AA328" s="313"/>
      <c r="AB328" s="313"/>
      <c r="AC328" s="298">
        <f t="shared" si="12"/>
        <v>0</v>
      </c>
      <c r="AD328" s="298">
        <v>0</v>
      </c>
      <c r="AE328" s="298">
        <f t="shared" si="13"/>
        <v>0</v>
      </c>
      <c r="AF328" s="299"/>
      <c r="AG328" s="300"/>
      <c r="AH328" s="299"/>
      <c r="AI328" s="299"/>
      <c r="AJ328" s="300"/>
      <c r="AK328" s="299"/>
      <c r="AL328" s="301"/>
      <c r="AM328" s="314"/>
      <c r="AN328" s="301"/>
      <c r="AO328" s="302"/>
      <c r="AP328" s="301"/>
      <c r="AQ328" s="301"/>
      <c r="AR328" s="301"/>
      <c r="AS328" s="301"/>
      <c r="AT328" s="301"/>
      <c r="AU328" s="301"/>
      <c r="AV328" s="301"/>
      <c r="AW328" s="301"/>
      <c r="AX328" s="301"/>
      <c r="AY328" s="301"/>
      <c r="AZ328" s="301"/>
      <c r="BA328" s="301"/>
      <c r="BB328" s="301"/>
      <c r="BC328" s="301"/>
      <c r="BD328" s="301"/>
      <c r="BE328" s="301"/>
      <c r="BF328" s="301"/>
      <c r="BG328" s="303"/>
      <c r="BH328" s="304"/>
    </row>
    <row r="329" spans="1:60" s="305" customFormat="1" ht="16.5" hidden="1" customHeight="1" x14ac:dyDescent="0.4">
      <c r="A329" s="285">
        <v>306</v>
      </c>
      <c r="B329" s="286"/>
      <c r="C329" s="286"/>
      <c r="D329" s="287" t="s">
        <v>92</v>
      </c>
      <c r="E329" s="287" t="s">
        <v>229</v>
      </c>
      <c r="F329" s="288" t="s">
        <v>92</v>
      </c>
      <c r="G329" s="289" t="s">
        <v>229</v>
      </c>
      <c r="H329" s="307"/>
      <c r="I329" s="290"/>
      <c r="J329" s="291" t="s">
        <v>512</v>
      </c>
      <c r="K329" s="287"/>
      <c r="L329" s="287"/>
      <c r="M329" s="287">
        <v>55691</v>
      </c>
      <c r="N329" s="287" t="s">
        <v>23</v>
      </c>
      <c r="O329" s="287" t="s">
        <v>43</v>
      </c>
      <c r="P329" s="287" t="s">
        <v>44</v>
      </c>
      <c r="Q329" s="287" t="s">
        <v>48</v>
      </c>
      <c r="R329" s="287" t="s">
        <v>685</v>
      </c>
      <c r="S329" s="292" t="s">
        <v>743</v>
      </c>
      <c r="T329" s="293"/>
      <c r="U329" s="294">
        <v>106960000</v>
      </c>
      <c r="V329" s="294">
        <v>0</v>
      </c>
      <c r="W329" s="295"/>
      <c r="X329" s="296"/>
      <c r="Y329" s="287" t="s">
        <v>22</v>
      </c>
      <c r="Z329" s="297" t="s">
        <v>618</v>
      </c>
      <c r="AA329" s="313"/>
      <c r="AB329" s="313"/>
      <c r="AC329" s="298">
        <f t="shared" si="12"/>
        <v>0</v>
      </c>
      <c r="AD329" s="298">
        <v>0</v>
      </c>
      <c r="AE329" s="298">
        <f t="shared" si="13"/>
        <v>0</v>
      </c>
      <c r="AF329" s="299"/>
      <c r="AG329" s="300"/>
      <c r="AH329" s="299"/>
      <c r="AI329" s="299"/>
      <c r="AJ329" s="300"/>
      <c r="AK329" s="299"/>
      <c r="AL329" s="301"/>
      <c r="AM329" s="314"/>
      <c r="AN329" s="301"/>
      <c r="AO329" s="302"/>
      <c r="AP329" s="301"/>
      <c r="AQ329" s="301"/>
      <c r="AR329" s="301"/>
      <c r="AS329" s="301"/>
      <c r="AT329" s="301"/>
      <c r="AU329" s="301"/>
      <c r="AV329" s="301"/>
      <c r="AW329" s="301"/>
      <c r="AX329" s="301"/>
      <c r="AY329" s="301"/>
      <c r="AZ329" s="301"/>
      <c r="BA329" s="301"/>
      <c r="BB329" s="301"/>
      <c r="BC329" s="301"/>
      <c r="BD329" s="301"/>
      <c r="BE329" s="301"/>
      <c r="BF329" s="301"/>
      <c r="BG329" s="303"/>
      <c r="BH329" s="304"/>
    </row>
    <row r="330" spans="1:60" s="305" customFormat="1" ht="16.5" hidden="1" customHeight="1" x14ac:dyDescent="0.4">
      <c r="A330" s="285">
        <v>307</v>
      </c>
      <c r="B330" s="286"/>
      <c r="C330" s="286"/>
      <c r="D330" s="287" t="s">
        <v>92</v>
      </c>
      <c r="E330" s="287" t="s">
        <v>229</v>
      </c>
      <c r="F330" s="288" t="s">
        <v>92</v>
      </c>
      <c r="G330" s="289" t="s">
        <v>229</v>
      </c>
      <c r="H330" s="307"/>
      <c r="I330" s="290"/>
      <c r="J330" s="291" t="s">
        <v>319</v>
      </c>
      <c r="K330" s="287"/>
      <c r="L330" s="287"/>
      <c r="M330" s="287">
        <v>31178</v>
      </c>
      <c r="N330" s="287" t="s">
        <v>23</v>
      </c>
      <c r="O330" s="287" t="s">
        <v>43</v>
      </c>
      <c r="P330" s="287" t="s">
        <v>44</v>
      </c>
      <c r="Q330" s="287" t="s">
        <v>30</v>
      </c>
      <c r="R330" s="287" t="s">
        <v>31</v>
      </c>
      <c r="S330" s="292" t="s">
        <v>31</v>
      </c>
      <c r="T330" s="293"/>
      <c r="U330" s="294"/>
      <c r="V330" s="294">
        <v>1814420</v>
      </c>
      <c r="W330" s="295">
        <v>1805000</v>
      </c>
      <c r="X330" s="296"/>
      <c r="Y330" s="287" t="s">
        <v>28</v>
      </c>
      <c r="Z330" s="297" t="s">
        <v>28</v>
      </c>
      <c r="AA330" s="313"/>
      <c r="AB330" s="313"/>
      <c r="AC330" s="298">
        <f t="shared" si="12"/>
        <v>2000000</v>
      </c>
      <c r="AD330" s="298">
        <v>2000000</v>
      </c>
      <c r="AE330" s="298">
        <f t="shared" si="13"/>
        <v>0</v>
      </c>
      <c r="AF330" s="299"/>
      <c r="AG330" s="300"/>
      <c r="AH330" s="299"/>
      <c r="AI330" s="299"/>
      <c r="AJ330" s="300"/>
      <c r="AK330" s="299"/>
      <c r="AL330" s="301"/>
      <c r="AM330" s="314">
        <v>976000</v>
      </c>
      <c r="AN330" s="301"/>
      <c r="AO330" s="302"/>
      <c r="AP330" s="301"/>
      <c r="AQ330" s="301"/>
      <c r="AR330" s="301"/>
      <c r="AS330" s="301"/>
      <c r="AT330" s="301"/>
      <c r="AU330" s="301"/>
      <c r="AV330" s="301"/>
      <c r="AW330" s="301"/>
      <c r="AX330" s="301"/>
      <c r="AY330" s="301"/>
      <c r="AZ330" s="301"/>
      <c r="BA330" s="301">
        <v>0</v>
      </c>
      <c r="BB330" s="301"/>
      <c r="BC330" s="301"/>
      <c r="BD330" s="301"/>
      <c r="BE330" s="301">
        <v>1024000</v>
      </c>
      <c r="BF330" s="301"/>
      <c r="BG330" s="303"/>
      <c r="BH330" s="304"/>
    </row>
    <row r="331" spans="1:60" s="305" customFormat="1" ht="16.5" hidden="1" customHeight="1" x14ac:dyDescent="0.4">
      <c r="A331" s="285">
        <v>308</v>
      </c>
      <c r="B331" s="286"/>
      <c r="C331" s="286"/>
      <c r="D331" s="287" t="s">
        <v>92</v>
      </c>
      <c r="E331" s="287" t="s">
        <v>229</v>
      </c>
      <c r="F331" s="288" t="s">
        <v>92</v>
      </c>
      <c r="G331" s="289" t="s">
        <v>229</v>
      </c>
      <c r="H331" s="307"/>
      <c r="I331" s="290"/>
      <c r="J331" s="291" t="s">
        <v>502</v>
      </c>
      <c r="K331" s="287"/>
      <c r="L331" s="287"/>
      <c r="M331" s="287">
        <v>44114</v>
      </c>
      <c r="N331" s="287" t="s">
        <v>32</v>
      </c>
      <c r="O331" s="287" t="s">
        <v>43</v>
      </c>
      <c r="P331" s="287" t="s">
        <v>44</v>
      </c>
      <c r="Q331" s="287" t="s">
        <v>46</v>
      </c>
      <c r="R331" s="287" t="s">
        <v>347</v>
      </c>
      <c r="S331" s="292" t="s">
        <v>750</v>
      </c>
      <c r="T331" s="293"/>
      <c r="U331" s="294">
        <v>13728000</v>
      </c>
      <c r="V331" s="294">
        <v>5016000</v>
      </c>
      <c r="W331" s="295">
        <v>6050000</v>
      </c>
      <c r="X331" s="296"/>
      <c r="Y331" s="287" t="s">
        <v>21</v>
      </c>
      <c r="Z331" s="297" t="s">
        <v>25</v>
      </c>
      <c r="AA331" s="313"/>
      <c r="AB331" s="313"/>
      <c r="AC331" s="298">
        <f t="shared" si="12"/>
        <v>5000000</v>
      </c>
      <c r="AD331" s="298">
        <v>5000000</v>
      </c>
      <c r="AE331" s="298">
        <f t="shared" si="13"/>
        <v>0</v>
      </c>
      <c r="AF331" s="299"/>
      <c r="AG331" s="300"/>
      <c r="AH331" s="299"/>
      <c r="AI331" s="299"/>
      <c r="AJ331" s="300"/>
      <c r="AK331" s="299"/>
      <c r="AL331" s="301"/>
      <c r="AM331" s="314"/>
      <c r="AN331" s="301"/>
      <c r="AO331" s="302"/>
      <c r="AP331" s="301"/>
      <c r="AQ331" s="301"/>
      <c r="AR331" s="301"/>
      <c r="AS331" s="301"/>
      <c r="AT331" s="301"/>
      <c r="AU331" s="301"/>
      <c r="AV331" s="301"/>
      <c r="AW331" s="301"/>
      <c r="AX331" s="301"/>
      <c r="AY331" s="301"/>
      <c r="AZ331" s="301"/>
      <c r="BA331" s="301">
        <v>5000000</v>
      </c>
      <c r="BB331" s="301"/>
      <c r="BC331" s="301"/>
      <c r="BD331" s="301"/>
      <c r="BE331" s="301"/>
      <c r="BF331" s="301"/>
      <c r="BG331" s="303"/>
      <c r="BH331" s="304"/>
    </row>
    <row r="332" spans="1:60" s="305" customFormat="1" ht="16.5" hidden="1" customHeight="1" x14ac:dyDescent="0.4">
      <c r="A332" s="285">
        <v>309</v>
      </c>
      <c r="B332" s="286"/>
      <c r="C332" s="286"/>
      <c r="D332" s="287" t="s">
        <v>92</v>
      </c>
      <c r="E332" s="287" t="s">
        <v>229</v>
      </c>
      <c r="F332" s="288" t="s">
        <v>92</v>
      </c>
      <c r="G332" s="289" t="s">
        <v>229</v>
      </c>
      <c r="H332" s="307"/>
      <c r="I332" s="290"/>
      <c r="J332" s="291" t="s">
        <v>466</v>
      </c>
      <c r="K332" s="287"/>
      <c r="L332" s="287"/>
      <c r="M332" s="287">
        <v>15306</v>
      </c>
      <c r="N332" s="287" t="s">
        <v>32</v>
      </c>
      <c r="O332" s="287" t="s">
        <v>43</v>
      </c>
      <c r="P332" s="287" t="s">
        <v>44</v>
      </c>
      <c r="Q332" s="287" t="s">
        <v>30</v>
      </c>
      <c r="R332" s="287" t="s">
        <v>31</v>
      </c>
      <c r="S332" s="292" t="s">
        <v>31</v>
      </c>
      <c r="T332" s="293"/>
      <c r="U332" s="294">
        <v>4500000</v>
      </c>
      <c r="V332" s="294">
        <v>0</v>
      </c>
      <c r="W332" s="295"/>
      <c r="X332" s="296"/>
      <c r="Y332" s="287" t="s">
        <v>26</v>
      </c>
      <c r="Z332" s="297" t="s">
        <v>26</v>
      </c>
      <c r="AA332" s="313"/>
      <c r="AB332" s="313"/>
      <c r="AC332" s="298">
        <f t="shared" si="12"/>
        <v>2000000</v>
      </c>
      <c r="AD332" s="298">
        <v>2000000</v>
      </c>
      <c r="AE332" s="298">
        <f t="shared" si="13"/>
        <v>0</v>
      </c>
      <c r="AF332" s="299"/>
      <c r="AG332" s="300"/>
      <c r="AH332" s="299"/>
      <c r="AI332" s="299"/>
      <c r="AJ332" s="300"/>
      <c r="AK332" s="299"/>
      <c r="AL332" s="301"/>
      <c r="AM332" s="314"/>
      <c r="AN332" s="301"/>
      <c r="AO332" s="302"/>
      <c r="AP332" s="301"/>
      <c r="AQ332" s="301"/>
      <c r="AR332" s="301"/>
      <c r="AS332" s="301">
        <v>1000000</v>
      </c>
      <c r="AT332" s="301"/>
      <c r="AU332" s="301"/>
      <c r="AV332" s="301"/>
      <c r="AW332" s="301"/>
      <c r="AX332" s="301"/>
      <c r="AY332" s="301"/>
      <c r="AZ332" s="301"/>
      <c r="BA332" s="301"/>
      <c r="BB332" s="301"/>
      <c r="BC332" s="301"/>
      <c r="BD332" s="301"/>
      <c r="BE332" s="301">
        <v>1000000</v>
      </c>
      <c r="BF332" s="301"/>
      <c r="BG332" s="303"/>
      <c r="BH332" s="304"/>
    </row>
    <row r="333" spans="1:60" s="305" customFormat="1" ht="16.5" hidden="1" customHeight="1" x14ac:dyDescent="0.4">
      <c r="A333" s="285">
        <v>310</v>
      </c>
      <c r="B333" s="286"/>
      <c r="C333" s="286"/>
      <c r="D333" s="287" t="s">
        <v>92</v>
      </c>
      <c r="E333" s="287" t="s">
        <v>229</v>
      </c>
      <c r="F333" s="288" t="s">
        <v>92</v>
      </c>
      <c r="G333" s="289" t="s">
        <v>229</v>
      </c>
      <c r="H333" s="307"/>
      <c r="I333" s="290"/>
      <c r="J333" s="291" t="s">
        <v>522</v>
      </c>
      <c r="K333" s="287"/>
      <c r="L333" s="287"/>
      <c r="M333" s="287">
        <v>7430</v>
      </c>
      <c r="N333" s="287" t="s">
        <v>32</v>
      </c>
      <c r="O333" s="287" t="s">
        <v>43</v>
      </c>
      <c r="P333" s="287" t="s">
        <v>44</v>
      </c>
      <c r="Q333" s="287" t="s">
        <v>19</v>
      </c>
      <c r="R333" s="287" t="s">
        <v>20</v>
      </c>
      <c r="S333" s="292" t="s">
        <v>20</v>
      </c>
      <c r="T333" s="293"/>
      <c r="U333" s="294">
        <v>41547100</v>
      </c>
      <c r="V333" s="294">
        <v>47487200</v>
      </c>
      <c r="W333" s="295">
        <v>40153900</v>
      </c>
      <c r="X333" s="296"/>
      <c r="Y333" s="287" t="s">
        <v>28</v>
      </c>
      <c r="Z333" s="297" t="s">
        <v>28</v>
      </c>
      <c r="AA333" s="313"/>
      <c r="AB333" s="313"/>
      <c r="AC333" s="298">
        <f t="shared" si="12"/>
        <v>72000000</v>
      </c>
      <c r="AD333" s="298">
        <v>72000000</v>
      </c>
      <c r="AE333" s="298">
        <f t="shared" si="13"/>
        <v>0</v>
      </c>
      <c r="AF333" s="299"/>
      <c r="AG333" s="300"/>
      <c r="AH333" s="299"/>
      <c r="AI333" s="299"/>
      <c r="AJ333" s="300"/>
      <c r="AK333" s="299"/>
      <c r="AL333" s="301"/>
      <c r="AM333" s="314"/>
      <c r="AN333" s="301"/>
      <c r="AO333" s="302"/>
      <c r="AP333" s="301"/>
      <c r="AQ333" s="301"/>
      <c r="AR333" s="301"/>
      <c r="AS333" s="301"/>
      <c r="AT333" s="301"/>
      <c r="AU333" s="301">
        <v>12000000</v>
      </c>
      <c r="AV333" s="301"/>
      <c r="AW333" s="301">
        <v>12000000</v>
      </c>
      <c r="AX333" s="301"/>
      <c r="AY333" s="301">
        <v>12000000</v>
      </c>
      <c r="AZ333" s="301"/>
      <c r="BA333" s="301">
        <v>12000000</v>
      </c>
      <c r="BB333" s="301"/>
      <c r="BC333" s="301">
        <v>12000000</v>
      </c>
      <c r="BD333" s="301"/>
      <c r="BE333" s="301">
        <v>12000000</v>
      </c>
      <c r="BF333" s="301"/>
      <c r="BG333" s="303"/>
      <c r="BH333" s="304"/>
    </row>
    <row r="334" spans="1:60" s="305" customFormat="1" ht="16.5" hidden="1" customHeight="1" x14ac:dyDescent="0.4">
      <c r="A334" s="285">
        <v>311</v>
      </c>
      <c r="B334" s="286"/>
      <c r="C334" s="286"/>
      <c r="D334" s="287" t="s">
        <v>92</v>
      </c>
      <c r="E334" s="287" t="s">
        <v>184</v>
      </c>
      <c r="F334" s="288" t="s">
        <v>92</v>
      </c>
      <c r="G334" s="289" t="s">
        <v>229</v>
      </c>
      <c r="H334" s="307"/>
      <c r="I334" s="290"/>
      <c r="J334" s="291" t="s">
        <v>214</v>
      </c>
      <c r="K334" s="287"/>
      <c r="L334" s="287"/>
      <c r="M334" s="287">
        <v>598</v>
      </c>
      <c r="N334" s="287" t="s">
        <v>23</v>
      </c>
      <c r="O334" s="287" t="s">
        <v>33</v>
      </c>
      <c r="P334" s="287" t="s">
        <v>93</v>
      </c>
      <c r="Q334" s="287" t="s">
        <v>36</v>
      </c>
      <c r="R334" s="287" t="s">
        <v>341</v>
      </c>
      <c r="S334" s="292" t="s">
        <v>341</v>
      </c>
      <c r="T334" s="293"/>
      <c r="U334" s="294" t="s">
        <v>97</v>
      </c>
      <c r="V334" s="294">
        <v>0</v>
      </c>
      <c r="W334" s="295">
        <v>15000000</v>
      </c>
      <c r="X334" s="296"/>
      <c r="Y334" s="287" t="s">
        <v>26</v>
      </c>
      <c r="Z334" s="297" t="s">
        <v>26</v>
      </c>
      <c r="AA334" s="313"/>
      <c r="AB334" s="313"/>
      <c r="AC334" s="298">
        <f t="shared" si="12"/>
        <v>10000000</v>
      </c>
      <c r="AD334" s="298">
        <v>10000000</v>
      </c>
      <c r="AE334" s="298">
        <f t="shared" si="13"/>
        <v>0</v>
      </c>
      <c r="AF334" s="299"/>
      <c r="AG334" s="300"/>
      <c r="AH334" s="299"/>
      <c r="AI334" s="299"/>
      <c r="AJ334" s="300"/>
      <c r="AK334" s="299"/>
      <c r="AL334" s="301"/>
      <c r="AM334" s="314"/>
      <c r="AN334" s="301"/>
      <c r="AO334" s="302"/>
      <c r="AP334" s="301"/>
      <c r="AQ334" s="316">
        <v>10000000</v>
      </c>
      <c r="AR334" s="301"/>
      <c r="AS334" s="301"/>
      <c r="AT334" s="301"/>
      <c r="AU334" s="301"/>
      <c r="AV334" s="301"/>
      <c r="AW334" s="301"/>
      <c r="AX334" s="301"/>
      <c r="AY334" s="301"/>
      <c r="AZ334" s="301"/>
      <c r="BA334" s="301"/>
      <c r="BB334" s="301"/>
      <c r="BC334" s="301"/>
      <c r="BD334" s="301"/>
      <c r="BE334" s="301"/>
      <c r="BF334" s="301"/>
      <c r="BG334" s="303"/>
      <c r="BH334" s="304"/>
    </row>
    <row r="335" spans="1:60" s="305" customFormat="1" ht="16.5" hidden="1" customHeight="1" x14ac:dyDescent="0.4">
      <c r="A335" s="285">
        <v>312</v>
      </c>
      <c r="B335" s="286"/>
      <c r="C335" s="286"/>
      <c r="D335" s="287" t="s">
        <v>92</v>
      </c>
      <c r="E335" s="287" t="s">
        <v>184</v>
      </c>
      <c r="F335" s="288" t="s">
        <v>92</v>
      </c>
      <c r="G335" s="289" t="s">
        <v>229</v>
      </c>
      <c r="H335" s="307"/>
      <c r="I335" s="290"/>
      <c r="J335" s="291" t="s">
        <v>214</v>
      </c>
      <c r="K335" s="287"/>
      <c r="L335" s="287"/>
      <c r="M335" s="287">
        <v>598</v>
      </c>
      <c r="N335" s="287" t="s">
        <v>23</v>
      </c>
      <c r="O335" s="287"/>
      <c r="P335" s="287"/>
      <c r="Q335" s="287" t="s">
        <v>27</v>
      </c>
      <c r="R335" s="287" t="s">
        <v>340</v>
      </c>
      <c r="S335" s="292" t="s">
        <v>340</v>
      </c>
      <c r="T335" s="293"/>
      <c r="U335" s="294">
        <v>500000</v>
      </c>
      <c r="V335" s="294">
        <v>0</v>
      </c>
      <c r="W335" s="295"/>
      <c r="X335" s="296"/>
      <c r="Y335" s="287" t="s">
        <v>26</v>
      </c>
      <c r="Z335" s="297" t="s">
        <v>26</v>
      </c>
      <c r="AA335" s="313"/>
      <c r="AB335" s="313"/>
      <c r="AC335" s="298">
        <f t="shared" si="12"/>
        <v>3000000</v>
      </c>
      <c r="AD335" s="298">
        <v>3000000</v>
      </c>
      <c r="AE335" s="298">
        <f t="shared" si="13"/>
        <v>0</v>
      </c>
      <c r="AF335" s="299"/>
      <c r="AG335" s="300"/>
      <c r="AH335" s="299"/>
      <c r="AI335" s="299"/>
      <c r="AJ335" s="300"/>
      <c r="AK335" s="299"/>
      <c r="AL335" s="301"/>
      <c r="AM335" s="314"/>
      <c r="AN335" s="301"/>
      <c r="AO335" s="302"/>
      <c r="AP335" s="301"/>
      <c r="AQ335" s="316">
        <v>3000000</v>
      </c>
      <c r="AR335" s="301"/>
      <c r="AS335" s="301"/>
      <c r="AT335" s="301"/>
      <c r="AU335" s="301"/>
      <c r="AV335" s="301"/>
      <c r="AW335" s="301"/>
      <c r="AX335" s="301"/>
      <c r="AY335" s="301"/>
      <c r="AZ335" s="301"/>
      <c r="BA335" s="301"/>
      <c r="BB335" s="301"/>
      <c r="BC335" s="301"/>
      <c r="BD335" s="301"/>
      <c r="BE335" s="301"/>
      <c r="BF335" s="301"/>
      <c r="BG335" s="303"/>
      <c r="BH335" s="304"/>
    </row>
    <row r="336" spans="1:60" s="305" customFormat="1" ht="16.5" hidden="1" customHeight="1" x14ac:dyDescent="0.4">
      <c r="A336" s="285">
        <v>313</v>
      </c>
      <c r="B336" s="286"/>
      <c r="C336" s="286"/>
      <c r="D336" s="287" t="s">
        <v>92</v>
      </c>
      <c r="E336" s="287" t="s">
        <v>138</v>
      </c>
      <c r="F336" s="288" t="s">
        <v>92</v>
      </c>
      <c r="G336" s="289" t="s">
        <v>229</v>
      </c>
      <c r="H336" s="307"/>
      <c r="I336" s="290"/>
      <c r="J336" s="291" t="s">
        <v>145</v>
      </c>
      <c r="K336" s="287"/>
      <c r="L336" s="287"/>
      <c r="M336" s="287">
        <v>6962</v>
      </c>
      <c r="N336" s="287" t="s">
        <v>23</v>
      </c>
      <c r="O336" s="287"/>
      <c r="P336" s="287"/>
      <c r="Q336" s="287" t="s">
        <v>19</v>
      </c>
      <c r="R336" s="287" t="s">
        <v>20</v>
      </c>
      <c r="S336" s="292" t="s">
        <v>20</v>
      </c>
      <c r="T336" s="293"/>
      <c r="U336" s="294" t="s">
        <v>97</v>
      </c>
      <c r="V336" s="294">
        <v>1750000</v>
      </c>
      <c r="W336" s="295"/>
      <c r="X336" s="296"/>
      <c r="Y336" s="287" t="s">
        <v>21</v>
      </c>
      <c r="Z336" s="297" t="s">
        <v>26</v>
      </c>
      <c r="AA336" s="313"/>
      <c r="AB336" s="313"/>
      <c r="AC336" s="298">
        <f t="shared" si="12"/>
        <v>5000000</v>
      </c>
      <c r="AD336" s="298">
        <v>5000000</v>
      </c>
      <c r="AE336" s="298">
        <f t="shared" si="13"/>
        <v>0</v>
      </c>
      <c r="AF336" s="299"/>
      <c r="AG336" s="300"/>
      <c r="AH336" s="299"/>
      <c r="AI336" s="299"/>
      <c r="AJ336" s="300"/>
      <c r="AK336" s="299"/>
      <c r="AL336" s="301"/>
      <c r="AM336" s="314"/>
      <c r="AN336" s="301"/>
      <c r="AO336" s="302"/>
      <c r="AP336" s="301"/>
      <c r="AQ336" s="301"/>
      <c r="AR336" s="301"/>
      <c r="AS336" s="301">
        <v>5000000</v>
      </c>
      <c r="AT336" s="301"/>
      <c r="AU336" s="301"/>
      <c r="AV336" s="301"/>
      <c r="AW336" s="301"/>
      <c r="AX336" s="301"/>
      <c r="AY336" s="301"/>
      <c r="AZ336" s="301"/>
      <c r="BA336" s="301"/>
      <c r="BB336" s="301"/>
      <c r="BC336" s="301"/>
      <c r="BD336" s="301"/>
      <c r="BE336" s="301"/>
      <c r="BF336" s="301"/>
      <c r="BG336" s="303"/>
      <c r="BH336" s="304"/>
    </row>
    <row r="337" spans="1:60" s="305" customFormat="1" ht="16.5" hidden="1" customHeight="1" x14ac:dyDescent="0.4">
      <c r="A337" s="285">
        <v>314</v>
      </c>
      <c r="B337" s="286"/>
      <c r="C337" s="286"/>
      <c r="D337" s="287" t="s">
        <v>92</v>
      </c>
      <c r="E337" s="287" t="s">
        <v>193</v>
      </c>
      <c r="F337" s="288" t="s">
        <v>92</v>
      </c>
      <c r="G337" s="289" t="s">
        <v>229</v>
      </c>
      <c r="H337" s="307"/>
      <c r="I337" s="290"/>
      <c r="J337" s="291" t="s">
        <v>680</v>
      </c>
      <c r="K337" s="287"/>
      <c r="L337" s="287"/>
      <c r="M337" s="287">
        <v>8769</v>
      </c>
      <c r="N337" s="287" t="s">
        <v>23</v>
      </c>
      <c r="O337" s="287" t="s">
        <v>43</v>
      </c>
      <c r="P337" s="287" t="s">
        <v>44</v>
      </c>
      <c r="Q337" s="287" t="s">
        <v>19</v>
      </c>
      <c r="R337" s="287" t="s">
        <v>31</v>
      </c>
      <c r="S337" s="292" t="s">
        <v>31</v>
      </c>
      <c r="T337" s="293"/>
      <c r="U337" s="294">
        <v>13332000</v>
      </c>
      <c r="V337" s="294">
        <v>20692000</v>
      </c>
      <c r="W337" s="295">
        <v>18582000</v>
      </c>
      <c r="X337" s="296"/>
      <c r="Y337" s="287" t="s">
        <v>28</v>
      </c>
      <c r="Z337" s="297" t="s">
        <v>28</v>
      </c>
      <c r="AA337" s="313"/>
      <c r="AB337" s="313"/>
      <c r="AC337" s="298">
        <f t="shared" si="12"/>
        <v>15000000</v>
      </c>
      <c r="AD337" s="298">
        <v>15000000</v>
      </c>
      <c r="AE337" s="298">
        <f t="shared" si="13"/>
        <v>0</v>
      </c>
      <c r="AF337" s="299"/>
      <c r="AG337" s="300"/>
      <c r="AH337" s="299"/>
      <c r="AI337" s="299"/>
      <c r="AJ337" s="300"/>
      <c r="AK337" s="299"/>
      <c r="AL337" s="301"/>
      <c r="AM337" s="314"/>
      <c r="AN337" s="301"/>
      <c r="AO337" s="302"/>
      <c r="AP337" s="301"/>
      <c r="AQ337" s="301"/>
      <c r="AR337" s="301"/>
      <c r="AS337" s="301"/>
      <c r="AT337" s="301"/>
      <c r="AU337" s="301"/>
      <c r="AV337" s="301"/>
      <c r="AW337" s="301"/>
      <c r="AX337" s="301"/>
      <c r="AY337" s="301"/>
      <c r="AZ337" s="301"/>
      <c r="BA337" s="301"/>
      <c r="BB337" s="301"/>
      <c r="BC337" s="301"/>
      <c r="BD337" s="301"/>
      <c r="BE337" s="301">
        <v>15000000</v>
      </c>
      <c r="BF337" s="301"/>
      <c r="BG337" s="303"/>
      <c r="BH337" s="304"/>
    </row>
    <row r="338" spans="1:60" s="305" customFormat="1" ht="16.5" hidden="1" customHeight="1" x14ac:dyDescent="0.4">
      <c r="A338" s="285">
        <v>315</v>
      </c>
      <c r="B338" s="286"/>
      <c r="C338" s="286"/>
      <c r="D338" s="287"/>
      <c r="E338" s="287"/>
      <c r="F338" s="288" t="s">
        <v>92</v>
      </c>
      <c r="G338" s="289" t="s">
        <v>229</v>
      </c>
      <c r="H338" s="307"/>
      <c r="I338" s="290"/>
      <c r="J338" s="291" t="s">
        <v>774</v>
      </c>
      <c r="K338" s="287"/>
      <c r="L338" s="287"/>
      <c r="M338" s="287">
        <v>41473</v>
      </c>
      <c r="N338" s="287" t="s">
        <v>32</v>
      </c>
      <c r="O338" s="287"/>
      <c r="P338" s="287"/>
      <c r="Q338" s="287"/>
      <c r="R338" s="287"/>
      <c r="S338" s="292" t="s">
        <v>349</v>
      </c>
      <c r="T338" s="293"/>
      <c r="U338" s="294"/>
      <c r="V338" s="294"/>
      <c r="W338" s="295">
        <v>3800000</v>
      </c>
      <c r="X338" s="296"/>
      <c r="Y338" s="287"/>
      <c r="Z338" s="297" t="s">
        <v>656</v>
      </c>
      <c r="AA338" s="313"/>
      <c r="AB338" s="313"/>
      <c r="AC338" s="298">
        <f t="shared" si="12"/>
        <v>0</v>
      </c>
      <c r="AD338" s="298">
        <v>0</v>
      </c>
      <c r="AE338" s="298">
        <f t="shared" si="13"/>
        <v>0</v>
      </c>
      <c r="AF338" s="299"/>
      <c r="AG338" s="300"/>
      <c r="AH338" s="299"/>
      <c r="AI338" s="299"/>
      <c r="AJ338" s="300"/>
      <c r="AK338" s="299"/>
      <c r="AL338" s="301"/>
      <c r="AM338" s="314"/>
      <c r="AN338" s="301"/>
      <c r="AO338" s="302"/>
      <c r="AP338" s="301"/>
      <c r="AQ338" s="301"/>
      <c r="AR338" s="301"/>
      <c r="AS338" s="301"/>
      <c r="AT338" s="301"/>
      <c r="AU338" s="301"/>
      <c r="AV338" s="301"/>
      <c r="AW338" s="301"/>
      <c r="AX338" s="301"/>
      <c r="AY338" s="301"/>
      <c r="AZ338" s="301"/>
      <c r="BA338" s="301"/>
      <c r="BB338" s="301"/>
      <c r="BC338" s="301"/>
      <c r="BD338" s="301"/>
      <c r="BE338" s="301"/>
      <c r="BF338" s="301"/>
      <c r="BG338" s="303"/>
      <c r="BH338" s="304"/>
    </row>
    <row r="339" spans="1:60" s="305" customFormat="1" ht="16.5" hidden="1" customHeight="1" x14ac:dyDescent="0.4">
      <c r="A339" s="285">
        <v>316</v>
      </c>
      <c r="B339" s="286"/>
      <c r="C339" s="286"/>
      <c r="D339" s="287" t="s">
        <v>92</v>
      </c>
      <c r="E339" s="287" t="s">
        <v>229</v>
      </c>
      <c r="F339" s="288" t="s">
        <v>92</v>
      </c>
      <c r="G339" s="289" t="s">
        <v>229</v>
      </c>
      <c r="H339" s="307"/>
      <c r="I339" s="290"/>
      <c r="J339" s="291" t="s">
        <v>62</v>
      </c>
      <c r="K339" s="287"/>
      <c r="L339" s="287"/>
      <c r="M339" s="287">
        <v>46251</v>
      </c>
      <c r="N339" s="287" t="s">
        <v>35</v>
      </c>
      <c r="O339" s="287"/>
      <c r="P339" s="287"/>
      <c r="Q339" s="287" t="s">
        <v>30</v>
      </c>
      <c r="R339" s="287" t="s">
        <v>31</v>
      </c>
      <c r="S339" s="292" t="s">
        <v>31</v>
      </c>
      <c r="T339" s="293"/>
      <c r="U339" s="294">
        <v>6967500</v>
      </c>
      <c r="V339" s="294">
        <v>7080000</v>
      </c>
      <c r="W339" s="295">
        <v>5740000</v>
      </c>
      <c r="X339" s="296"/>
      <c r="Y339" s="287" t="s">
        <v>28</v>
      </c>
      <c r="Z339" s="297" t="s">
        <v>25</v>
      </c>
      <c r="AA339" s="313"/>
      <c r="AB339" s="313"/>
      <c r="AC339" s="298">
        <f t="shared" si="12"/>
        <v>2000000</v>
      </c>
      <c r="AD339" s="298">
        <v>2000000</v>
      </c>
      <c r="AE339" s="298">
        <f t="shared" si="13"/>
        <v>0</v>
      </c>
      <c r="AF339" s="299"/>
      <c r="AG339" s="300"/>
      <c r="AH339" s="299"/>
      <c r="AI339" s="299"/>
      <c r="AJ339" s="300"/>
      <c r="AK339" s="299"/>
      <c r="AL339" s="301"/>
      <c r="AM339" s="314"/>
      <c r="AN339" s="301"/>
      <c r="AO339" s="302"/>
      <c r="AP339" s="301"/>
      <c r="AQ339" s="301"/>
      <c r="AR339" s="301"/>
      <c r="AS339" s="301">
        <v>1000000</v>
      </c>
      <c r="AT339" s="301"/>
      <c r="AU339" s="301"/>
      <c r="AV339" s="301"/>
      <c r="AW339" s="301"/>
      <c r="AX339" s="301"/>
      <c r="AY339" s="301"/>
      <c r="AZ339" s="301"/>
      <c r="BA339" s="301"/>
      <c r="BB339" s="301"/>
      <c r="BC339" s="301"/>
      <c r="BD339" s="301"/>
      <c r="BE339" s="301">
        <v>1000000</v>
      </c>
      <c r="BF339" s="301"/>
      <c r="BG339" s="303"/>
      <c r="BH339" s="304"/>
    </row>
    <row r="340" spans="1:60" s="305" customFormat="1" ht="16.5" hidden="1" customHeight="1" x14ac:dyDescent="0.4">
      <c r="A340" s="285">
        <v>317</v>
      </c>
      <c r="B340" s="286"/>
      <c r="C340" s="286"/>
      <c r="D340" s="287" t="s">
        <v>92</v>
      </c>
      <c r="E340" s="287" t="s">
        <v>229</v>
      </c>
      <c r="F340" s="288" t="s">
        <v>92</v>
      </c>
      <c r="G340" s="289" t="s">
        <v>229</v>
      </c>
      <c r="H340" s="307"/>
      <c r="I340" s="290"/>
      <c r="J340" s="291" t="s">
        <v>233</v>
      </c>
      <c r="K340" s="287"/>
      <c r="L340" s="287"/>
      <c r="M340" s="287">
        <v>3973</v>
      </c>
      <c r="N340" s="287" t="s">
        <v>23</v>
      </c>
      <c r="O340" s="287" t="s">
        <v>43</v>
      </c>
      <c r="P340" s="287" t="s">
        <v>44</v>
      </c>
      <c r="Q340" s="287" t="s">
        <v>30</v>
      </c>
      <c r="R340" s="287" t="s">
        <v>31</v>
      </c>
      <c r="S340" s="292" t="s">
        <v>31</v>
      </c>
      <c r="T340" s="293"/>
      <c r="U340" s="294">
        <v>5276500</v>
      </c>
      <c r="V340" s="294">
        <v>19528500</v>
      </c>
      <c r="W340" s="295">
        <v>28296500</v>
      </c>
      <c r="X340" s="296"/>
      <c r="Y340" s="287" t="s">
        <v>28</v>
      </c>
      <c r="Z340" s="297" t="s">
        <v>28</v>
      </c>
      <c r="AA340" s="313"/>
      <c r="AB340" s="313"/>
      <c r="AC340" s="298">
        <f t="shared" si="12"/>
        <v>14000000</v>
      </c>
      <c r="AD340" s="298">
        <v>14000000</v>
      </c>
      <c r="AE340" s="298">
        <f t="shared" si="13"/>
        <v>0</v>
      </c>
      <c r="AF340" s="299"/>
      <c r="AG340" s="300"/>
      <c r="AH340" s="299"/>
      <c r="AI340" s="299">
        <v>0</v>
      </c>
      <c r="AJ340" s="300"/>
      <c r="AK340" s="299"/>
      <c r="AL340" s="301"/>
      <c r="AM340" s="314"/>
      <c r="AN340" s="301"/>
      <c r="AO340" s="302">
        <v>700000</v>
      </c>
      <c r="AP340" s="301"/>
      <c r="AQ340" s="301">
        <v>300000</v>
      </c>
      <c r="AR340" s="301"/>
      <c r="AS340" s="301">
        <v>400000</v>
      </c>
      <c r="AT340" s="301"/>
      <c r="AU340" s="301">
        <v>300000</v>
      </c>
      <c r="AV340" s="301"/>
      <c r="AW340" s="301">
        <v>400000</v>
      </c>
      <c r="AX340" s="301"/>
      <c r="AY340" s="301">
        <v>400000</v>
      </c>
      <c r="AZ340" s="301"/>
      <c r="BA340" s="301">
        <v>400000</v>
      </c>
      <c r="BB340" s="301"/>
      <c r="BC340" s="301">
        <v>300000</v>
      </c>
      <c r="BD340" s="301"/>
      <c r="BE340" s="301">
        <v>10800000</v>
      </c>
      <c r="BF340" s="301"/>
      <c r="BG340" s="303"/>
      <c r="BH340" s="304"/>
    </row>
    <row r="341" spans="1:60" s="305" customFormat="1" ht="16.5" hidden="1" customHeight="1" x14ac:dyDescent="0.4">
      <c r="A341" s="285">
        <v>318</v>
      </c>
      <c r="B341" s="286"/>
      <c r="C341" s="286"/>
      <c r="D341" s="287" t="s">
        <v>92</v>
      </c>
      <c r="E341" s="287" t="s">
        <v>229</v>
      </c>
      <c r="F341" s="288" t="s">
        <v>92</v>
      </c>
      <c r="G341" s="289" t="s">
        <v>229</v>
      </c>
      <c r="H341" s="307"/>
      <c r="I341" s="290"/>
      <c r="J341" s="291" t="s">
        <v>233</v>
      </c>
      <c r="K341" s="287"/>
      <c r="L341" s="287"/>
      <c r="M341" s="287">
        <v>3973</v>
      </c>
      <c r="N341" s="287" t="s">
        <v>23</v>
      </c>
      <c r="O341" s="287"/>
      <c r="P341" s="287"/>
      <c r="Q341" s="287" t="s">
        <v>30</v>
      </c>
      <c r="R341" s="287" t="s">
        <v>31</v>
      </c>
      <c r="S341" s="292" t="s">
        <v>31</v>
      </c>
      <c r="T341" s="293"/>
      <c r="U341" s="294"/>
      <c r="V341" s="294" t="s">
        <v>562</v>
      </c>
      <c r="W341" s="295">
        <v>0</v>
      </c>
      <c r="X341" s="296"/>
      <c r="Y341" s="287" t="s">
        <v>21</v>
      </c>
      <c r="Z341" s="297" t="s">
        <v>618</v>
      </c>
      <c r="AA341" s="313"/>
      <c r="AB341" s="313"/>
      <c r="AC341" s="298">
        <f t="shared" si="12"/>
        <v>0</v>
      </c>
      <c r="AD341" s="298">
        <v>0</v>
      </c>
      <c r="AE341" s="298">
        <f t="shared" si="13"/>
        <v>0</v>
      </c>
      <c r="AF341" s="299"/>
      <c r="AG341" s="300"/>
      <c r="AH341" s="299"/>
      <c r="AI341" s="299"/>
      <c r="AJ341" s="300"/>
      <c r="AK341" s="299"/>
      <c r="AL341" s="301"/>
      <c r="AM341" s="314"/>
      <c r="AN341" s="301"/>
      <c r="AO341" s="302"/>
      <c r="AP341" s="301"/>
      <c r="AQ341" s="301"/>
      <c r="AR341" s="301"/>
      <c r="AS341" s="301"/>
      <c r="AT341" s="301"/>
      <c r="AU341" s="301"/>
      <c r="AV341" s="301"/>
      <c r="AW341" s="301"/>
      <c r="AX341" s="301"/>
      <c r="AY341" s="301"/>
      <c r="AZ341" s="301"/>
      <c r="BA341" s="301"/>
      <c r="BB341" s="301"/>
      <c r="BC341" s="301"/>
      <c r="BD341" s="301"/>
      <c r="BE341" s="301"/>
      <c r="BF341" s="301"/>
      <c r="BG341" s="303"/>
      <c r="BH341" s="304"/>
    </row>
    <row r="342" spans="1:60" s="305" customFormat="1" ht="16.5" hidden="1" customHeight="1" x14ac:dyDescent="0.4">
      <c r="A342" s="285">
        <v>319</v>
      </c>
      <c r="B342" s="286"/>
      <c r="C342" s="286"/>
      <c r="D342" s="287" t="s">
        <v>92</v>
      </c>
      <c r="E342" s="287" t="s">
        <v>229</v>
      </c>
      <c r="F342" s="288" t="s">
        <v>92</v>
      </c>
      <c r="G342" s="289" t="s">
        <v>229</v>
      </c>
      <c r="H342" s="307"/>
      <c r="I342" s="290"/>
      <c r="J342" s="291" t="s">
        <v>233</v>
      </c>
      <c r="K342" s="287"/>
      <c r="L342" s="287"/>
      <c r="M342" s="287">
        <v>3973</v>
      </c>
      <c r="N342" s="287" t="s">
        <v>23</v>
      </c>
      <c r="O342" s="287"/>
      <c r="P342" s="287"/>
      <c r="Q342" s="287" t="s">
        <v>37</v>
      </c>
      <c r="R342" s="287" t="s">
        <v>38</v>
      </c>
      <c r="S342" s="292" t="s">
        <v>38</v>
      </c>
      <c r="T342" s="293"/>
      <c r="U342" s="294">
        <v>22500000</v>
      </c>
      <c r="V342" s="294">
        <v>0</v>
      </c>
      <c r="W342" s="295"/>
      <c r="X342" s="296"/>
      <c r="Y342" s="287" t="s">
        <v>25</v>
      </c>
      <c r="Z342" s="297" t="s">
        <v>25</v>
      </c>
      <c r="AA342" s="313"/>
      <c r="AB342" s="313"/>
      <c r="AC342" s="298">
        <f t="shared" si="12"/>
        <v>10000000</v>
      </c>
      <c r="AD342" s="298">
        <v>10000000</v>
      </c>
      <c r="AE342" s="298">
        <f t="shared" si="13"/>
        <v>0</v>
      </c>
      <c r="AF342" s="299"/>
      <c r="AG342" s="300"/>
      <c r="AH342" s="299"/>
      <c r="AI342" s="299"/>
      <c r="AJ342" s="300"/>
      <c r="AK342" s="299"/>
      <c r="AL342" s="301"/>
      <c r="AM342" s="314"/>
      <c r="AN342" s="301"/>
      <c r="AO342" s="302"/>
      <c r="AP342" s="301"/>
      <c r="AQ342" s="301"/>
      <c r="AR342" s="301"/>
      <c r="AS342" s="301">
        <v>10000000</v>
      </c>
      <c r="AT342" s="301"/>
      <c r="AU342" s="301"/>
      <c r="AV342" s="301"/>
      <c r="AW342" s="301"/>
      <c r="AX342" s="301"/>
      <c r="AY342" s="301"/>
      <c r="AZ342" s="301"/>
      <c r="BA342" s="301"/>
      <c r="BB342" s="301"/>
      <c r="BC342" s="301"/>
      <c r="BD342" s="301"/>
      <c r="BE342" s="301"/>
      <c r="BF342" s="301"/>
      <c r="BG342" s="303"/>
      <c r="BH342" s="304"/>
    </row>
    <row r="343" spans="1:60" s="305" customFormat="1" ht="16.5" hidden="1" customHeight="1" x14ac:dyDescent="0.4">
      <c r="A343" s="285">
        <v>320</v>
      </c>
      <c r="B343" s="286"/>
      <c r="C343" s="286"/>
      <c r="D343" s="287" t="s">
        <v>92</v>
      </c>
      <c r="E343" s="287" t="s">
        <v>229</v>
      </c>
      <c r="F343" s="288" t="s">
        <v>92</v>
      </c>
      <c r="G343" s="289" t="s">
        <v>229</v>
      </c>
      <c r="H343" s="307"/>
      <c r="I343" s="290"/>
      <c r="J343" s="291" t="s">
        <v>63</v>
      </c>
      <c r="K343" s="287"/>
      <c r="L343" s="287"/>
      <c r="M343" s="287">
        <v>57475</v>
      </c>
      <c r="N343" s="287" t="s">
        <v>18</v>
      </c>
      <c r="O343" s="287"/>
      <c r="P343" s="287"/>
      <c r="Q343" s="287" t="s">
        <v>30</v>
      </c>
      <c r="R343" s="287" t="s">
        <v>31</v>
      </c>
      <c r="S343" s="292" t="s">
        <v>31</v>
      </c>
      <c r="T343" s="293"/>
      <c r="U343" s="294">
        <v>2680000</v>
      </c>
      <c r="V343" s="294">
        <v>1360000</v>
      </c>
      <c r="W343" s="295"/>
      <c r="X343" s="296"/>
      <c r="Y343" s="287" t="s">
        <v>25</v>
      </c>
      <c r="Z343" s="297" t="s">
        <v>25</v>
      </c>
      <c r="AA343" s="313"/>
      <c r="AB343" s="313"/>
      <c r="AC343" s="298">
        <f t="shared" si="12"/>
        <v>1000000</v>
      </c>
      <c r="AD343" s="298">
        <v>1000000</v>
      </c>
      <c r="AE343" s="298">
        <f t="shared" si="13"/>
        <v>0</v>
      </c>
      <c r="AF343" s="299"/>
      <c r="AG343" s="300"/>
      <c r="AH343" s="299"/>
      <c r="AI343" s="299"/>
      <c r="AJ343" s="300"/>
      <c r="AK343" s="299"/>
      <c r="AL343" s="301"/>
      <c r="AM343" s="314"/>
      <c r="AN343" s="301"/>
      <c r="AO343" s="302"/>
      <c r="AP343" s="301"/>
      <c r="AQ343" s="301"/>
      <c r="AR343" s="301"/>
      <c r="AS343" s="301">
        <v>1000000</v>
      </c>
      <c r="AT343" s="301"/>
      <c r="AU343" s="301"/>
      <c r="AV343" s="301"/>
      <c r="AW343" s="301"/>
      <c r="AX343" s="301"/>
      <c r="AY343" s="301"/>
      <c r="AZ343" s="301"/>
      <c r="BA343" s="301"/>
      <c r="BB343" s="301"/>
      <c r="BC343" s="301"/>
      <c r="BD343" s="301"/>
      <c r="BE343" s="301"/>
      <c r="BF343" s="301"/>
      <c r="BG343" s="303"/>
      <c r="BH343" s="304"/>
    </row>
    <row r="344" spans="1:60" s="305" customFormat="1" ht="16.5" hidden="1" customHeight="1" x14ac:dyDescent="0.4">
      <c r="A344" s="285">
        <v>321</v>
      </c>
      <c r="B344" s="286"/>
      <c r="C344" s="286"/>
      <c r="D344" s="287" t="s">
        <v>92</v>
      </c>
      <c r="E344" s="287" t="s">
        <v>184</v>
      </c>
      <c r="F344" s="288" t="s">
        <v>92</v>
      </c>
      <c r="G344" s="289" t="s">
        <v>229</v>
      </c>
      <c r="H344" s="307"/>
      <c r="I344" s="290"/>
      <c r="J344" s="291" t="s">
        <v>189</v>
      </c>
      <c r="K344" s="287"/>
      <c r="L344" s="287"/>
      <c r="M344" s="287">
        <v>5007</v>
      </c>
      <c r="N344" s="287" t="s">
        <v>23</v>
      </c>
      <c r="O344" s="287"/>
      <c r="P344" s="287"/>
      <c r="Q344" s="287"/>
      <c r="R344" s="287" t="s">
        <v>349</v>
      </c>
      <c r="S344" s="292" t="s">
        <v>349</v>
      </c>
      <c r="T344" s="293"/>
      <c r="U344" s="294"/>
      <c r="V344" s="294"/>
      <c r="W344" s="295">
        <v>3000000</v>
      </c>
      <c r="X344" s="296"/>
      <c r="Y344" s="287" t="s">
        <v>28</v>
      </c>
      <c r="Z344" s="297" t="s">
        <v>25</v>
      </c>
      <c r="AA344" s="313"/>
      <c r="AB344" s="313"/>
      <c r="AC344" s="298">
        <f t="shared" ref="AC344:AC407" si="14">AG344+AJ344+AM344+AO344+AQ344+AS344+AU344+AW344+AY344+BA344+BC344+BE344</f>
        <v>4000000</v>
      </c>
      <c r="AD344" s="298">
        <v>4000000</v>
      </c>
      <c r="AE344" s="298">
        <f t="shared" ref="AE344:AE407" si="15">AC344-AD344</f>
        <v>0</v>
      </c>
      <c r="AF344" s="299"/>
      <c r="AG344" s="300"/>
      <c r="AH344" s="299"/>
      <c r="AI344" s="299"/>
      <c r="AJ344" s="300"/>
      <c r="AK344" s="299"/>
      <c r="AL344" s="301"/>
      <c r="AM344" s="314"/>
      <c r="AN344" s="301"/>
      <c r="AO344" s="302"/>
      <c r="AP344" s="301"/>
      <c r="AQ344" s="301"/>
      <c r="AR344" s="301"/>
      <c r="AS344" s="301">
        <v>2000000</v>
      </c>
      <c r="AT344" s="301"/>
      <c r="AU344" s="301"/>
      <c r="AV344" s="301"/>
      <c r="AW344" s="301"/>
      <c r="AX344" s="301"/>
      <c r="AY344" s="301"/>
      <c r="AZ344" s="301"/>
      <c r="BA344" s="301"/>
      <c r="BB344" s="301"/>
      <c r="BC344" s="301">
        <v>2000000</v>
      </c>
      <c r="BD344" s="301"/>
      <c r="BE344" s="301"/>
      <c r="BF344" s="301"/>
      <c r="BG344" s="303"/>
      <c r="BH344" s="304"/>
    </row>
    <row r="345" spans="1:60" s="305" customFormat="1" ht="16.5" hidden="1" customHeight="1" x14ac:dyDescent="0.4">
      <c r="A345" s="285">
        <v>322</v>
      </c>
      <c r="B345" s="286"/>
      <c r="C345" s="286"/>
      <c r="D345" s="287" t="s">
        <v>92</v>
      </c>
      <c r="E345" s="287" t="s">
        <v>184</v>
      </c>
      <c r="F345" s="288" t="s">
        <v>92</v>
      </c>
      <c r="G345" s="289" t="s">
        <v>229</v>
      </c>
      <c r="H345" s="307"/>
      <c r="I345" s="290"/>
      <c r="J345" s="291" t="s">
        <v>560</v>
      </c>
      <c r="K345" s="287"/>
      <c r="L345" s="287"/>
      <c r="M345" s="287">
        <v>5007</v>
      </c>
      <c r="N345" s="287" t="s">
        <v>23</v>
      </c>
      <c r="O345" s="287"/>
      <c r="P345" s="287"/>
      <c r="Q345" s="287" t="s">
        <v>30</v>
      </c>
      <c r="R345" s="287" t="s">
        <v>31</v>
      </c>
      <c r="S345" s="292" t="s">
        <v>31</v>
      </c>
      <c r="T345" s="293"/>
      <c r="U345" s="294" t="s">
        <v>97</v>
      </c>
      <c r="V345" s="294">
        <v>2694000</v>
      </c>
      <c r="W345" s="295"/>
      <c r="X345" s="296"/>
      <c r="Y345" s="287" t="s">
        <v>21</v>
      </c>
      <c r="Z345" s="297" t="s">
        <v>618</v>
      </c>
      <c r="AA345" s="313"/>
      <c r="AB345" s="313"/>
      <c r="AC345" s="298">
        <f t="shared" si="14"/>
        <v>0</v>
      </c>
      <c r="AD345" s="298">
        <v>0</v>
      </c>
      <c r="AE345" s="298">
        <f t="shared" si="15"/>
        <v>0</v>
      </c>
      <c r="AF345" s="299"/>
      <c r="AG345" s="300"/>
      <c r="AH345" s="299"/>
      <c r="AI345" s="299"/>
      <c r="AJ345" s="300"/>
      <c r="AK345" s="299"/>
      <c r="AL345" s="301"/>
      <c r="AM345" s="314"/>
      <c r="AN345" s="301"/>
      <c r="AO345" s="302"/>
      <c r="AP345" s="301"/>
      <c r="AQ345" s="301"/>
      <c r="AR345" s="301"/>
      <c r="AS345" s="301"/>
      <c r="AT345" s="301"/>
      <c r="AU345" s="301"/>
      <c r="AV345" s="301"/>
      <c r="AW345" s="301"/>
      <c r="AX345" s="301"/>
      <c r="AY345" s="301"/>
      <c r="AZ345" s="301"/>
      <c r="BA345" s="301"/>
      <c r="BB345" s="301"/>
      <c r="BC345" s="301"/>
      <c r="BD345" s="301"/>
      <c r="BE345" s="301"/>
      <c r="BF345" s="301"/>
      <c r="BG345" s="303"/>
      <c r="BH345" s="304"/>
    </row>
    <row r="346" spans="1:60" s="305" customFormat="1" ht="16.5" hidden="1" customHeight="1" x14ac:dyDescent="0.4">
      <c r="A346" s="285">
        <v>323</v>
      </c>
      <c r="B346" s="286"/>
      <c r="C346" s="286"/>
      <c r="D346" s="287" t="s">
        <v>92</v>
      </c>
      <c r="E346" s="287" t="s">
        <v>229</v>
      </c>
      <c r="F346" s="288" t="s">
        <v>92</v>
      </c>
      <c r="G346" s="289" t="s">
        <v>229</v>
      </c>
      <c r="H346" s="307"/>
      <c r="I346" s="290"/>
      <c r="J346" s="291" t="s">
        <v>516</v>
      </c>
      <c r="K346" s="287"/>
      <c r="L346" s="287"/>
      <c r="M346" s="287">
        <v>58587</v>
      </c>
      <c r="N346" s="287" t="s">
        <v>32</v>
      </c>
      <c r="O346" s="287"/>
      <c r="P346" s="287"/>
      <c r="Q346" s="287" t="s">
        <v>54</v>
      </c>
      <c r="R346" s="287" t="s">
        <v>340</v>
      </c>
      <c r="S346" s="292" t="s">
        <v>340</v>
      </c>
      <c r="T346" s="293"/>
      <c r="U346" s="294">
        <v>218092691</v>
      </c>
      <c r="V346" s="294">
        <v>119154545</v>
      </c>
      <c r="W346" s="295"/>
      <c r="X346" s="296"/>
      <c r="Y346" s="287" t="s">
        <v>25</v>
      </c>
      <c r="Z346" s="297" t="s">
        <v>618</v>
      </c>
      <c r="AA346" s="313"/>
      <c r="AB346" s="313"/>
      <c r="AC346" s="298">
        <f t="shared" si="14"/>
        <v>0</v>
      </c>
      <c r="AD346" s="298">
        <v>0</v>
      </c>
      <c r="AE346" s="298">
        <f t="shared" si="15"/>
        <v>0</v>
      </c>
      <c r="AF346" s="299"/>
      <c r="AG346" s="300"/>
      <c r="AH346" s="299"/>
      <c r="AI346" s="299">
        <v>0</v>
      </c>
      <c r="AJ346" s="300"/>
      <c r="AK346" s="299"/>
      <c r="AL346" s="301"/>
      <c r="AM346" s="314"/>
      <c r="AN346" s="301"/>
      <c r="AO346" s="302"/>
      <c r="AP346" s="301"/>
      <c r="AQ346" s="301"/>
      <c r="AR346" s="301"/>
      <c r="AS346" s="301"/>
      <c r="AT346" s="301"/>
      <c r="AU346" s="301"/>
      <c r="AV346" s="301"/>
      <c r="AW346" s="301"/>
      <c r="AX346" s="301"/>
      <c r="AY346" s="301"/>
      <c r="AZ346" s="301"/>
      <c r="BA346" s="301"/>
      <c r="BB346" s="301"/>
      <c r="BC346" s="301"/>
      <c r="BD346" s="301"/>
      <c r="BE346" s="301">
        <v>0</v>
      </c>
      <c r="BF346" s="301"/>
      <c r="BG346" s="303"/>
      <c r="BH346" s="304"/>
    </row>
    <row r="347" spans="1:60" s="305" customFormat="1" ht="16.5" hidden="1" customHeight="1" x14ac:dyDescent="0.4">
      <c r="A347" s="285">
        <v>324</v>
      </c>
      <c r="B347" s="286"/>
      <c r="C347" s="286"/>
      <c r="D347" s="287" t="s">
        <v>92</v>
      </c>
      <c r="E347" s="287" t="s">
        <v>229</v>
      </c>
      <c r="F347" s="288" t="s">
        <v>92</v>
      </c>
      <c r="G347" s="289" t="s">
        <v>229</v>
      </c>
      <c r="H347" s="307"/>
      <c r="I347" s="290"/>
      <c r="J347" s="291" t="s">
        <v>515</v>
      </c>
      <c r="K347" s="287"/>
      <c r="L347" s="287"/>
      <c r="M347" s="287">
        <v>5630</v>
      </c>
      <c r="N347" s="287" t="s">
        <v>40</v>
      </c>
      <c r="O347" s="287" t="s">
        <v>43</v>
      </c>
      <c r="P347" s="287" t="s">
        <v>44</v>
      </c>
      <c r="Q347" s="287" t="s">
        <v>19</v>
      </c>
      <c r="R347" s="287" t="s">
        <v>20</v>
      </c>
      <c r="S347" s="292" t="s">
        <v>20</v>
      </c>
      <c r="T347" s="293"/>
      <c r="U347" s="294">
        <v>46364500</v>
      </c>
      <c r="V347" s="294">
        <v>49976500</v>
      </c>
      <c r="W347" s="295">
        <v>57339700</v>
      </c>
      <c r="X347" s="296"/>
      <c r="Y347" s="287" t="s">
        <v>28</v>
      </c>
      <c r="Z347" s="297" t="s">
        <v>28</v>
      </c>
      <c r="AA347" s="313"/>
      <c r="AB347" s="313"/>
      <c r="AC347" s="298">
        <f t="shared" si="14"/>
        <v>60188800</v>
      </c>
      <c r="AD347" s="298">
        <v>60188800</v>
      </c>
      <c r="AE347" s="298">
        <f t="shared" si="15"/>
        <v>0</v>
      </c>
      <c r="AF347" s="299">
        <v>4926500</v>
      </c>
      <c r="AG347" s="300">
        <v>4926500</v>
      </c>
      <c r="AH347" s="299"/>
      <c r="AI347" s="299">
        <v>6591100</v>
      </c>
      <c r="AJ347" s="300">
        <v>6591100</v>
      </c>
      <c r="AK347" s="299"/>
      <c r="AL347" s="301"/>
      <c r="AM347" s="314">
        <v>5071200</v>
      </c>
      <c r="AN347" s="301"/>
      <c r="AO347" s="302">
        <v>4800000</v>
      </c>
      <c r="AP347" s="301"/>
      <c r="AQ347" s="301">
        <v>4800000</v>
      </c>
      <c r="AR347" s="301"/>
      <c r="AS347" s="301">
        <v>5000000</v>
      </c>
      <c r="AT347" s="301"/>
      <c r="AU347" s="301">
        <v>4800000</v>
      </c>
      <c r="AV347" s="301"/>
      <c r="AW347" s="301">
        <v>4800000</v>
      </c>
      <c r="AX347" s="301"/>
      <c r="AY347" s="301">
        <v>4800000</v>
      </c>
      <c r="AZ347" s="301"/>
      <c r="BA347" s="301">
        <v>4800000</v>
      </c>
      <c r="BB347" s="301"/>
      <c r="BC347" s="301">
        <v>4800000</v>
      </c>
      <c r="BD347" s="301"/>
      <c r="BE347" s="301">
        <v>5000000</v>
      </c>
      <c r="BF347" s="301"/>
      <c r="BG347" s="303"/>
      <c r="BH347" s="304"/>
    </row>
    <row r="348" spans="1:60" s="305" customFormat="1" ht="16.5" hidden="1" customHeight="1" x14ac:dyDescent="0.4">
      <c r="A348" s="285">
        <v>325</v>
      </c>
      <c r="B348" s="286"/>
      <c r="C348" s="286"/>
      <c r="D348" s="287" t="s">
        <v>92</v>
      </c>
      <c r="E348" s="287" t="s">
        <v>229</v>
      </c>
      <c r="F348" s="288" t="s">
        <v>92</v>
      </c>
      <c r="G348" s="289" t="s">
        <v>229</v>
      </c>
      <c r="H348" s="307"/>
      <c r="I348" s="290"/>
      <c r="J348" s="291" t="s">
        <v>66</v>
      </c>
      <c r="K348" s="287"/>
      <c r="L348" s="287"/>
      <c r="M348" s="287">
        <v>30404</v>
      </c>
      <c r="N348" s="287" t="s">
        <v>23</v>
      </c>
      <c r="O348" s="287" t="s">
        <v>43</v>
      </c>
      <c r="P348" s="287" t="s">
        <v>44</v>
      </c>
      <c r="Q348" s="287" t="s">
        <v>19</v>
      </c>
      <c r="R348" s="287" t="s">
        <v>20</v>
      </c>
      <c r="S348" s="292" t="s">
        <v>20</v>
      </c>
      <c r="T348" s="293"/>
      <c r="U348" s="294"/>
      <c r="V348" s="294">
        <v>8612000</v>
      </c>
      <c r="W348" s="295">
        <v>74000</v>
      </c>
      <c r="X348" s="296"/>
      <c r="Y348" s="287" t="s">
        <v>28</v>
      </c>
      <c r="Z348" s="297" t="s">
        <v>28</v>
      </c>
      <c r="AA348" s="313"/>
      <c r="AB348" s="313"/>
      <c r="AC348" s="298">
        <f t="shared" si="14"/>
        <v>10030000</v>
      </c>
      <c r="AD348" s="298">
        <v>10030000</v>
      </c>
      <c r="AE348" s="298">
        <f t="shared" si="15"/>
        <v>0</v>
      </c>
      <c r="AF348" s="299"/>
      <c r="AG348" s="300"/>
      <c r="AH348" s="299"/>
      <c r="AI348" s="299">
        <v>2000000</v>
      </c>
      <c r="AJ348" s="300"/>
      <c r="AK348" s="299"/>
      <c r="AL348" s="301"/>
      <c r="AM348" s="314">
        <v>7680000</v>
      </c>
      <c r="AN348" s="301"/>
      <c r="AO348" s="302">
        <v>0</v>
      </c>
      <c r="AP348" s="301"/>
      <c r="AQ348" s="301"/>
      <c r="AR348" s="301"/>
      <c r="AS348" s="301">
        <v>0</v>
      </c>
      <c r="AT348" s="301"/>
      <c r="AU348" s="301"/>
      <c r="AV348" s="301"/>
      <c r="AW348" s="301">
        <v>0</v>
      </c>
      <c r="AX348" s="301"/>
      <c r="AY348" s="301"/>
      <c r="AZ348" s="301"/>
      <c r="BA348" s="301">
        <v>0</v>
      </c>
      <c r="BB348" s="301"/>
      <c r="BC348" s="301"/>
      <c r="BD348" s="301"/>
      <c r="BE348" s="301">
        <v>2350000</v>
      </c>
      <c r="BF348" s="301"/>
      <c r="BG348" s="303"/>
      <c r="BH348" s="304"/>
    </row>
    <row r="349" spans="1:60" s="305" customFormat="1" ht="16.5" hidden="1" customHeight="1" x14ac:dyDescent="0.4">
      <c r="A349" s="285">
        <v>326</v>
      </c>
      <c r="B349" s="286"/>
      <c r="C349" s="286"/>
      <c r="D349" s="287" t="s">
        <v>92</v>
      </c>
      <c r="E349" s="287" t="s">
        <v>229</v>
      </c>
      <c r="F349" s="288" t="s">
        <v>92</v>
      </c>
      <c r="G349" s="289" t="s">
        <v>229</v>
      </c>
      <c r="H349" s="307"/>
      <c r="I349" s="290"/>
      <c r="J349" s="291" t="s">
        <v>596</v>
      </c>
      <c r="K349" s="287"/>
      <c r="L349" s="287"/>
      <c r="M349" s="287">
        <v>60442</v>
      </c>
      <c r="N349" s="287" t="s">
        <v>23</v>
      </c>
      <c r="O349" s="287" t="s">
        <v>43</v>
      </c>
      <c r="P349" s="287"/>
      <c r="Q349" s="287" t="s">
        <v>48</v>
      </c>
      <c r="R349" s="287" t="s">
        <v>563</v>
      </c>
      <c r="S349" s="292" t="s">
        <v>739</v>
      </c>
      <c r="T349" s="293"/>
      <c r="U349" s="294"/>
      <c r="V349" s="294">
        <v>3780000</v>
      </c>
      <c r="W349" s="295"/>
      <c r="X349" s="296"/>
      <c r="Y349" s="287" t="s">
        <v>21</v>
      </c>
      <c r="Z349" s="297" t="s">
        <v>618</v>
      </c>
      <c r="AA349" s="313"/>
      <c r="AB349" s="313"/>
      <c r="AC349" s="298">
        <f t="shared" si="14"/>
        <v>0</v>
      </c>
      <c r="AD349" s="298">
        <v>0</v>
      </c>
      <c r="AE349" s="298">
        <f t="shared" si="15"/>
        <v>0</v>
      </c>
      <c r="AF349" s="299"/>
      <c r="AG349" s="300"/>
      <c r="AH349" s="299"/>
      <c r="AI349" s="299"/>
      <c r="AJ349" s="300"/>
      <c r="AK349" s="299"/>
      <c r="AL349" s="301"/>
      <c r="AM349" s="314"/>
      <c r="AN349" s="301"/>
      <c r="AO349" s="302"/>
      <c r="AP349" s="301"/>
      <c r="AQ349" s="301"/>
      <c r="AR349" s="301"/>
      <c r="AS349" s="301"/>
      <c r="AT349" s="301"/>
      <c r="AU349" s="301"/>
      <c r="AV349" s="301"/>
      <c r="AW349" s="301"/>
      <c r="AX349" s="301"/>
      <c r="AY349" s="301"/>
      <c r="AZ349" s="301"/>
      <c r="BA349" s="301"/>
      <c r="BB349" s="301"/>
      <c r="BC349" s="301"/>
      <c r="BD349" s="301"/>
      <c r="BE349" s="301"/>
      <c r="BF349" s="301"/>
      <c r="BG349" s="303"/>
      <c r="BH349" s="304"/>
    </row>
    <row r="350" spans="1:60" s="305" customFormat="1" ht="16.5" hidden="1" customHeight="1" x14ac:dyDescent="0.4">
      <c r="A350" s="285">
        <v>327</v>
      </c>
      <c r="B350" s="286"/>
      <c r="C350" s="286"/>
      <c r="D350" s="287" t="s">
        <v>92</v>
      </c>
      <c r="E350" s="287" t="s">
        <v>229</v>
      </c>
      <c r="F350" s="288" t="s">
        <v>92</v>
      </c>
      <c r="G350" s="289" t="s">
        <v>229</v>
      </c>
      <c r="H350" s="307"/>
      <c r="I350" s="290"/>
      <c r="J350" s="291" t="s">
        <v>595</v>
      </c>
      <c r="K350" s="287"/>
      <c r="L350" s="287"/>
      <c r="M350" s="287">
        <v>60448</v>
      </c>
      <c r="N350" s="287" t="s">
        <v>23</v>
      </c>
      <c r="O350" s="287" t="s">
        <v>43</v>
      </c>
      <c r="P350" s="287"/>
      <c r="Q350" s="287" t="s">
        <v>48</v>
      </c>
      <c r="R350" s="287" t="s">
        <v>563</v>
      </c>
      <c r="S350" s="292" t="s">
        <v>739</v>
      </c>
      <c r="T350" s="293"/>
      <c r="U350" s="294"/>
      <c r="V350" s="294">
        <v>0</v>
      </c>
      <c r="W350" s="295"/>
      <c r="X350" s="296"/>
      <c r="Y350" s="287" t="s">
        <v>21</v>
      </c>
      <c r="Z350" s="297" t="s">
        <v>618</v>
      </c>
      <c r="AA350" s="313"/>
      <c r="AB350" s="313"/>
      <c r="AC350" s="298">
        <f t="shared" si="14"/>
        <v>0</v>
      </c>
      <c r="AD350" s="298">
        <v>0</v>
      </c>
      <c r="AE350" s="298">
        <f t="shared" si="15"/>
        <v>0</v>
      </c>
      <c r="AF350" s="299"/>
      <c r="AG350" s="300"/>
      <c r="AH350" s="299"/>
      <c r="AI350" s="299"/>
      <c r="AJ350" s="300"/>
      <c r="AK350" s="299"/>
      <c r="AL350" s="301"/>
      <c r="AM350" s="314"/>
      <c r="AN350" s="301"/>
      <c r="AO350" s="302"/>
      <c r="AP350" s="301"/>
      <c r="AQ350" s="301"/>
      <c r="AR350" s="301"/>
      <c r="AS350" s="301"/>
      <c r="AT350" s="301"/>
      <c r="AU350" s="301"/>
      <c r="AV350" s="301"/>
      <c r="AW350" s="301"/>
      <c r="AX350" s="301"/>
      <c r="AY350" s="301"/>
      <c r="AZ350" s="301"/>
      <c r="BA350" s="301"/>
      <c r="BB350" s="301"/>
      <c r="BC350" s="301"/>
      <c r="BD350" s="301"/>
      <c r="BE350" s="301"/>
      <c r="BF350" s="301"/>
      <c r="BG350" s="303"/>
      <c r="BH350" s="304"/>
    </row>
    <row r="351" spans="1:60" s="305" customFormat="1" ht="16.5" hidden="1" customHeight="1" x14ac:dyDescent="0.4">
      <c r="A351" s="285">
        <v>328</v>
      </c>
      <c r="B351" s="286"/>
      <c r="C351" s="286"/>
      <c r="D351" s="287" t="s">
        <v>92</v>
      </c>
      <c r="E351" s="287" t="s">
        <v>229</v>
      </c>
      <c r="F351" s="288" t="s">
        <v>92</v>
      </c>
      <c r="G351" s="289" t="s">
        <v>229</v>
      </c>
      <c r="H351" s="307"/>
      <c r="I351" s="290"/>
      <c r="J351" s="291" t="s">
        <v>594</v>
      </c>
      <c r="K351" s="287"/>
      <c r="L351" s="287"/>
      <c r="M351" s="287">
        <v>60447</v>
      </c>
      <c r="N351" s="287" t="s">
        <v>23</v>
      </c>
      <c r="O351" s="287" t="s">
        <v>43</v>
      </c>
      <c r="P351" s="287"/>
      <c r="Q351" s="287" t="s">
        <v>48</v>
      </c>
      <c r="R351" s="287" t="s">
        <v>563</v>
      </c>
      <c r="S351" s="292" t="s">
        <v>739</v>
      </c>
      <c r="T351" s="293"/>
      <c r="U351" s="294"/>
      <c r="V351" s="294">
        <v>1120000</v>
      </c>
      <c r="W351" s="295"/>
      <c r="X351" s="296"/>
      <c r="Y351" s="287" t="s">
        <v>21</v>
      </c>
      <c r="Z351" s="297" t="s">
        <v>618</v>
      </c>
      <c r="AA351" s="313"/>
      <c r="AB351" s="313"/>
      <c r="AC351" s="298">
        <f t="shared" si="14"/>
        <v>0</v>
      </c>
      <c r="AD351" s="298">
        <v>0</v>
      </c>
      <c r="AE351" s="298">
        <f t="shared" si="15"/>
        <v>0</v>
      </c>
      <c r="AF351" s="299"/>
      <c r="AG351" s="300"/>
      <c r="AH351" s="299"/>
      <c r="AI351" s="299"/>
      <c r="AJ351" s="300"/>
      <c r="AK351" s="299"/>
      <c r="AL351" s="301"/>
      <c r="AM351" s="314"/>
      <c r="AN351" s="301"/>
      <c r="AO351" s="302"/>
      <c r="AP351" s="301"/>
      <c r="AQ351" s="301"/>
      <c r="AR351" s="301"/>
      <c r="AS351" s="301"/>
      <c r="AT351" s="301"/>
      <c r="AU351" s="301"/>
      <c r="AV351" s="301"/>
      <c r="AW351" s="301"/>
      <c r="AX351" s="301"/>
      <c r="AY351" s="301"/>
      <c r="AZ351" s="301"/>
      <c r="BA351" s="301"/>
      <c r="BB351" s="301"/>
      <c r="BC351" s="301"/>
      <c r="BD351" s="301"/>
      <c r="BE351" s="301"/>
      <c r="BF351" s="301"/>
      <c r="BG351" s="303"/>
      <c r="BH351" s="304"/>
    </row>
    <row r="352" spans="1:60" s="305" customFormat="1" ht="16.5" hidden="1" customHeight="1" x14ac:dyDescent="0.4">
      <c r="A352" s="285">
        <v>329</v>
      </c>
      <c r="B352" s="286"/>
      <c r="C352" s="286"/>
      <c r="D352" s="287" t="s">
        <v>92</v>
      </c>
      <c r="E352" s="287" t="s">
        <v>235</v>
      </c>
      <c r="F352" s="288" t="s">
        <v>92</v>
      </c>
      <c r="G352" s="289" t="s">
        <v>229</v>
      </c>
      <c r="H352" s="307"/>
      <c r="I352" s="290"/>
      <c r="J352" s="291" t="s">
        <v>449</v>
      </c>
      <c r="K352" s="287"/>
      <c r="L352" s="287"/>
      <c r="M352" s="287">
        <v>45658</v>
      </c>
      <c r="N352" s="287" t="s">
        <v>23</v>
      </c>
      <c r="O352" s="287"/>
      <c r="P352" s="287"/>
      <c r="Q352" s="287"/>
      <c r="R352" s="287" t="s">
        <v>31</v>
      </c>
      <c r="S352" s="292" t="s">
        <v>31</v>
      </c>
      <c r="T352" s="293"/>
      <c r="U352" s="294">
        <v>0</v>
      </c>
      <c r="V352" s="294">
        <v>0</v>
      </c>
      <c r="W352" s="295"/>
      <c r="X352" s="296"/>
      <c r="Y352" s="287" t="s">
        <v>56</v>
      </c>
      <c r="Z352" s="297" t="s">
        <v>26</v>
      </c>
      <c r="AA352" s="313"/>
      <c r="AB352" s="313"/>
      <c r="AC352" s="298">
        <f t="shared" si="14"/>
        <v>100000000</v>
      </c>
      <c r="AD352" s="298">
        <v>100000000</v>
      </c>
      <c r="AE352" s="298">
        <f t="shared" si="15"/>
        <v>0</v>
      </c>
      <c r="AF352" s="299"/>
      <c r="AG352" s="300"/>
      <c r="AH352" s="299"/>
      <c r="AI352" s="299"/>
      <c r="AJ352" s="300"/>
      <c r="AK352" s="299"/>
      <c r="AL352" s="301"/>
      <c r="AM352" s="314"/>
      <c r="AN352" s="301"/>
      <c r="AO352" s="302"/>
      <c r="AP352" s="301"/>
      <c r="AQ352" s="316">
        <v>100000000</v>
      </c>
      <c r="AR352" s="301"/>
      <c r="AS352" s="301"/>
      <c r="AT352" s="301"/>
      <c r="AU352" s="301"/>
      <c r="AV352" s="301"/>
      <c r="AW352" s="301"/>
      <c r="AX352" s="301"/>
      <c r="AY352" s="301"/>
      <c r="AZ352" s="301"/>
      <c r="BA352" s="301"/>
      <c r="BB352" s="301"/>
      <c r="BC352" s="301"/>
      <c r="BD352" s="301"/>
      <c r="BE352" s="301"/>
      <c r="BF352" s="301"/>
      <c r="BG352" s="303"/>
      <c r="BH352" s="304"/>
    </row>
    <row r="353" spans="1:60" s="305" customFormat="1" ht="16.5" hidden="1" customHeight="1" x14ac:dyDescent="0.4">
      <c r="A353" s="285">
        <v>330</v>
      </c>
      <c r="B353" s="286"/>
      <c r="C353" s="286"/>
      <c r="D353" s="287" t="s">
        <v>92</v>
      </c>
      <c r="E353" s="287" t="s">
        <v>235</v>
      </c>
      <c r="F353" s="288" t="s">
        <v>92</v>
      </c>
      <c r="G353" s="289" t="s">
        <v>229</v>
      </c>
      <c r="H353" s="307"/>
      <c r="I353" s="290"/>
      <c r="J353" s="291" t="s">
        <v>449</v>
      </c>
      <c r="K353" s="287"/>
      <c r="L353" s="287"/>
      <c r="M353" s="287">
        <v>45658</v>
      </c>
      <c r="N353" s="287" t="s">
        <v>23</v>
      </c>
      <c r="O353" s="287"/>
      <c r="P353" s="287"/>
      <c r="Q353" s="287" t="s">
        <v>27</v>
      </c>
      <c r="R353" s="287" t="s">
        <v>340</v>
      </c>
      <c r="S353" s="292" t="s">
        <v>340</v>
      </c>
      <c r="T353" s="293"/>
      <c r="U353" s="294">
        <v>9000000</v>
      </c>
      <c r="V353" s="294">
        <v>54277818</v>
      </c>
      <c r="W353" s="295">
        <v>33850000</v>
      </c>
      <c r="X353" s="296"/>
      <c r="Y353" s="287" t="s">
        <v>28</v>
      </c>
      <c r="Z353" s="297" t="s">
        <v>25</v>
      </c>
      <c r="AA353" s="313"/>
      <c r="AB353" s="313"/>
      <c r="AC353" s="298">
        <f t="shared" si="14"/>
        <v>40000000</v>
      </c>
      <c r="AD353" s="298">
        <v>40000000</v>
      </c>
      <c r="AE353" s="298">
        <f t="shared" si="15"/>
        <v>0</v>
      </c>
      <c r="AF353" s="299"/>
      <c r="AG353" s="300"/>
      <c r="AH353" s="299"/>
      <c r="AI353" s="299"/>
      <c r="AJ353" s="300"/>
      <c r="AK353" s="299"/>
      <c r="AL353" s="301"/>
      <c r="AM353" s="314"/>
      <c r="AN353" s="301"/>
      <c r="AO353" s="302"/>
      <c r="AP353" s="301"/>
      <c r="AQ353" s="301"/>
      <c r="AR353" s="301"/>
      <c r="AS353" s="301">
        <v>20000000</v>
      </c>
      <c r="AT353" s="301"/>
      <c r="AU353" s="301"/>
      <c r="AV353" s="301"/>
      <c r="AW353" s="301"/>
      <c r="AX353" s="301"/>
      <c r="AY353" s="301"/>
      <c r="AZ353" s="301"/>
      <c r="BA353" s="301"/>
      <c r="BB353" s="301"/>
      <c r="BC353" s="301"/>
      <c r="BD353" s="301"/>
      <c r="BE353" s="301">
        <v>20000000</v>
      </c>
      <c r="BF353" s="301"/>
      <c r="BG353" s="303"/>
      <c r="BH353" s="304"/>
    </row>
    <row r="354" spans="1:60" s="305" customFormat="1" ht="16.5" hidden="1" customHeight="1" x14ac:dyDescent="0.4">
      <c r="A354" s="285">
        <v>331</v>
      </c>
      <c r="B354" s="286"/>
      <c r="C354" s="286"/>
      <c r="D354" s="287" t="s">
        <v>92</v>
      </c>
      <c r="E354" s="287" t="s">
        <v>235</v>
      </c>
      <c r="F354" s="288" t="s">
        <v>92</v>
      </c>
      <c r="G354" s="289" t="s">
        <v>229</v>
      </c>
      <c r="H354" s="307"/>
      <c r="I354" s="290"/>
      <c r="J354" s="291" t="s">
        <v>449</v>
      </c>
      <c r="K354" s="287"/>
      <c r="L354" s="287"/>
      <c r="M354" s="287">
        <v>45658</v>
      </c>
      <c r="N354" s="287" t="s">
        <v>23</v>
      </c>
      <c r="O354" s="287" t="s">
        <v>33</v>
      </c>
      <c r="P354" s="287" t="s">
        <v>98</v>
      </c>
      <c r="Q354" s="287" t="s">
        <v>24</v>
      </c>
      <c r="R354" s="287" t="s">
        <v>221</v>
      </c>
      <c r="S354" s="292" t="s">
        <v>745</v>
      </c>
      <c r="T354" s="293"/>
      <c r="U354" s="294">
        <v>84480000</v>
      </c>
      <c r="V354" s="294">
        <v>126720000</v>
      </c>
      <c r="W354" s="295">
        <v>11000000</v>
      </c>
      <c r="X354" s="296"/>
      <c r="Y354" s="287" t="s">
        <v>28</v>
      </c>
      <c r="Z354" s="297" t="s">
        <v>618</v>
      </c>
      <c r="AA354" s="313"/>
      <c r="AB354" s="313"/>
      <c r="AC354" s="298">
        <f t="shared" si="14"/>
        <v>0</v>
      </c>
      <c r="AD354" s="298">
        <v>0</v>
      </c>
      <c r="AE354" s="298">
        <f t="shared" si="15"/>
        <v>0</v>
      </c>
      <c r="AF354" s="299"/>
      <c r="AG354" s="300"/>
      <c r="AH354" s="299"/>
      <c r="AI354" s="299"/>
      <c r="AJ354" s="300"/>
      <c r="AK354" s="299"/>
      <c r="AL354" s="301"/>
      <c r="AM354" s="314"/>
      <c r="AN354" s="301"/>
      <c r="AO354" s="302"/>
      <c r="AP354" s="301"/>
      <c r="AQ354" s="301"/>
      <c r="AR354" s="301"/>
      <c r="AS354" s="301"/>
      <c r="AT354" s="301"/>
      <c r="AU354" s="301"/>
      <c r="AV354" s="301"/>
      <c r="AW354" s="301"/>
      <c r="AX354" s="301"/>
      <c r="AY354" s="301"/>
      <c r="AZ354" s="301"/>
      <c r="BA354" s="301"/>
      <c r="BB354" s="301"/>
      <c r="BC354" s="301"/>
      <c r="BD354" s="301"/>
      <c r="BE354" s="301"/>
      <c r="BF354" s="301"/>
      <c r="BG354" s="303"/>
      <c r="BH354" s="304"/>
    </row>
    <row r="355" spans="1:60" s="305" customFormat="1" ht="16.5" hidden="1" customHeight="1" x14ac:dyDescent="0.4">
      <c r="A355" s="285">
        <v>332</v>
      </c>
      <c r="B355" s="286"/>
      <c r="C355" s="286"/>
      <c r="D355" s="287" t="s">
        <v>92</v>
      </c>
      <c r="E355" s="287" t="s">
        <v>235</v>
      </c>
      <c r="F355" s="288" t="s">
        <v>92</v>
      </c>
      <c r="G355" s="289" t="s">
        <v>229</v>
      </c>
      <c r="H355" s="307"/>
      <c r="I355" s="290"/>
      <c r="J355" s="291" t="s">
        <v>449</v>
      </c>
      <c r="K355" s="287"/>
      <c r="L355" s="287"/>
      <c r="M355" s="287">
        <v>45658</v>
      </c>
      <c r="N355" s="287" t="s">
        <v>23</v>
      </c>
      <c r="O355" s="287"/>
      <c r="P355" s="287"/>
      <c r="Q355" s="287" t="s">
        <v>27</v>
      </c>
      <c r="R355" s="287" t="s">
        <v>350</v>
      </c>
      <c r="S355" s="292" t="s">
        <v>753</v>
      </c>
      <c r="T355" s="293"/>
      <c r="U355" s="294"/>
      <c r="V355" s="294"/>
      <c r="W355" s="295"/>
      <c r="X355" s="296"/>
      <c r="Y355" s="287" t="s">
        <v>56</v>
      </c>
      <c r="Z355" s="297" t="s">
        <v>618</v>
      </c>
      <c r="AA355" s="313"/>
      <c r="AB355" s="313"/>
      <c r="AC355" s="298">
        <f t="shared" si="14"/>
        <v>0</v>
      </c>
      <c r="AD355" s="298">
        <v>0</v>
      </c>
      <c r="AE355" s="298">
        <f t="shared" si="15"/>
        <v>0</v>
      </c>
      <c r="AF355" s="299"/>
      <c r="AG355" s="300"/>
      <c r="AH355" s="299"/>
      <c r="AI355" s="299"/>
      <c r="AJ355" s="300"/>
      <c r="AK355" s="299"/>
      <c r="AL355" s="301"/>
      <c r="AM355" s="314"/>
      <c r="AN355" s="301"/>
      <c r="AO355" s="302"/>
      <c r="AP355" s="301"/>
      <c r="AQ355" s="301"/>
      <c r="AR355" s="301"/>
      <c r="AS355" s="301"/>
      <c r="AT355" s="301"/>
      <c r="AU355" s="301"/>
      <c r="AV355" s="301"/>
      <c r="AW355" s="301"/>
      <c r="AX355" s="301"/>
      <c r="AY355" s="301"/>
      <c r="AZ355" s="301"/>
      <c r="BA355" s="301"/>
      <c r="BB355" s="301"/>
      <c r="BC355" s="301"/>
      <c r="BD355" s="301"/>
      <c r="BE355" s="301"/>
      <c r="BF355" s="301"/>
      <c r="BG355" s="303"/>
      <c r="BH355" s="304"/>
    </row>
    <row r="356" spans="1:60" s="305" customFormat="1" ht="16.5" hidden="1" customHeight="1" x14ac:dyDescent="0.4">
      <c r="A356" s="285">
        <v>333</v>
      </c>
      <c r="B356" s="286"/>
      <c r="C356" s="286"/>
      <c r="D356" s="287" t="s">
        <v>137</v>
      </c>
      <c r="E356" s="287" t="s">
        <v>647</v>
      </c>
      <c r="F356" s="288" t="s">
        <v>92</v>
      </c>
      <c r="G356" s="289" t="s">
        <v>229</v>
      </c>
      <c r="H356" s="307"/>
      <c r="I356" s="290"/>
      <c r="J356" s="291" t="s">
        <v>714</v>
      </c>
      <c r="K356" s="287"/>
      <c r="L356" s="287"/>
      <c r="M356" s="287">
        <v>3719</v>
      </c>
      <c r="N356" s="287" t="s">
        <v>23</v>
      </c>
      <c r="O356" s="287" t="s">
        <v>43</v>
      </c>
      <c r="P356" s="287" t="s">
        <v>44</v>
      </c>
      <c r="Q356" s="287" t="s">
        <v>37</v>
      </c>
      <c r="R356" s="287" t="s">
        <v>38</v>
      </c>
      <c r="S356" s="292" t="s">
        <v>38</v>
      </c>
      <c r="T356" s="293"/>
      <c r="U356" s="294">
        <v>22000000</v>
      </c>
      <c r="V356" s="294">
        <v>22000000</v>
      </c>
      <c r="W356" s="295">
        <v>22000000</v>
      </c>
      <c r="X356" s="296"/>
      <c r="Y356" s="287" t="s">
        <v>28</v>
      </c>
      <c r="Z356" s="297" t="s">
        <v>28</v>
      </c>
      <c r="AA356" s="313"/>
      <c r="AB356" s="313"/>
      <c r="AC356" s="298">
        <f t="shared" si="14"/>
        <v>0</v>
      </c>
      <c r="AD356" s="298">
        <v>0</v>
      </c>
      <c r="AE356" s="298">
        <f t="shared" si="15"/>
        <v>0</v>
      </c>
      <c r="AF356" s="299"/>
      <c r="AG356" s="300"/>
      <c r="AH356" s="299"/>
      <c r="AI356" s="299"/>
      <c r="AJ356" s="300"/>
      <c r="AK356" s="299"/>
      <c r="AL356" s="301"/>
      <c r="AM356" s="314"/>
      <c r="AN356" s="301"/>
      <c r="AO356" s="302"/>
      <c r="AP356" s="301"/>
      <c r="AQ356" s="301"/>
      <c r="AR356" s="301"/>
      <c r="AS356" s="301"/>
      <c r="AT356" s="301"/>
      <c r="AU356" s="301"/>
      <c r="AV356" s="301"/>
      <c r="AW356" s="301"/>
      <c r="AX356" s="301"/>
      <c r="AY356" s="301"/>
      <c r="AZ356" s="301"/>
      <c r="BA356" s="301"/>
      <c r="BB356" s="301"/>
      <c r="BC356" s="301"/>
      <c r="BD356" s="301"/>
      <c r="BE356" s="301"/>
      <c r="BF356" s="301"/>
      <c r="BG356" s="303"/>
      <c r="BH356" s="304"/>
    </row>
    <row r="357" spans="1:60" s="305" customFormat="1" ht="16.5" hidden="1" customHeight="1" x14ac:dyDescent="0.4">
      <c r="A357" s="285">
        <v>334</v>
      </c>
      <c r="B357" s="286"/>
      <c r="C357" s="286"/>
      <c r="D357" s="287" t="s">
        <v>137</v>
      </c>
      <c r="E357" s="287" t="s">
        <v>647</v>
      </c>
      <c r="F357" s="288" t="s">
        <v>92</v>
      </c>
      <c r="G357" s="289" t="s">
        <v>229</v>
      </c>
      <c r="H357" s="307"/>
      <c r="I357" s="290"/>
      <c r="J357" s="291" t="s">
        <v>714</v>
      </c>
      <c r="K357" s="287"/>
      <c r="L357" s="287"/>
      <c r="M357" s="287">
        <v>3719</v>
      </c>
      <c r="N357" s="287" t="s">
        <v>23</v>
      </c>
      <c r="O357" s="287"/>
      <c r="P357" s="287"/>
      <c r="Q357" s="287" t="s">
        <v>27</v>
      </c>
      <c r="R357" s="287" t="s">
        <v>340</v>
      </c>
      <c r="S357" s="292" t="s">
        <v>340</v>
      </c>
      <c r="T357" s="293"/>
      <c r="U357" s="294"/>
      <c r="V357" s="294">
        <v>0</v>
      </c>
      <c r="W357" s="295"/>
      <c r="X357" s="296"/>
      <c r="Y357" s="287" t="s">
        <v>26</v>
      </c>
      <c r="Z357" s="297" t="s">
        <v>26</v>
      </c>
      <c r="AA357" s="313"/>
      <c r="AB357" s="313"/>
      <c r="AC357" s="298">
        <f t="shared" si="14"/>
        <v>10000000</v>
      </c>
      <c r="AD357" s="298">
        <v>10000000</v>
      </c>
      <c r="AE357" s="298">
        <f t="shared" si="15"/>
        <v>0</v>
      </c>
      <c r="AF357" s="299"/>
      <c r="AG357" s="300"/>
      <c r="AH357" s="299"/>
      <c r="AI357" s="299"/>
      <c r="AJ357" s="300"/>
      <c r="AK357" s="299"/>
      <c r="AL357" s="301"/>
      <c r="AM357" s="314"/>
      <c r="AN357" s="301"/>
      <c r="AO357" s="302"/>
      <c r="AP357" s="301"/>
      <c r="AQ357" s="301"/>
      <c r="AR357" s="301"/>
      <c r="AS357" s="301"/>
      <c r="AT357" s="301"/>
      <c r="AU357" s="301"/>
      <c r="AV357" s="301"/>
      <c r="AW357" s="301"/>
      <c r="AX357" s="301"/>
      <c r="AY357" s="301"/>
      <c r="AZ357" s="301"/>
      <c r="BA357" s="301"/>
      <c r="BB357" s="301"/>
      <c r="BC357" s="301"/>
      <c r="BD357" s="301"/>
      <c r="BE357" s="301">
        <v>10000000</v>
      </c>
      <c r="BF357" s="301"/>
      <c r="BG357" s="303"/>
      <c r="BH357" s="304"/>
    </row>
    <row r="358" spans="1:60" s="305" customFormat="1" ht="16.5" hidden="1" customHeight="1" x14ac:dyDescent="0.4">
      <c r="A358" s="285">
        <v>335</v>
      </c>
      <c r="B358" s="286"/>
      <c r="C358" s="286"/>
      <c r="D358" s="287" t="s">
        <v>137</v>
      </c>
      <c r="E358" s="287" t="s">
        <v>647</v>
      </c>
      <c r="F358" s="288" t="s">
        <v>92</v>
      </c>
      <c r="G358" s="289" t="s">
        <v>229</v>
      </c>
      <c r="H358" s="307"/>
      <c r="I358" s="290"/>
      <c r="J358" s="291" t="s">
        <v>714</v>
      </c>
      <c r="K358" s="287"/>
      <c r="L358" s="287"/>
      <c r="M358" s="287">
        <v>3719</v>
      </c>
      <c r="N358" s="287" t="s">
        <v>23</v>
      </c>
      <c r="O358" s="287"/>
      <c r="P358" s="287"/>
      <c r="Q358" s="287" t="s">
        <v>24</v>
      </c>
      <c r="R358" s="287" t="s">
        <v>221</v>
      </c>
      <c r="S358" s="292" t="s">
        <v>745</v>
      </c>
      <c r="T358" s="293"/>
      <c r="U358" s="294">
        <v>6000000</v>
      </c>
      <c r="V358" s="294">
        <v>0</v>
      </c>
      <c r="W358" s="295"/>
      <c r="X358" s="296"/>
      <c r="Y358" s="287" t="s">
        <v>26</v>
      </c>
      <c r="Z358" s="297" t="s">
        <v>26</v>
      </c>
      <c r="AA358" s="313"/>
      <c r="AB358" s="313"/>
      <c r="AC358" s="298">
        <f t="shared" si="14"/>
        <v>10000000</v>
      </c>
      <c r="AD358" s="298">
        <v>10000000</v>
      </c>
      <c r="AE358" s="298">
        <f t="shared" si="15"/>
        <v>0</v>
      </c>
      <c r="AF358" s="299"/>
      <c r="AG358" s="300"/>
      <c r="AH358" s="299"/>
      <c r="AI358" s="299"/>
      <c r="AJ358" s="300"/>
      <c r="AK358" s="299"/>
      <c r="AL358" s="301"/>
      <c r="AM358" s="314"/>
      <c r="AN358" s="301"/>
      <c r="AO358" s="302"/>
      <c r="AP358" s="301"/>
      <c r="AQ358" s="301"/>
      <c r="AR358" s="301"/>
      <c r="AS358" s="301"/>
      <c r="AT358" s="301"/>
      <c r="AU358" s="301"/>
      <c r="AV358" s="301"/>
      <c r="AW358" s="301"/>
      <c r="AX358" s="301"/>
      <c r="AY358" s="301"/>
      <c r="AZ358" s="301"/>
      <c r="BA358" s="301"/>
      <c r="BB358" s="301"/>
      <c r="BC358" s="301"/>
      <c r="BD358" s="301"/>
      <c r="BE358" s="301">
        <v>10000000</v>
      </c>
      <c r="BF358" s="301"/>
      <c r="BG358" s="303"/>
      <c r="BH358" s="304"/>
    </row>
    <row r="359" spans="1:60" s="305" customFormat="1" ht="16.5" hidden="1" customHeight="1" x14ac:dyDescent="0.4">
      <c r="A359" s="285">
        <v>336</v>
      </c>
      <c r="B359" s="286"/>
      <c r="C359" s="286"/>
      <c r="D359" s="287" t="s">
        <v>92</v>
      </c>
      <c r="E359" s="287" t="s">
        <v>229</v>
      </c>
      <c r="F359" s="288" t="s">
        <v>92</v>
      </c>
      <c r="G359" s="289" t="s">
        <v>229</v>
      </c>
      <c r="H359" s="307"/>
      <c r="I359" s="290"/>
      <c r="J359" s="291" t="s">
        <v>67</v>
      </c>
      <c r="K359" s="287"/>
      <c r="L359" s="287"/>
      <c r="M359" s="287">
        <v>15168</v>
      </c>
      <c r="N359" s="287" t="s">
        <v>23</v>
      </c>
      <c r="O359" s="287"/>
      <c r="P359" s="287"/>
      <c r="Q359" s="287" t="s">
        <v>19</v>
      </c>
      <c r="R359" s="287" t="s">
        <v>20</v>
      </c>
      <c r="S359" s="292" t="s">
        <v>20</v>
      </c>
      <c r="T359" s="293"/>
      <c r="U359" s="294"/>
      <c r="V359" s="294">
        <v>0</v>
      </c>
      <c r="W359" s="295"/>
      <c r="X359" s="296"/>
      <c r="Y359" s="287" t="s">
        <v>26</v>
      </c>
      <c r="Z359" s="297" t="s">
        <v>26</v>
      </c>
      <c r="AA359" s="313"/>
      <c r="AB359" s="313"/>
      <c r="AC359" s="298">
        <f t="shared" si="14"/>
        <v>5000000</v>
      </c>
      <c r="AD359" s="298">
        <v>5000000</v>
      </c>
      <c r="AE359" s="298">
        <f t="shared" si="15"/>
        <v>0</v>
      </c>
      <c r="AF359" s="299"/>
      <c r="AG359" s="300"/>
      <c r="AH359" s="299"/>
      <c r="AI359" s="299"/>
      <c r="AJ359" s="300"/>
      <c r="AK359" s="299"/>
      <c r="AL359" s="301"/>
      <c r="AM359" s="314"/>
      <c r="AN359" s="301"/>
      <c r="AO359" s="302"/>
      <c r="AP359" s="301"/>
      <c r="AQ359" s="301"/>
      <c r="AR359" s="301"/>
      <c r="AS359" s="301">
        <v>5000000</v>
      </c>
      <c r="AT359" s="301"/>
      <c r="AU359" s="301"/>
      <c r="AV359" s="301"/>
      <c r="AW359" s="301"/>
      <c r="AX359" s="301"/>
      <c r="AY359" s="301"/>
      <c r="AZ359" s="301"/>
      <c r="BA359" s="301"/>
      <c r="BB359" s="301"/>
      <c r="BC359" s="301"/>
      <c r="BD359" s="301"/>
      <c r="BE359" s="301"/>
      <c r="BF359" s="301"/>
      <c r="BG359" s="303"/>
      <c r="BH359" s="304"/>
    </row>
    <row r="360" spans="1:60" s="305" customFormat="1" ht="16.5" hidden="1" customHeight="1" x14ac:dyDescent="0.4">
      <c r="A360" s="285">
        <v>337</v>
      </c>
      <c r="B360" s="286"/>
      <c r="C360" s="286"/>
      <c r="D360" s="287" t="s">
        <v>92</v>
      </c>
      <c r="E360" s="287" t="s">
        <v>235</v>
      </c>
      <c r="F360" s="288" t="s">
        <v>92</v>
      </c>
      <c r="G360" s="289" t="s">
        <v>229</v>
      </c>
      <c r="H360" s="307"/>
      <c r="I360" s="290"/>
      <c r="J360" s="291" t="s">
        <v>330</v>
      </c>
      <c r="K360" s="287"/>
      <c r="L360" s="287"/>
      <c r="M360" s="287">
        <v>14592</v>
      </c>
      <c r="N360" s="287" t="s">
        <v>35</v>
      </c>
      <c r="O360" s="287"/>
      <c r="P360" s="287"/>
      <c r="Q360" s="287"/>
      <c r="R360" s="287" t="s">
        <v>31</v>
      </c>
      <c r="S360" s="292" t="s">
        <v>31</v>
      </c>
      <c r="T360" s="293"/>
      <c r="U360" s="294"/>
      <c r="V360" s="294">
        <v>0</v>
      </c>
      <c r="W360" s="295"/>
      <c r="X360" s="296"/>
      <c r="Y360" s="287" t="s">
        <v>56</v>
      </c>
      <c r="Z360" s="297" t="s">
        <v>26</v>
      </c>
      <c r="AA360" s="313"/>
      <c r="AB360" s="313"/>
      <c r="AC360" s="298">
        <f t="shared" si="14"/>
        <v>0</v>
      </c>
      <c r="AD360" s="298">
        <v>0</v>
      </c>
      <c r="AE360" s="298">
        <f t="shared" si="15"/>
        <v>0</v>
      </c>
      <c r="AF360" s="299"/>
      <c r="AG360" s="300"/>
      <c r="AH360" s="299"/>
      <c r="AI360" s="299">
        <v>20000000</v>
      </c>
      <c r="AJ360" s="300"/>
      <c r="AK360" s="299"/>
      <c r="AL360" s="301"/>
      <c r="AM360" s="314"/>
      <c r="AN360" s="301"/>
      <c r="AO360" s="302"/>
      <c r="AP360" s="301"/>
      <c r="AQ360" s="301"/>
      <c r="AR360" s="301"/>
      <c r="AS360" s="301"/>
      <c r="AT360" s="301"/>
      <c r="AU360" s="301"/>
      <c r="AV360" s="301"/>
      <c r="AW360" s="301"/>
      <c r="AX360" s="301"/>
      <c r="AY360" s="301"/>
      <c r="AZ360" s="301"/>
      <c r="BA360" s="301"/>
      <c r="BB360" s="301"/>
      <c r="BC360" s="301"/>
      <c r="BD360" s="301"/>
      <c r="BE360" s="301"/>
      <c r="BF360" s="301"/>
      <c r="BG360" s="303"/>
      <c r="BH360" s="304"/>
    </row>
    <row r="361" spans="1:60" s="305" customFormat="1" ht="16.5" hidden="1" customHeight="1" x14ac:dyDescent="0.4">
      <c r="A361" s="285">
        <v>338</v>
      </c>
      <c r="B361" s="286"/>
      <c r="C361" s="286"/>
      <c r="D361" s="287" t="s">
        <v>92</v>
      </c>
      <c r="E361" s="287" t="s">
        <v>229</v>
      </c>
      <c r="F361" s="288" t="s">
        <v>92</v>
      </c>
      <c r="G361" s="289" t="s">
        <v>229</v>
      </c>
      <c r="H361" s="307"/>
      <c r="I361" s="290"/>
      <c r="J361" s="291" t="s">
        <v>68</v>
      </c>
      <c r="K361" s="287"/>
      <c r="L361" s="287"/>
      <c r="M361" s="287">
        <v>9677</v>
      </c>
      <c r="N361" s="287" t="s">
        <v>35</v>
      </c>
      <c r="O361" s="287"/>
      <c r="P361" s="287"/>
      <c r="Q361" s="287" t="s">
        <v>19</v>
      </c>
      <c r="R361" s="287" t="s">
        <v>20</v>
      </c>
      <c r="S361" s="292" t="s">
        <v>20</v>
      </c>
      <c r="T361" s="293"/>
      <c r="U361" s="294"/>
      <c r="V361" s="294">
        <v>2318160</v>
      </c>
      <c r="W361" s="295">
        <v>2506000</v>
      </c>
      <c r="X361" s="296"/>
      <c r="Y361" s="287" t="s">
        <v>28</v>
      </c>
      <c r="Z361" s="297" t="s">
        <v>25</v>
      </c>
      <c r="AA361" s="313"/>
      <c r="AB361" s="313"/>
      <c r="AC361" s="298">
        <f t="shared" si="14"/>
        <v>3000000</v>
      </c>
      <c r="AD361" s="298">
        <v>3000000</v>
      </c>
      <c r="AE361" s="298">
        <f t="shared" si="15"/>
        <v>0</v>
      </c>
      <c r="AF361" s="299"/>
      <c r="AG361" s="300"/>
      <c r="AH361" s="299"/>
      <c r="AI361" s="299"/>
      <c r="AJ361" s="300"/>
      <c r="AK361" s="299"/>
      <c r="AL361" s="301"/>
      <c r="AM361" s="314"/>
      <c r="AN361" s="301"/>
      <c r="AO361" s="302"/>
      <c r="AP361" s="301"/>
      <c r="AQ361" s="301"/>
      <c r="AR361" s="301"/>
      <c r="AS361" s="301">
        <v>1500000</v>
      </c>
      <c r="AT361" s="301"/>
      <c r="AU361" s="301"/>
      <c r="AV361" s="301"/>
      <c r="AW361" s="301"/>
      <c r="AX361" s="301"/>
      <c r="AY361" s="301"/>
      <c r="AZ361" s="301"/>
      <c r="BA361" s="301"/>
      <c r="BB361" s="301"/>
      <c r="BC361" s="301"/>
      <c r="BD361" s="301"/>
      <c r="BE361" s="301">
        <v>1500000</v>
      </c>
      <c r="BF361" s="301"/>
      <c r="BG361" s="303"/>
      <c r="BH361" s="304"/>
    </row>
    <row r="362" spans="1:60" s="305" customFormat="1" ht="16.5" hidden="1" customHeight="1" x14ac:dyDescent="0.4">
      <c r="A362" s="285">
        <v>339</v>
      </c>
      <c r="B362" s="286"/>
      <c r="C362" s="286"/>
      <c r="D362" s="287" t="s">
        <v>92</v>
      </c>
      <c r="E362" s="287" t="s">
        <v>184</v>
      </c>
      <c r="F362" s="288" t="s">
        <v>92</v>
      </c>
      <c r="G362" s="289" t="s">
        <v>229</v>
      </c>
      <c r="H362" s="307"/>
      <c r="I362" s="290"/>
      <c r="J362" s="291" t="s">
        <v>857</v>
      </c>
      <c r="K362" s="287"/>
      <c r="L362" s="287"/>
      <c r="M362" s="287">
        <v>5007</v>
      </c>
      <c r="N362" s="287" t="s">
        <v>23</v>
      </c>
      <c r="O362" s="287" t="s">
        <v>33</v>
      </c>
      <c r="P362" s="287" t="s">
        <v>44</v>
      </c>
      <c r="Q362" s="287" t="s">
        <v>49</v>
      </c>
      <c r="R362" s="287" t="s">
        <v>29</v>
      </c>
      <c r="S362" s="292" t="s">
        <v>29</v>
      </c>
      <c r="T362" s="293" t="s">
        <v>798</v>
      </c>
      <c r="U362" s="294">
        <v>0</v>
      </c>
      <c r="V362" s="294">
        <v>0</v>
      </c>
      <c r="W362" s="295">
        <v>112912300</v>
      </c>
      <c r="X362" s="296"/>
      <c r="Y362" s="287" t="s">
        <v>28</v>
      </c>
      <c r="Z362" s="297" t="s">
        <v>28</v>
      </c>
      <c r="AA362" s="313"/>
      <c r="AB362" s="313"/>
      <c r="AC362" s="298">
        <f t="shared" si="14"/>
        <v>84031700</v>
      </c>
      <c r="AD362" s="298">
        <v>84031700</v>
      </c>
      <c r="AE362" s="298">
        <f t="shared" si="15"/>
        <v>0</v>
      </c>
      <c r="AF362" s="299">
        <v>4943300</v>
      </c>
      <c r="AG362" s="300">
        <v>4943300</v>
      </c>
      <c r="AH362" s="299"/>
      <c r="AI362" s="299">
        <v>5114700</v>
      </c>
      <c r="AJ362" s="300">
        <v>5114700</v>
      </c>
      <c r="AK362" s="299"/>
      <c r="AL362" s="301"/>
      <c r="AM362" s="314">
        <v>6417000</v>
      </c>
      <c r="AN362" s="301"/>
      <c r="AO362" s="302">
        <v>7000000</v>
      </c>
      <c r="AP362" s="301"/>
      <c r="AQ362" s="301">
        <v>7000000</v>
      </c>
      <c r="AR362" s="301"/>
      <c r="AS362" s="301">
        <v>7000000</v>
      </c>
      <c r="AT362" s="301"/>
      <c r="AU362" s="301">
        <v>7000000</v>
      </c>
      <c r="AV362" s="301"/>
      <c r="AW362" s="301">
        <v>7000000</v>
      </c>
      <c r="AX362" s="301"/>
      <c r="AY362" s="301">
        <v>9000000</v>
      </c>
      <c r="AZ362" s="301"/>
      <c r="BA362" s="301">
        <v>7500000</v>
      </c>
      <c r="BB362" s="301"/>
      <c r="BC362" s="301">
        <v>7000000</v>
      </c>
      <c r="BD362" s="301"/>
      <c r="BE362" s="301">
        <v>9056700</v>
      </c>
      <c r="BF362" s="301"/>
      <c r="BG362" s="303"/>
      <c r="BH362" s="304"/>
    </row>
    <row r="363" spans="1:60" s="305" customFormat="1" ht="16.5" hidden="1" customHeight="1" x14ac:dyDescent="0.4">
      <c r="A363" s="285">
        <v>340</v>
      </c>
      <c r="B363" s="286"/>
      <c r="C363" s="286"/>
      <c r="D363" s="287" t="s">
        <v>92</v>
      </c>
      <c r="E363" s="287" t="s">
        <v>229</v>
      </c>
      <c r="F363" s="288" t="s">
        <v>92</v>
      </c>
      <c r="G363" s="289" t="s">
        <v>229</v>
      </c>
      <c r="H363" s="307"/>
      <c r="I363" s="290"/>
      <c r="J363" s="291" t="s">
        <v>69</v>
      </c>
      <c r="K363" s="287"/>
      <c r="L363" s="287"/>
      <c r="M363" s="287">
        <v>45264</v>
      </c>
      <c r="N363" s="287" t="s">
        <v>40</v>
      </c>
      <c r="O363" s="287"/>
      <c r="P363" s="287"/>
      <c r="Q363" s="287" t="s">
        <v>30</v>
      </c>
      <c r="R363" s="287" t="s">
        <v>31</v>
      </c>
      <c r="S363" s="292" t="s">
        <v>31</v>
      </c>
      <c r="T363" s="293"/>
      <c r="U363" s="294">
        <v>2298000</v>
      </c>
      <c r="V363" s="294">
        <v>0</v>
      </c>
      <c r="W363" s="295">
        <v>2802000</v>
      </c>
      <c r="X363" s="296"/>
      <c r="Y363" s="287" t="s">
        <v>28</v>
      </c>
      <c r="Z363" s="297" t="s">
        <v>25</v>
      </c>
      <c r="AA363" s="313"/>
      <c r="AB363" s="313"/>
      <c r="AC363" s="298">
        <f t="shared" si="14"/>
        <v>3000000</v>
      </c>
      <c r="AD363" s="298">
        <v>3000000</v>
      </c>
      <c r="AE363" s="298">
        <f t="shared" si="15"/>
        <v>0</v>
      </c>
      <c r="AF363" s="299"/>
      <c r="AG363" s="300"/>
      <c r="AH363" s="299"/>
      <c r="AI363" s="299"/>
      <c r="AJ363" s="300"/>
      <c r="AK363" s="299"/>
      <c r="AL363" s="301"/>
      <c r="AM363" s="314"/>
      <c r="AN363" s="301"/>
      <c r="AO363" s="302"/>
      <c r="AP363" s="301"/>
      <c r="AQ363" s="301"/>
      <c r="AR363" s="301"/>
      <c r="AS363" s="301">
        <v>1500000</v>
      </c>
      <c r="AT363" s="301"/>
      <c r="AU363" s="301"/>
      <c r="AV363" s="301"/>
      <c r="AW363" s="301"/>
      <c r="AX363" s="301"/>
      <c r="AY363" s="301"/>
      <c r="AZ363" s="301"/>
      <c r="BA363" s="301"/>
      <c r="BB363" s="301"/>
      <c r="BC363" s="301"/>
      <c r="BD363" s="301"/>
      <c r="BE363" s="301">
        <v>1500000</v>
      </c>
      <c r="BF363" s="301"/>
      <c r="BG363" s="303"/>
      <c r="BH363" s="304"/>
    </row>
    <row r="364" spans="1:60" s="305" customFormat="1" ht="16.5" hidden="1" customHeight="1" x14ac:dyDescent="0.4">
      <c r="A364" s="285">
        <v>341</v>
      </c>
      <c r="B364" s="286"/>
      <c r="C364" s="286"/>
      <c r="D364" s="287" t="s">
        <v>92</v>
      </c>
      <c r="E364" s="287" t="s">
        <v>229</v>
      </c>
      <c r="F364" s="288" t="s">
        <v>92</v>
      </c>
      <c r="G364" s="289" t="s">
        <v>229</v>
      </c>
      <c r="H364" s="307"/>
      <c r="I364" s="290"/>
      <c r="J364" s="291" t="s">
        <v>82</v>
      </c>
      <c r="K364" s="287"/>
      <c r="L364" s="287"/>
      <c r="M364" s="287">
        <v>11800</v>
      </c>
      <c r="N364" s="287" t="s">
        <v>32</v>
      </c>
      <c r="O364" s="287"/>
      <c r="P364" s="287"/>
      <c r="Q364" s="287"/>
      <c r="R364" s="287" t="s">
        <v>349</v>
      </c>
      <c r="S364" s="292" t="s">
        <v>349</v>
      </c>
      <c r="T364" s="293"/>
      <c r="U364" s="294"/>
      <c r="V364" s="294">
        <v>0</v>
      </c>
      <c r="W364" s="295">
        <v>7500000</v>
      </c>
      <c r="X364" s="296"/>
      <c r="Y364" s="287" t="s">
        <v>28</v>
      </c>
      <c r="Z364" s="297" t="s">
        <v>28</v>
      </c>
      <c r="AA364" s="313"/>
      <c r="AB364" s="313"/>
      <c r="AC364" s="298">
        <f t="shared" si="14"/>
        <v>2500000</v>
      </c>
      <c r="AD364" s="298">
        <v>2500000</v>
      </c>
      <c r="AE364" s="298">
        <f t="shared" si="15"/>
        <v>0</v>
      </c>
      <c r="AF364" s="299"/>
      <c r="AG364" s="300"/>
      <c r="AH364" s="299"/>
      <c r="AI364" s="299"/>
      <c r="AJ364" s="300"/>
      <c r="AK364" s="299"/>
      <c r="AL364" s="301"/>
      <c r="AM364" s="314"/>
      <c r="AN364" s="301"/>
      <c r="AO364" s="302"/>
      <c r="AP364" s="301"/>
      <c r="AQ364" s="301"/>
      <c r="AR364" s="301"/>
      <c r="AS364" s="301">
        <v>2500000</v>
      </c>
      <c r="AT364" s="301"/>
      <c r="AU364" s="301"/>
      <c r="AV364" s="301"/>
      <c r="AW364" s="301"/>
      <c r="AX364" s="301"/>
      <c r="AY364" s="301"/>
      <c r="AZ364" s="301"/>
      <c r="BA364" s="301"/>
      <c r="BB364" s="301"/>
      <c r="BC364" s="301"/>
      <c r="BD364" s="301"/>
      <c r="BE364" s="301">
        <v>0</v>
      </c>
      <c r="BF364" s="301"/>
      <c r="BG364" s="303"/>
      <c r="BH364" s="304"/>
    </row>
    <row r="365" spans="1:60" s="305" customFormat="1" ht="16.5" hidden="1" customHeight="1" x14ac:dyDescent="0.4">
      <c r="A365" s="285">
        <v>342</v>
      </c>
      <c r="B365" s="286"/>
      <c r="C365" s="286"/>
      <c r="D365" s="287" t="s">
        <v>92</v>
      </c>
      <c r="E365" s="287" t="s">
        <v>229</v>
      </c>
      <c r="F365" s="288" t="s">
        <v>92</v>
      </c>
      <c r="G365" s="289" t="s">
        <v>229</v>
      </c>
      <c r="H365" s="307"/>
      <c r="I365" s="290"/>
      <c r="J365" s="291" t="s">
        <v>82</v>
      </c>
      <c r="K365" s="287"/>
      <c r="L365" s="287"/>
      <c r="M365" s="287">
        <v>11800</v>
      </c>
      <c r="N365" s="287" t="s">
        <v>32</v>
      </c>
      <c r="O365" s="287"/>
      <c r="P365" s="287"/>
      <c r="Q365" s="287" t="s">
        <v>24</v>
      </c>
      <c r="R365" s="287" t="s">
        <v>221</v>
      </c>
      <c r="S365" s="292" t="s">
        <v>745</v>
      </c>
      <c r="T365" s="293"/>
      <c r="U365" s="294">
        <v>17090909</v>
      </c>
      <c r="V365" s="294">
        <v>17272727</v>
      </c>
      <c r="W365" s="295">
        <v>36181819</v>
      </c>
      <c r="X365" s="296"/>
      <c r="Y365" s="287" t="s">
        <v>28</v>
      </c>
      <c r="Z365" s="297" t="s">
        <v>25</v>
      </c>
      <c r="AA365" s="313"/>
      <c r="AB365" s="313"/>
      <c r="AC365" s="298">
        <f t="shared" si="14"/>
        <v>10000000</v>
      </c>
      <c r="AD365" s="298">
        <v>10000000</v>
      </c>
      <c r="AE365" s="298">
        <f t="shared" si="15"/>
        <v>0</v>
      </c>
      <c r="AF365" s="299"/>
      <c r="AG365" s="300"/>
      <c r="AH365" s="299"/>
      <c r="AI365" s="299"/>
      <c r="AJ365" s="300"/>
      <c r="AK365" s="299"/>
      <c r="AL365" s="301"/>
      <c r="AM365" s="314"/>
      <c r="AN365" s="301"/>
      <c r="AO365" s="302"/>
      <c r="AP365" s="301"/>
      <c r="AQ365" s="301"/>
      <c r="AR365" s="301"/>
      <c r="AS365" s="301">
        <v>5000000</v>
      </c>
      <c r="AT365" s="301"/>
      <c r="AU365" s="301"/>
      <c r="AV365" s="301"/>
      <c r="AW365" s="301"/>
      <c r="AX365" s="301"/>
      <c r="AY365" s="301"/>
      <c r="AZ365" s="301"/>
      <c r="BA365" s="301"/>
      <c r="BB365" s="301"/>
      <c r="BC365" s="301"/>
      <c r="BD365" s="301"/>
      <c r="BE365" s="301">
        <v>5000000</v>
      </c>
      <c r="BF365" s="301"/>
      <c r="BG365" s="303"/>
      <c r="BH365" s="304"/>
    </row>
    <row r="366" spans="1:60" s="305" customFormat="1" ht="16.5" hidden="1" customHeight="1" x14ac:dyDescent="0.4">
      <c r="A366" s="285">
        <v>343</v>
      </c>
      <c r="B366" s="286"/>
      <c r="C366" s="286"/>
      <c r="D366" s="287" t="s">
        <v>92</v>
      </c>
      <c r="E366" s="287" t="s">
        <v>229</v>
      </c>
      <c r="F366" s="288" t="s">
        <v>92</v>
      </c>
      <c r="G366" s="289" t="s">
        <v>229</v>
      </c>
      <c r="H366" s="307"/>
      <c r="I366" s="290"/>
      <c r="J366" s="291" t="s">
        <v>82</v>
      </c>
      <c r="K366" s="287"/>
      <c r="L366" s="287"/>
      <c r="M366" s="287">
        <v>11800</v>
      </c>
      <c r="N366" s="287" t="s">
        <v>32</v>
      </c>
      <c r="O366" s="287" t="s">
        <v>43</v>
      </c>
      <c r="P366" s="287" t="s">
        <v>44</v>
      </c>
      <c r="Q366" s="287"/>
      <c r="R366" s="287" t="s">
        <v>347</v>
      </c>
      <c r="S366" s="292" t="s">
        <v>750</v>
      </c>
      <c r="T366" s="293"/>
      <c r="U366" s="294"/>
      <c r="V366" s="294">
        <v>0</v>
      </c>
      <c r="W366" s="295">
        <v>112140000</v>
      </c>
      <c r="X366" s="296"/>
      <c r="Y366" s="287" t="s">
        <v>28</v>
      </c>
      <c r="Z366" s="297" t="s">
        <v>28</v>
      </c>
      <c r="AA366" s="313"/>
      <c r="AB366" s="313"/>
      <c r="AC366" s="298">
        <f t="shared" si="14"/>
        <v>104140500</v>
      </c>
      <c r="AD366" s="298">
        <v>104140500</v>
      </c>
      <c r="AE366" s="298">
        <f t="shared" si="15"/>
        <v>0</v>
      </c>
      <c r="AF366" s="299">
        <v>16966000</v>
      </c>
      <c r="AG366" s="300">
        <v>16966000</v>
      </c>
      <c r="AH366" s="299"/>
      <c r="AI366" s="299">
        <v>12004000</v>
      </c>
      <c r="AJ366" s="300">
        <v>12004000</v>
      </c>
      <c r="AK366" s="299"/>
      <c r="AL366" s="301"/>
      <c r="AM366" s="314">
        <v>8170500</v>
      </c>
      <c r="AN366" s="301"/>
      <c r="AO366" s="302">
        <v>7000000</v>
      </c>
      <c r="AP366" s="301"/>
      <c r="AQ366" s="301">
        <v>7500000</v>
      </c>
      <c r="AR366" s="301"/>
      <c r="AS366" s="301">
        <v>7500000</v>
      </c>
      <c r="AT366" s="301"/>
      <c r="AU366" s="301">
        <v>7500000</v>
      </c>
      <c r="AV366" s="301"/>
      <c r="AW366" s="301">
        <v>7500000</v>
      </c>
      <c r="AX366" s="301"/>
      <c r="AY366" s="301">
        <v>7500000</v>
      </c>
      <c r="AZ366" s="301"/>
      <c r="BA366" s="301">
        <v>7500000</v>
      </c>
      <c r="BB366" s="301"/>
      <c r="BC366" s="301">
        <v>7500000</v>
      </c>
      <c r="BD366" s="301"/>
      <c r="BE366" s="301">
        <v>7500000</v>
      </c>
      <c r="BF366" s="301"/>
      <c r="BG366" s="303"/>
      <c r="BH366" s="304"/>
    </row>
    <row r="367" spans="1:60" s="305" customFormat="1" ht="16.5" hidden="1" customHeight="1" x14ac:dyDescent="0.4">
      <c r="A367" s="285">
        <v>344</v>
      </c>
      <c r="B367" s="286"/>
      <c r="C367" s="286"/>
      <c r="D367" s="287"/>
      <c r="E367" s="287"/>
      <c r="F367" s="288" t="s">
        <v>92</v>
      </c>
      <c r="G367" s="289" t="s">
        <v>229</v>
      </c>
      <c r="H367" s="307"/>
      <c r="I367" s="290"/>
      <c r="J367" s="291" t="s">
        <v>82</v>
      </c>
      <c r="K367" s="287"/>
      <c r="L367" s="287"/>
      <c r="M367" s="287">
        <v>11800</v>
      </c>
      <c r="N367" s="287" t="s">
        <v>32</v>
      </c>
      <c r="O367" s="287"/>
      <c r="P367" s="287"/>
      <c r="Q367" s="287"/>
      <c r="R367" s="287"/>
      <c r="S367" s="292" t="s">
        <v>752</v>
      </c>
      <c r="T367" s="293"/>
      <c r="U367" s="294"/>
      <c r="V367" s="294"/>
      <c r="W367" s="295">
        <v>2850000</v>
      </c>
      <c r="X367" s="296"/>
      <c r="Y367" s="287"/>
      <c r="Z367" s="297" t="s">
        <v>656</v>
      </c>
      <c r="AA367" s="313"/>
      <c r="AB367" s="313"/>
      <c r="AC367" s="298">
        <f t="shared" si="14"/>
        <v>0</v>
      </c>
      <c r="AD367" s="298">
        <v>0</v>
      </c>
      <c r="AE367" s="298">
        <f t="shared" si="15"/>
        <v>0</v>
      </c>
      <c r="AF367" s="299"/>
      <c r="AG367" s="300"/>
      <c r="AH367" s="299"/>
      <c r="AI367" s="299"/>
      <c r="AJ367" s="300"/>
      <c r="AK367" s="299"/>
      <c r="AL367" s="301"/>
      <c r="AM367" s="314"/>
      <c r="AN367" s="301"/>
      <c r="AO367" s="302"/>
      <c r="AP367" s="301"/>
      <c r="AQ367" s="301"/>
      <c r="AR367" s="301"/>
      <c r="AS367" s="301"/>
      <c r="AT367" s="301"/>
      <c r="AU367" s="301"/>
      <c r="AV367" s="301"/>
      <c r="AW367" s="301"/>
      <c r="AX367" s="301"/>
      <c r="AY367" s="301"/>
      <c r="AZ367" s="301"/>
      <c r="BA367" s="301"/>
      <c r="BB367" s="301"/>
      <c r="BC367" s="301"/>
      <c r="BD367" s="301"/>
      <c r="BE367" s="301"/>
      <c r="BF367" s="301"/>
      <c r="BG367" s="303"/>
      <c r="BH367" s="304"/>
    </row>
    <row r="368" spans="1:60" s="305" customFormat="1" ht="16.5" hidden="1" customHeight="1" x14ac:dyDescent="0.4">
      <c r="A368" s="285">
        <v>345</v>
      </c>
      <c r="B368" s="286"/>
      <c r="C368" s="286"/>
      <c r="D368" s="287" t="s">
        <v>92</v>
      </c>
      <c r="E368" s="287" t="s">
        <v>229</v>
      </c>
      <c r="F368" s="288" t="s">
        <v>92</v>
      </c>
      <c r="G368" s="289" t="s">
        <v>229</v>
      </c>
      <c r="H368" s="307"/>
      <c r="I368" s="290"/>
      <c r="J368" s="291" t="s">
        <v>675</v>
      </c>
      <c r="K368" s="287"/>
      <c r="L368" s="287"/>
      <c r="M368" s="287">
        <v>11800</v>
      </c>
      <c r="N368" s="287" t="s">
        <v>32</v>
      </c>
      <c r="O368" s="287" t="s">
        <v>43</v>
      </c>
      <c r="P368" s="287" t="s">
        <v>44</v>
      </c>
      <c r="Q368" s="287" t="s">
        <v>42</v>
      </c>
      <c r="R368" s="287" t="s">
        <v>347</v>
      </c>
      <c r="S368" s="292" t="s">
        <v>750</v>
      </c>
      <c r="T368" s="293"/>
      <c r="U368" s="294">
        <v>660874940</v>
      </c>
      <c r="V368" s="294">
        <v>416617732</v>
      </c>
      <c r="W368" s="295"/>
      <c r="X368" s="296"/>
      <c r="Y368" s="287" t="s">
        <v>28</v>
      </c>
      <c r="Z368" s="297" t="s">
        <v>28</v>
      </c>
      <c r="AA368" s="313"/>
      <c r="AB368" s="313"/>
      <c r="AC368" s="298">
        <f t="shared" si="14"/>
        <v>600000000</v>
      </c>
      <c r="AD368" s="298">
        <v>600000000</v>
      </c>
      <c r="AE368" s="298">
        <f t="shared" si="15"/>
        <v>0</v>
      </c>
      <c r="AF368" s="299">
        <v>0</v>
      </c>
      <c r="AG368" s="300"/>
      <c r="AH368" s="299"/>
      <c r="AI368" s="299"/>
      <c r="AJ368" s="300"/>
      <c r="AK368" s="299"/>
      <c r="AL368" s="301"/>
      <c r="AM368" s="314"/>
      <c r="AN368" s="301"/>
      <c r="AO368" s="302">
        <v>200000000</v>
      </c>
      <c r="AP368" s="301"/>
      <c r="AQ368" s="301"/>
      <c r="AR368" s="301"/>
      <c r="AS368" s="301"/>
      <c r="AT368" s="301"/>
      <c r="AU368" s="301">
        <v>200000000</v>
      </c>
      <c r="AV368" s="301"/>
      <c r="AW368" s="301"/>
      <c r="AX368" s="301"/>
      <c r="AY368" s="301"/>
      <c r="AZ368" s="301"/>
      <c r="BA368" s="301">
        <v>200000000</v>
      </c>
      <c r="BB368" s="301"/>
      <c r="BC368" s="301"/>
      <c r="BD368" s="301"/>
      <c r="BE368" s="301">
        <v>0</v>
      </c>
      <c r="BF368" s="301"/>
      <c r="BG368" s="303"/>
      <c r="BH368" s="304"/>
    </row>
    <row r="369" spans="1:60" s="305" customFormat="1" ht="16.5" hidden="1" customHeight="1" x14ac:dyDescent="0.4">
      <c r="A369" s="285">
        <v>346</v>
      </c>
      <c r="B369" s="286"/>
      <c r="C369" s="286"/>
      <c r="D369" s="287"/>
      <c r="E369" s="287"/>
      <c r="F369" s="288" t="s">
        <v>92</v>
      </c>
      <c r="G369" s="289" t="s">
        <v>229</v>
      </c>
      <c r="H369" s="307"/>
      <c r="I369" s="290"/>
      <c r="J369" s="291" t="s">
        <v>675</v>
      </c>
      <c r="K369" s="287"/>
      <c r="L369" s="287"/>
      <c r="M369" s="287">
        <v>11800</v>
      </c>
      <c r="N369" s="287" t="s">
        <v>32</v>
      </c>
      <c r="O369" s="287"/>
      <c r="P369" s="287"/>
      <c r="Q369" s="287"/>
      <c r="R369" s="287"/>
      <c r="S369" s="292" t="s">
        <v>753</v>
      </c>
      <c r="T369" s="293"/>
      <c r="U369" s="294"/>
      <c r="V369" s="294"/>
      <c r="W369" s="295">
        <v>660002653</v>
      </c>
      <c r="X369" s="296"/>
      <c r="Y369" s="287"/>
      <c r="Z369" s="297" t="s">
        <v>656</v>
      </c>
      <c r="AA369" s="313"/>
      <c r="AB369" s="313"/>
      <c r="AC369" s="298">
        <f t="shared" si="14"/>
        <v>0</v>
      </c>
      <c r="AD369" s="298">
        <v>0</v>
      </c>
      <c r="AE369" s="298">
        <f t="shared" si="15"/>
        <v>0</v>
      </c>
      <c r="AF369" s="299"/>
      <c r="AG369" s="300"/>
      <c r="AH369" s="299"/>
      <c r="AI369" s="299"/>
      <c r="AJ369" s="300"/>
      <c r="AK369" s="299"/>
      <c r="AL369" s="301"/>
      <c r="AM369" s="314"/>
      <c r="AN369" s="301"/>
      <c r="AO369" s="302"/>
      <c r="AP369" s="301"/>
      <c r="AQ369" s="301"/>
      <c r="AR369" s="301"/>
      <c r="AS369" s="301"/>
      <c r="AT369" s="301"/>
      <c r="AU369" s="301"/>
      <c r="AV369" s="301"/>
      <c r="AW369" s="301"/>
      <c r="AX369" s="301"/>
      <c r="AY369" s="301"/>
      <c r="AZ369" s="301"/>
      <c r="BA369" s="301"/>
      <c r="BB369" s="301"/>
      <c r="BC369" s="301"/>
      <c r="BD369" s="301"/>
      <c r="BE369" s="301"/>
      <c r="BF369" s="301"/>
      <c r="BG369" s="303"/>
      <c r="BH369" s="304"/>
    </row>
    <row r="370" spans="1:60" s="305" customFormat="1" ht="16.5" hidden="1" customHeight="1" x14ac:dyDescent="0.4">
      <c r="A370" s="285">
        <v>347</v>
      </c>
      <c r="B370" s="286"/>
      <c r="C370" s="286"/>
      <c r="D370" s="287" t="s">
        <v>92</v>
      </c>
      <c r="E370" s="287" t="s">
        <v>229</v>
      </c>
      <c r="F370" s="288" t="s">
        <v>92</v>
      </c>
      <c r="G370" s="289" t="s">
        <v>229</v>
      </c>
      <c r="H370" s="307"/>
      <c r="I370" s="290"/>
      <c r="J370" s="291" t="s">
        <v>561</v>
      </c>
      <c r="K370" s="287"/>
      <c r="L370" s="287"/>
      <c r="M370" s="287">
        <v>22760</v>
      </c>
      <c r="N370" s="287" t="s">
        <v>32</v>
      </c>
      <c r="O370" s="287"/>
      <c r="P370" s="287"/>
      <c r="Q370" s="287" t="s">
        <v>27</v>
      </c>
      <c r="R370" s="287" t="s">
        <v>349</v>
      </c>
      <c r="S370" s="292" t="s">
        <v>349</v>
      </c>
      <c r="T370" s="293"/>
      <c r="U370" s="294" t="s">
        <v>97</v>
      </c>
      <c r="V370" s="294">
        <v>2450000</v>
      </c>
      <c r="W370" s="295">
        <v>18200000</v>
      </c>
      <c r="X370" s="296"/>
      <c r="Y370" s="287" t="s">
        <v>21</v>
      </c>
      <c r="Z370" s="297" t="s">
        <v>25</v>
      </c>
      <c r="AA370" s="313"/>
      <c r="AB370" s="313"/>
      <c r="AC370" s="298">
        <f t="shared" si="14"/>
        <v>50000000</v>
      </c>
      <c r="AD370" s="298">
        <v>50000000</v>
      </c>
      <c r="AE370" s="298">
        <f t="shared" si="15"/>
        <v>0</v>
      </c>
      <c r="AF370" s="299"/>
      <c r="AG370" s="300"/>
      <c r="AH370" s="299"/>
      <c r="AI370" s="299">
        <v>50000000</v>
      </c>
      <c r="AJ370" s="300"/>
      <c r="AK370" s="299"/>
      <c r="AL370" s="301"/>
      <c r="AM370" s="314"/>
      <c r="AN370" s="301"/>
      <c r="AO370" s="302"/>
      <c r="AP370" s="301"/>
      <c r="AQ370" s="301"/>
      <c r="AR370" s="301"/>
      <c r="AS370" s="301"/>
      <c r="AT370" s="301"/>
      <c r="AU370" s="301"/>
      <c r="AV370" s="301"/>
      <c r="AW370" s="301"/>
      <c r="AX370" s="301"/>
      <c r="AY370" s="301"/>
      <c r="AZ370" s="301"/>
      <c r="BA370" s="301"/>
      <c r="BB370" s="301"/>
      <c r="BC370" s="301"/>
      <c r="BD370" s="301"/>
      <c r="BE370" s="301">
        <v>50000000</v>
      </c>
      <c r="BF370" s="301"/>
      <c r="BG370" s="303"/>
      <c r="BH370" s="304"/>
    </row>
    <row r="371" spans="1:60" s="305" customFormat="1" ht="16.5" hidden="1" customHeight="1" x14ac:dyDescent="0.4">
      <c r="A371" s="285">
        <v>348</v>
      </c>
      <c r="B371" s="286"/>
      <c r="C371" s="286"/>
      <c r="D371" s="287" t="s">
        <v>92</v>
      </c>
      <c r="E371" s="287" t="s">
        <v>229</v>
      </c>
      <c r="F371" s="288" t="s">
        <v>92</v>
      </c>
      <c r="G371" s="289" t="s">
        <v>229</v>
      </c>
      <c r="H371" s="307"/>
      <c r="I371" s="290"/>
      <c r="J371" s="291" t="s">
        <v>465</v>
      </c>
      <c r="K371" s="287"/>
      <c r="L371" s="287"/>
      <c r="M371" s="287">
        <v>1495</v>
      </c>
      <c r="N371" s="287" t="s">
        <v>35</v>
      </c>
      <c r="O371" s="287" t="s">
        <v>43</v>
      </c>
      <c r="P371" s="287" t="s">
        <v>44</v>
      </c>
      <c r="Q371" s="287" t="s">
        <v>49</v>
      </c>
      <c r="R371" s="287" t="s">
        <v>29</v>
      </c>
      <c r="S371" s="292" t="s">
        <v>29</v>
      </c>
      <c r="T371" s="293"/>
      <c r="U371" s="294">
        <v>70704100</v>
      </c>
      <c r="V371" s="294">
        <v>63915820</v>
      </c>
      <c r="W371" s="295">
        <v>45311600</v>
      </c>
      <c r="X371" s="296"/>
      <c r="Y371" s="287" t="s">
        <v>28</v>
      </c>
      <c r="Z371" s="297" t="s">
        <v>28</v>
      </c>
      <c r="AA371" s="313"/>
      <c r="AB371" s="313"/>
      <c r="AC371" s="298">
        <f t="shared" si="14"/>
        <v>22211000</v>
      </c>
      <c r="AD371" s="298">
        <v>22211000</v>
      </c>
      <c r="AE371" s="298">
        <f t="shared" si="15"/>
        <v>0</v>
      </c>
      <c r="AF371" s="299">
        <v>4000000</v>
      </c>
      <c r="AG371" s="300">
        <v>2211000</v>
      </c>
      <c r="AH371" s="299"/>
      <c r="AI371" s="299"/>
      <c r="AJ371" s="300"/>
      <c r="AK371" s="299"/>
      <c r="AL371" s="301"/>
      <c r="AM371" s="314">
        <v>7040800</v>
      </c>
      <c r="AN371" s="301"/>
      <c r="AO371" s="302">
        <v>4959200</v>
      </c>
      <c r="AP371" s="301"/>
      <c r="AQ371" s="301">
        <v>4000000</v>
      </c>
      <c r="AR371" s="301"/>
      <c r="AS371" s="301">
        <v>4000000</v>
      </c>
      <c r="AT371" s="301"/>
      <c r="AU371" s="301"/>
      <c r="AV371" s="301"/>
      <c r="AW371" s="301"/>
      <c r="AX371" s="301"/>
      <c r="AY371" s="301"/>
      <c r="AZ371" s="301"/>
      <c r="BA371" s="301"/>
      <c r="BB371" s="301"/>
      <c r="BC371" s="301"/>
      <c r="BD371" s="301"/>
      <c r="BE371" s="301"/>
      <c r="BF371" s="301"/>
      <c r="BG371" s="303"/>
      <c r="BH371" s="304"/>
    </row>
    <row r="372" spans="1:60" s="305" customFormat="1" ht="16.5" hidden="1" customHeight="1" x14ac:dyDescent="0.4">
      <c r="A372" s="285">
        <v>349</v>
      </c>
      <c r="B372" s="286"/>
      <c r="C372" s="286"/>
      <c r="D372" s="287" t="s">
        <v>92</v>
      </c>
      <c r="E372" s="287" t="s">
        <v>229</v>
      </c>
      <c r="F372" s="288" t="s">
        <v>92</v>
      </c>
      <c r="G372" s="289" t="s">
        <v>229</v>
      </c>
      <c r="H372" s="307"/>
      <c r="I372" s="290"/>
      <c r="J372" s="291" t="s">
        <v>465</v>
      </c>
      <c r="K372" s="287"/>
      <c r="L372" s="287"/>
      <c r="M372" s="287">
        <v>1495</v>
      </c>
      <c r="N372" s="287" t="s">
        <v>35</v>
      </c>
      <c r="O372" s="287"/>
      <c r="P372" s="287"/>
      <c r="Q372" s="287" t="s">
        <v>49</v>
      </c>
      <c r="R372" s="287" t="s">
        <v>29</v>
      </c>
      <c r="S372" s="292" t="s">
        <v>29</v>
      </c>
      <c r="T372" s="293"/>
      <c r="U372" s="294">
        <v>24005640</v>
      </c>
      <c r="V372" s="294">
        <v>0</v>
      </c>
      <c r="W372" s="295">
        <v>0</v>
      </c>
      <c r="X372" s="296"/>
      <c r="Y372" s="287" t="s">
        <v>22</v>
      </c>
      <c r="Z372" s="297" t="s">
        <v>618</v>
      </c>
      <c r="AA372" s="313"/>
      <c r="AB372" s="313"/>
      <c r="AC372" s="298">
        <f t="shared" si="14"/>
        <v>0</v>
      </c>
      <c r="AD372" s="298">
        <v>0</v>
      </c>
      <c r="AE372" s="298">
        <f t="shared" si="15"/>
        <v>0</v>
      </c>
      <c r="AF372" s="299"/>
      <c r="AG372" s="300"/>
      <c r="AH372" s="299"/>
      <c r="AI372" s="299"/>
      <c r="AJ372" s="300"/>
      <c r="AK372" s="299"/>
      <c r="AL372" s="301"/>
      <c r="AM372" s="314"/>
      <c r="AN372" s="301"/>
      <c r="AO372" s="302"/>
      <c r="AP372" s="301"/>
      <c r="AQ372" s="301"/>
      <c r="AR372" s="301"/>
      <c r="AS372" s="301"/>
      <c r="AT372" s="301"/>
      <c r="AU372" s="301"/>
      <c r="AV372" s="301"/>
      <c r="AW372" s="301"/>
      <c r="AX372" s="301"/>
      <c r="AY372" s="301"/>
      <c r="AZ372" s="301"/>
      <c r="BA372" s="301"/>
      <c r="BB372" s="301"/>
      <c r="BC372" s="301"/>
      <c r="BD372" s="301"/>
      <c r="BE372" s="301"/>
      <c r="BF372" s="301"/>
      <c r="BG372" s="303"/>
      <c r="BH372" s="304"/>
    </row>
    <row r="373" spans="1:60" s="305" customFormat="1" ht="16.5" hidden="1" customHeight="1" x14ac:dyDescent="0.4">
      <c r="A373" s="285">
        <v>350</v>
      </c>
      <c r="B373" s="286"/>
      <c r="C373" s="286"/>
      <c r="D373" s="287" t="s">
        <v>92</v>
      </c>
      <c r="E373" s="287" t="s">
        <v>184</v>
      </c>
      <c r="F373" s="288" t="s">
        <v>92</v>
      </c>
      <c r="G373" s="289" t="s">
        <v>229</v>
      </c>
      <c r="H373" s="307"/>
      <c r="I373" s="290"/>
      <c r="J373" s="291" t="s">
        <v>470</v>
      </c>
      <c r="K373" s="287"/>
      <c r="L373" s="287"/>
      <c r="M373" s="287">
        <v>16701</v>
      </c>
      <c r="N373" s="287" t="s">
        <v>32</v>
      </c>
      <c r="O373" s="287" t="s">
        <v>43</v>
      </c>
      <c r="P373" s="287" t="s">
        <v>44</v>
      </c>
      <c r="Q373" s="287" t="s">
        <v>19</v>
      </c>
      <c r="R373" s="287" t="s">
        <v>20</v>
      </c>
      <c r="S373" s="292" t="s">
        <v>20</v>
      </c>
      <c r="T373" s="293"/>
      <c r="U373" s="294">
        <v>4359000</v>
      </c>
      <c r="V373" s="294">
        <v>3535500</v>
      </c>
      <c r="W373" s="295">
        <v>2751900</v>
      </c>
      <c r="X373" s="296"/>
      <c r="Y373" s="287" t="s">
        <v>28</v>
      </c>
      <c r="Z373" s="297" t="s">
        <v>28</v>
      </c>
      <c r="AA373" s="313"/>
      <c r="AB373" s="313"/>
      <c r="AC373" s="298">
        <f t="shared" si="14"/>
        <v>2060000</v>
      </c>
      <c r="AD373" s="298">
        <v>2060000</v>
      </c>
      <c r="AE373" s="298">
        <f t="shared" si="15"/>
        <v>0</v>
      </c>
      <c r="AF373" s="299">
        <v>0</v>
      </c>
      <c r="AG373" s="300"/>
      <c r="AH373" s="299"/>
      <c r="AI373" s="299">
        <v>60000</v>
      </c>
      <c r="AJ373" s="300">
        <v>60000</v>
      </c>
      <c r="AK373" s="299"/>
      <c r="AL373" s="301"/>
      <c r="AM373" s="314"/>
      <c r="AN373" s="301"/>
      <c r="AO373" s="302">
        <v>400000</v>
      </c>
      <c r="AP373" s="301"/>
      <c r="AQ373" s="301">
        <v>200000</v>
      </c>
      <c r="AR373" s="301"/>
      <c r="AS373" s="301">
        <v>200000</v>
      </c>
      <c r="AT373" s="301"/>
      <c r="AU373" s="301">
        <v>200000</v>
      </c>
      <c r="AV373" s="301"/>
      <c r="AW373" s="301">
        <v>200000</v>
      </c>
      <c r="AX373" s="301"/>
      <c r="AY373" s="301">
        <v>200000</v>
      </c>
      <c r="AZ373" s="301"/>
      <c r="BA373" s="301">
        <v>200000</v>
      </c>
      <c r="BB373" s="301"/>
      <c r="BC373" s="301">
        <v>200000</v>
      </c>
      <c r="BD373" s="301"/>
      <c r="BE373" s="301">
        <v>200000</v>
      </c>
      <c r="BF373" s="301"/>
      <c r="BG373" s="303"/>
      <c r="BH373" s="304"/>
    </row>
    <row r="374" spans="1:60" s="305" customFormat="1" ht="16.5" hidden="1" customHeight="1" x14ac:dyDescent="0.4">
      <c r="A374" s="285">
        <v>351</v>
      </c>
      <c r="B374" s="286"/>
      <c r="C374" s="286"/>
      <c r="D374" s="287" t="s">
        <v>92</v>
      </c>
      <c r="E374" s="287" t="s">
        <v>184</v>
      </c>
      <c r="F374" s="288" t="s">
        <v>92</v>
      </c>
      <c r="G374" s="289" t="s">
        <v>229</v>
      </c>
      <c r="H374" s="307"/>
      <c r="I374" s="290"/>
      <c r="J374" s="291" t="s">
        <v>835</v>
      </c>
      <c r="K374" s="287"/>
      <c r="L374" s="287"/>
      <c r="M374" s="287">
        <v>16701</v>
      </c>
      <c r="N374" s="287" t="s">
        <v>32</v>
      </c>
      <c r="O374" s="287" t="s">
        <v>33</v>
      </c>
      <c r="P374" s="287"/>
      <c r="Q374" s="287"/>
      <c r="R374" s="287" t="s">
        <v>349</v>
      </c>
      <c r="S374" s="292" t="s">
        <v>349</v>
      </c>
      <c r="T374" s="293"/>
      <c r="U374" s="294"/>
      <c r="V374" s="294"/>
      <c r="W374" s="295"/>
      <c r="X374" s="296"/>
      <c r="Y374" s="287"/>
      <c r="Z374" s="297" t="s">
        <v>28</v>
      </c>
      <c r="AA374" s="313"/>
      <c r="AB374" s="313"/>
      <c r="AC374" s="298">
        <f t="shared" si="14"/>
        <v>19000000</v>
      </c>
      <c r="AD374" s="298">
        <v>19000000</v>
      </c>
      <c r="AE374" s="298">
        <f t="shared" si="15"/>
        <v>0</v>
      </c>
      <c r="AF374" s="299"/>
      <c r="AG374" s="300"/>
      <c r="AH374" s="299"/>
      <c r="AI374" s="299"/>
      <c r="AJ374" s="300"/>
      <c r="AK374" s="299"/>
      <c r="AL374" s="301"/>
      <c r="AM374" s="314"/>
      <c r="AN374" s="301"/>
      <c r="AO374" s="302"/>
      <c r="AP374" s="301"/>
      <c r="AQ374" s="301"/>
      <c r="AR374" s="301"/>
      <c r="AS374" s="301">
        <v>19000000</v>
      </c>
      <c r="AT374" s="301"/>
      <c r="AU374" s="301"/>
      <c r="AV374" s="301"/>
      <c r="AW374" s="301"/>
      <c r="AX374" s="301"/>
      <c r="AY374" s="301"/>
      <c r="AZ374" s="301"/>
      <c r="BA374" s="301"/>
      <c r="BB374" s="301"/>
      <c r="BC374" s="301"/>
      <c r="BD374" s="301"/>
      <c r="BE374" s="301"/>
      <c r="BF374" s="301"/>
      <c r="BG374" s="303"/>
      <c r="BH374" s="304"/>
    </row>
    <row r="375" spans="1:60" s="305" customFormat="1" ht="16.5" hidden="1" customHeight="1" x14ac:dyDescent="0.4">
      <c r="A375" s="285">
        <v>352</v>
      </c>
      <c r="B375" s="286"/>
      <c r="C375" s="286"/>
      <c r="D375" s="287" t="s">
        <v>92</v>
      </c>
      <c r="E375" s="287" t="s">
        <v>102</v>
      </c>
      <c r="F375" s="288" t="s">
        <v>92</v>
      </c>
      <c r="G375" s="289" t="s">
        <v>229</v>
      </c>
      <c r="H375" s="307"/>
      <c r="I375" s="290"/>
      <c r="J375" s="291" t="s">
        <v>504</v>
      </c>
      <c r="K375" s="287"/>
      <c r="L375" s="287"/>
      <c r="M375" s="287">
        <v>4565</v>
      </c>
      <c r="N375" s="287" t="s">
        <v>40</v>
      </c>
      <c r="O375" s="287" t="s">
        <v>43</v>
      </c>
      <c r="P375" s="287" t="s">
        <v>44</v>
      </c>
      <c r="Q375" s="287" t="s">
        <v>49</v>
      </c>
      <c r="R375" s="287" t="s">
        <v>29</v>
      </c>
      <c r="S375" s="292" t="s">
        <v>29</v>
      </c>
      <c r="T375" s="293" t="s">
        <v>798</v>
      </c>
      <c r="U375" s="294">
        <v>41104900</v>
      </c>
      <c r="V375" s="294">
        <v>50575520</v>
      </c>
      <c r="W375" s="295">
        <v>98830700</v>
      </c>
      <c r="X375" s="296"/>
      <c r="Y375" s="287" t="s">
        <v>28</v>
      </c>
      <c r="Z375" s="297" t="s">
        <v>28</v>
      </c>
      <c r="AA375" s="313"/>
      <c r="AB375" s="313"/>
      <c r="AC375" s="298">
        <f t="shared" si="14"/>
        <v>71268300</v>
      </c>
      <c r="AD375" s="298">
        <v>71268300</v>
      </c>
      <c r="AE375" s="298">
        <f t="shared" si="15"/>
        <v>0</v>
      </c>
      <c r="AF375" s="299"/>
      <c r="AG375" s="300"/>
      <c r="AH375" s="299"/>
      <c r="AI375" s="299">
        <v>13731900</v>
      </c>
      <c r="AJ375" s="300">
        <v>13731900</v>
      </c>
      <c r="AK375" s="299"/>
      <c r="AL375" s="301"/>
      <c r="AM375" s="314">
        <v>10536400</v>
      </c>
      <c r="AN375" s="301"/>
      <c r="AO375" s="302">
        <v>5000000</v>
      </c>
      <c r="AP375" s="301"/>
      <c r="AQ375" s="301">
        <v>5000000</v>
      </c>
      <c r="AR375" s="301"/>
      <c r="AS375" s="301">
        <v>5000000</v>
      </c>
      <c r="AT375" s="301"/>
      <c r="AU375" s="301">
        <v>5000000</v>
      </c>
      <c r="AV375" s="301"/>
      <c r="AW375" s="301">
        <v>5000000</v>
      </c>
      <c r="AX375" s="301"/>
      <c r="AY375" s="301">
        <v>5000000</v>
      </c>
      <c r="AZ375" s="301"/>
      <c r="BA375" s="301">
        <v>5000000</v>
      </c>
      <c r="BB375" s="301"/>
      <c r="BC375" s="301">
        <v>6000000</v>
      </c>
      <c r="BD375" s="301"/>
      <c r="BE375" s="301">
        <v>6000000</v>
      </c>
      <c r="BF375" s="301"/>
      <c r="BG375" s="303"/>
      <c r="BH375" s="304"/>
    </row>
    <row r="376" spans="1:60" s="305" customFormat="1" ht="16.5" hidden="1" customHeight="1" x14ac:dyDescent="0.4">
      <c r="A376" s="285">
        <v>353</v>
      </c>
      <c r="B376" s="286"/>
      <c r="C376" s="286"/>
      <c r="D376" s="287" t="s">
        <v>92</v>
      </c>
      <c r="E376" s="287" t="s">
        <v>102</v>
      </c>
      <c r="F376" s="288" t="s">
        <v>92</v>
      </c>
      <c r="G376" s="289" t="s">
        <v>229</v>
      </c>
      <c r="H376" s="307"/>
      <c r="I376" s="290"/>
      <c r="J376" s="291" t="s">
        <v>504</v>
      </c>
      <c r="K376" s="287"/>
      <c r="L376" s="287"/>
      <c r="M376" s="287">
        <v>4565</v>
      </c>
      <c r="N376" s="287" t="s">
        <v>40</v>
      </c>
      <c r="O376" s="287" t="s">
        <v>43</v>
      </c>
      <c r="P376" s="287" t="s">
        <v>44</v>
      </c>
      <c r="Q376" s="287" t="s">
        <v>27</v>
      </c>
      <c r="R376" s="287" t="s">
        <v>340</v>
      </c>
      <c r="S376" s="292" t="s">
        <v>340</v>
      </c>
      <c r="T376" s="293"/>
      <c r="U376" s="294"/>
      <c r="V376" s="294">
        <v>8000000</v>
      </c>
      <c r="W376" s="295">
        <v>4180000</v>
      </c>
      <c r="X376" s="296"/>
      <c r="Y376" s="287" t="s">
        <v>28</v>
      </c>
      <c r="Z376" s="297" t="s">
        <v>25</v>
      </c>
      <c r="AA376" s="313"/>
      <c r="AB376" s="313"/>
      <c r="AC376" s="298">
        <f t="shared" si="14"/>
        <v>8000000</v>
      </c>
      <c r="AD376" s="298">
        <v>8000000</v>
      </c>
      <c r="AE376" s="298">
        <f t="shared" si="15"/>
        <v>0</v>
      </c>
      <c r="AF376" s="299"/>
      <c r="AG376" s="300"/>
      <c r="AH376" s="299"/>
      <c r="AI376" s="299"/>
      <c r="AJ376" s="300"/>
      <c r="AK376" s="299"/>
      <c r="AL376" s="301"/>
      <c r="AM376" s="314"/>
      <c r="AN376" s="301"/>
      <c r="AO376" s="302"/>
      <c r="AP376" s="301"/>
      <c r="AQ376" s="316">
        <v>3000000</v>
      </c>
      <c r="AR376" s="301"/>
      <c r="AS376" s="301"/>
      <c r="AT376" s="301"/>
      <c r="AU376" s="301"/>
      <c r="AV376" s="301"/>
      <c r="AW376" s="301"/>
      <c r="AX376" s="301"/>
      <c r="AY376" s="301">
        <v>3000000</v>
      </c>
      <c r="AZ376" s="301"/>
      <c r="BA376" s="301"/>
      <c r="BB376" s="301"/>
      <c r="BC376" s="301">
        <v>2000000</v>
      </c>
      <c r="BD376" s="301"/>
      <c r="BE376" s="301"/>
      <c r="BF376" s="301"/>
      <c r="BG376" s="303"/>
      <c r="BH376" s="304"/>
    </row>
    <row r="377" spans="1:60" s="305" customFormat="1" ht="16.5" hidden="1" customHeight="1" x14ac:dyDescent="0.4">
      <c r="A377" s="285">
        <v>354</v>
      </c>
      <c r="B377" s="286"/>
      <c r="C377" s="286"/>
      <c r="D377" s="287" t="s">
        <v>92</v>
      </c>
      <c r="E377" s="287" t="s">
        <v>229</v>
      </c>
      <c r="F377" s="288" t="s">
        <v>92</v>
      </c>
      <c r="G377" s="289" t="s">
        <v>229</v>
      </c>
      <c r="H377" s="307"/>
      <c r="I377" s="290"/>
      <c r="J377" s="291" t="s">
        <v>524</v>
      </c>
      <c r="K377" s="287"/>
      <c r="L377" s="287"/>
      <c r="M377" s="287">
        <v>7794</v>
      </c>
      <c r="N377" s="287" t="s">
        <v>40</v>
      </c>
      <c r="O377" s="287" t="s">
        <v>43</v>
      </c>
      <c r="P377" s="287" t="s">
        <v>44</v>
      </c>
      <c r="Q377" s="287" t="s">
        <v>19</v>
      </c>
      <c r="R377" s="287" t="s">
        <v>349</v>
      </c>
      <c r="S377" s="292" t="s">
        <v>349</v>
      </c>
      <c r="T377" s="293"/>
      <c r="U377" s="294"/>
      <c r="V377" s="294">
        <v>0</v>
      </c>
      <c r="W377" s="295">
        <v>18346700</v>
      </c>
      <c r="X377" s="296"/>
      <c r="Y377" s="287" t="s">
        <v>28</v>
      </c>
      <c r="Z377" s="297" t="s">
        <v>28</v>
      </c>
      <c r="AA377" s="313"/>
      <c r="AB377" s="313"/>
      <c r="AC377" s="298">
        <f t="shared" si="14"/>
        <v>50000000</v>
      </c>
      <c r="AD377" s="298">
        <v>50000000</v>
      </c>
      <c r="AE377" s="298">
        <f t="shared" si="15"/>
        <v>0</v>
      </c>
      <c r="AF377" s="299"/>
      <c r="AG377" s="300"/>
      <c r="AH377" s="299"/>
      <c r="AI377" s="299"/>
      <c r="AJ377" s="300"/>
      <c r="AK377" s="299"/>
      <c r="AL377" s="301"/>
      <c r="AM377" s="314"/>
      <c r="AN377" s="301"/>
      <c r="AO377" s="302"/>
      <c r="AP377" s="301"/>
      <c r="AQ377" s="301"/>
      <c r="AR377" s="301"/>
      <c r="AS377" s="301"/>
      <c r="AT377" s="301"/>
      <c r="AU377" s="301">
        <v>50000000</v>
      </c>
      <c r="AV377" s="301"/>
      <c r="AW377" s="301"/>
      <c r="AX377" s="301"/>
      <c r="AY377" s="301"/>
      <c r="AZ377" s="301"/>
      <c r="BA377" s="301"/>
      <c r="BB377" s="301"/>
      <c r="BC377" s="301"/>
      <c r="BD377" s="301"/>
      <c r="BE377" s="301"/>
      <c r="BF377" s="301"/>
      <c r="BG377" s="303"/>
      <c r="BH377" s="304"/>
    </row>
    <row r="378" spans="1:60" s="305" customFormat="1" ht="16.5" hidden="1" customHeight="1" x14ac:dyDescent="0.4">
      <c r="A378" s="285">
        <v>355</v>
      </c>
      <c r="B378" s="286"/>
      <c r="C378" s="286"/>
      <c r="D378" s="287" t="s">
        <v>92</v>
      </c>
      <c r="E378" s="287" t="s">
        <v>235</v>
      </c>
      <c r="F378" s="288" t="s">
        <v>92</v>
      </c>
      <c r="G378" s="289" t="s">
        <v>229</v>
      </c>
      <c r="H378" s="307"/>
      <c r="I378" s="290"/>
      <c r="J378" s="291" t="s">
        <v>523</v>
      </c>
      <c r="K378" s="287"/>
      <c r="L378" s="287"/>
      <c r="M378" s="287">
        <v>7499</v>
      </c>
      <c r="N378" s="287" t="s">
        <v>32</v>
      </c>
      <c r="O378" s="287" t="s">
        <v>43</v>
      </c>
      <c r="P378" s="287" t="s">
        <v>44</v>
      </c>
      <c r="Q378" s="287" t="s">
        <v>30</v>
      </c>
      <c r="R378" s="287" t="s">
        <v>31</v>
      </c>
      <c r="S378" s="292" t="s">
        <v>31</v>
      </c>
      <c r="T378" s="293"/>
      <c r="U378" s="294">
        <v>10296000</v>
      </c>
      <c r="V378" s="294">
        <v>10700000</v>
      </c>
      <c r="W378" s="295">
        <v>160000</v>
      </c>
      <c r="X378" s="296"/>
      <c r="Y378" s="287" t="s">
        <v>25</v>
      </c>
      <c r="Z378" s="297" t="s">
        <v>25</v>
      </c>
      <c r="AA378" s="313"/>
      <c r="AB378" s="313"/>
      <c r="AC378" s="298">
        <f t="shared" si="14"/>
        <v>10000000</v>
      </c>
      <c r="AD378" s="298">
        <v>10000000</v>
      </c>
      <c r="AE378" s="298">
        <f t="shared" si="15"/>
        <v>0</v>
      </c>
      <c r="AF378" s="299"/>
      <c r="AG378" s="300"/>
      <c r="AH378" s="299"/>
      <c r="AI378" s="299"/>
      <c r="AJ378" s="300"/>
      <c r="AK378" s="299"/>
      <c r="AL378" s="301"/>
      <c r="AM378" s="314"/>
      <c r="AN378" s="301"/>
      <c r="AO378" s="302"/>
      <c r="AP378" s="301"/>
      <c r="AQ378" s="301"/>
      <c r="AR378" s="301"/>
      <c r="AS378" s="301"/>
      <c r="AT378" s="301"/>
      <c r="AU378" s="301"/>
      <c r="AV378" s="301"/>
      <c r="AW378" s="301"/>
      <c r="AX378" s="301"/>
      <c r="AY378" s="301"/>
      <c r="AZ378" s="301"/>
      <c r="BA378" s="301"/>
      <c r="BB378" s="301"/>
      <c r="BC378" s="301"/>
      <c r="BD378" s="301"/>
      <c r="BE378" s="301">
        <v>10000000</v>
      </c>
      <c r="BF378" s="301"/>
      <c r="BG378" s="303"/>
      <c r="BH378" s="304"/>
    </row>
    <row r="379" spans="1:60" s="305" customFormat="1" ht="16.5" hidden="1" customHeight="1" x14ac:dyDescent="0.4">
      <c r="A379" s="285">
        <v>356</v>
      </c>
      <c r="B379" s="286"/>
      <c r="C379" s="286"/>
      <c r="D379" s="287" t="s">
        <v>92</v>
      </c>
      <c r="E379" s="287" t="s">
        <v>235</v>
      </c>
      <c r="F379" s="288" t="s">
        <v>92</v>
      </c>
      <c r="G379" s="289" t="s">
        <v>229</v>
      </c>
      <c r="H379" s="307"/>
      <c r="I379" s="290"/>
      <c r="J379" s="291" t="s">
        <v>523</v>
      </c>
      <c r="K379" s="287"/>
      <c r="L379" s="287"/>
      <c r="M379" s="287">
        <v>7499</v>
      </c>
      <c r="N379" s="287" t="s">
        <v>32</v>
      </c>
      <c r="O379" s="287" t="s">
        <v>43</v>
      </c>
      <c r="P379" s="287" t="s">
        <v>93</v>
      </c>
      <c r="Q379" s="287"/>
      <c r="R379" s="287" t="s">
        <v>349</v>
      </c>
      <c r="S379" s="292" t="s">
        <v>349</v>
      </c>
      <c r="T379" s="293"/>
      <c r="U379" s="294"/>
      <c r="V379" s="294">
        <v>0</v>
      </c>
      <c r="W379" s="295">
        <v>316149302</v>
      </c>
      <c r="X379" s="296"/>
      <c r="Y379" s="287" t="s">
        <v>28</v>
      </c>
      <c r="Z379" s="297" t="s">
        <v>28</v>
      </c>
      <c r="AA379" s="313"/>
      <c r="AB379" s="313"/>
      <c r="AC379" s="298">
        <f t="shared" si="14"/>
        <v>300000000</v>
      </c>
      <c r="AD379" s="298">
        <v>300000000</v>
      </c>
      <c r="AE379" s="298">
        <f t="shared" si="15"/>
        <v>0</v>
      </c>
      <c r="AF379" s="299"/>
      <c r="AG379" s="300"/>
      <c r="AH379" s="299"/>
      <c r="AI379" s="299">
        <v>0</v>
      </c>
      <c r="AJ379" s="300"/>
      <c r="AK379" s="299"/>
      <c r="AL379" s="301"/>
      <c r="AM379" s="314"/>
      <c r="AN379" s="301"/>
      <c r="AO379" s="302">
        <v>0</v>
      </c>
      <c r="AP379" s="301"/>
      <c r="AQ379" s="301">
        <v>0</v>
      </c>
      <c r="AR379" s="301"/>
      <c r="AS379" s="301">
        <v>0</v>
      </c>
      <c r="AT379" s="301"/>
      <c r="AU379" s="301">
        <v>0</v>
      </c>
      <c r="AV379" s="301"/>
      <c r="AW379" s="301">
        <v>0</v>
      </c>
      <c r="AX379" s="301"/>
      <c r="AY379" s="301">
        <v>0</v>
      </c>
      <c r="AZ379" s="301"/>
      <c r="BA379" s="301">
        <v>0</v>
      </c>
      <c r="BB379" s="301"/>
      <c r="BC379" s="301">
        <v>0</v>
      </c>
      <c r="BD379" s="301"/>
      <c r="BE379" s="301">
        <v>300000000</v>
      </c>
      <c r="BF379" s="301"/>
      <c r="BG379" s="303"/>
      <c r="BH379" s="304"/>
    </row>
    <row r="380" spans="1:60" s="305" customFormat="1" ht="16.5" hidden="1" customHeight="1" x14ac:dyDescent="0.4">
      <c r="A380" s="285">
        <v>357</v>
      </c>
      <c r="B380" s="286"/>
      <c r="C380" s="286"/>
      <c r="D380" s="287" t="s">
        <v>92</v>
      </c>
      <c r="E380" s="287" t="s">
        <v>235</v>
      </c>
      <c r="F380" s="288" t="s">
        <v>92</v>
      </c>
      <c r="G380" s="289" t="s">
        <v>229</v>
      </c>
      <c r="H380" s="307"/>
      <c r="I380" s="290"/>
      <c r="J380" s="291" t="s">
        <v>523</v>
      </c>
      <c r="K380" s="287"/>
      <c r="L380" s="287"/>
      <c r="M380" s="287">
        <v>7499</v>
      </c>
      <c r="N380" s="287" t="s">
        <v>32</v>
      </c>
      <c r="O380" s="287" t="s">
        <v>43</v>
      </c>
      <c r="P380" s="287" t="s">
        <v>93</v>
      </c>
      <c r="Q380" s="287"/>
      <c r="R380" s="287" t="s">
        <v>340</v>
      </c>
      <c r="S380" s="292" t="s">
        <v>750</v>
      </c>
      <c r="T380" s="293"/>
      <c r="U380" s="294"/>
      <c r="V380" s="294"/>
      <c r="W380" s="295">
        <v>11974515</v>
      </c>
      <c r="X380" s="296"/>
      <c r="Y380" s="287" t="s">
        <v>25</v>
      </c>
      <c r="Z380" s="297" t="s">
        <v>28</v>
      </c>
      <c r="AA380" s="313"/>
      <c r="AB380" s="313"/>
      <c r="AC380" s="298">
        <f t="shared" si="14"/>
        <v>50000000</v>
      </c>
      <c r="AD380" s="298">
        <v>50000000</v>
      </c>
      <c r="AE380" s="298">
        <f t="shared" si="15"/>
        <v>0</v>
      </c>
      <c r="AF380" s="299"/>
      <c r="AG380" s="300"/>
      <c r="AH380" s="299"/>
      <c r="AI380" s="299">
        <v>5354515</v>
      </c>
      <c r="AJ380" s="300">
        <v>5354515</v>
      </c>
      <c r="AK380" s="299"/>
      <c r="AL380" s="301"/>
      <c r="AM380" s="314">
        <v>5354515</v>
      </c>
      <c r="AN380" s="301"/>
      <c r="AO380" s="302"/>
      <c r="AP380" s="301"/>
      <c r="AQ380" s="301"/>
      <c r="AR380" s="301"/>
      <c r="AS380" s="301"/>
      <c r="AT380" s="301"/>
      <c r="AU380" s="301"/>
      <c r="AV380" s="301"/>
      <c r="AW380" s="301"/>
      <c r="AX380" s="301"/>
      <c r="AY380" s="301">
        <v>39290970</v>
      </c>
      <c r="AZ380" s="301"/>
      <c r="BA380" s="301"/>
      <c r="BB380" s="301"/>
      <c r="BC380" s="301"/>
      <c r="BD380" s="301"/>
      <c r="BE380" s="301"/>
      <c r="BF380" s="301"/>
      <c r="BG380" s="303"/>
      <c r="BH380" s="304"/>
    </row>
    <row r="381" spans="1:60" s="305" customFormat="1" ht="16.5" hidden="1" customHeight="1" x14ac:dyDescent="0.4">
      <c r="A381" s="285">
        <v>358</v>
      </c>
      <c r="B381" s="286"/>
      <c r="C381" s="286"/>
      <c r="D381" s="287" t="s">
        <v>92</v>
      </c>
      <c r="E381" s="287" t="s">
        <v>235</v>
      </c>
      <c r="F381" s="288" t="s">
        <v>92</v>
      </c>
      <c r="G381" s="289" t="s">
        <v>229</v>
      </c>
      <c r="H381" s="307"/>
      <c r="I381" s="290"/>
      <c r="J381" s="291" t="s">
        <v>218</v>
      </c>
      <c r="K381" s="287"/>
      <c r="L381" s="287"/>
      <c r="M381" s="287">
        <v>60407</v>
      </c>
      <c r="N381" s="287" t="s">
        <v>32</v>
      </c>
      <c r="O381" s="287"/>
      <c r="P381" s="287"/>
      <c r="Q381" s="287" t="s">
        <v>48</v>
      </c>
      <c r="R381" s="287" t="s">
        <v>685</v>
      </c>
      <c r="S381" s="292" t="s">
        <v>743</v>
      </c>
      <c r="T381" s="293"/>
      <c r="U381" s="294"/>
      <c r="V381" s="294">
        <v>13720000</v>
      </c>
      <c r="W381" s="295"/>
      <c r="X381" s="296"/>
      <c r="Y381" s="287" t="s">
        <v>21</v>
      </c>
      <c r="Z381" s="297" t="s">
        <v>618</v>
      </c>
      <c r="AA381" s="313"/>
      <c r="AB381" s="313"/>
      <c r="AC381" s="298">
        <f t="shared" si="14"/>
        <v>0</v>
      </c>
      <c r="AD381" s="298">
        <v>0</v>
      </c>
      <c r="AE381" s="298">
        <f t="shared" si="15"/>
        <v>0</v>
      </c>
      <c r="AF381" s="299"/>
      <c r="AG381" s="300"/>
      <c r="AH381" s="299"/>
      <c r="AI381" s="299"/>
      <c r="AJ381" s="300"/>
      <c r="AK381" s="299"/>
      <c r="AL381" s="301"/>
      <c r="AM381" s="314"/>
      <c r="AN381" s="301"/>
      <c r="AO381" s="302"/>
      <c r="AP381" s="301"/>
      <c r="AQ381" s="301"/>
      <c r="AR381" s="301"/>
      <c r="AS381" s="301"/>
      <c r="AT381" s="301"/>
      <c r="AU381" s="301"/>
      <c r="AV381" s="301"/>
      <c r="AW381" s="301"/>
      <c r="AX381" s="301"/>
      <c r="AY381" s="301"/>
      <c r="AZ381" s="301"/>
      <c r="BA381" s="301"/>
      <c r="BB381" s="301"/>
      <c r="BC381" s="301"/>
      <c r="BD381" s="301"/>
      <c r="BE381" s="301"/>
      <c r="BF381" s="301"/>
      <c r="BG381" s="303"/>
      <c r="BH381" s="304"/>
    </row>
    <row r="382" spans="1:60" s="305" customFormat="1" ht="16.5" hidden="1" customHeight="1" x14ac:dyDescent="0.4">
      <c r="A382" s="285">
        <v>359</v>
      </c>
      <c r="B382" s="286"/>
      <c r="C382" s="286"/>
      <c r="D382" s="287" t="s">
        <v>92</v>
      </c>
      <c r="E382" s="287" t="s">
        <v>235</v>
      </c>
      <c r="F382" s="288" t="s">
        <v>92</v>
      </c>
      <c r="G382" s="289" t="s">
        <v>229</v>
      </c>
      <c r="H382" s="307"/>
      <c r="I382" s="290"/>
      <c r="J382" s="291" t="s">
        <v>505</v>
      </c>
      <c r="K382" s="287"/>
      <c r="L382" s="287"/>
      <c r="M382" s="287">
        <v>46761</v>
      </c>
      <c r="N382" s="287" t="s">
        <v>32</v>
      </c>
      <c r="O382" s="287" t="s">
        <v>43</v>
      </c>
      <c r="P382" s="287" t="s">
        <v>44</v>
      </c>
      <c r="Q382" s="287" t="s">
        <v>19</v>
      </c>
      <c r="R382" s="287" t="s">
        <v>31</v>
      </c>
      <c r="S382" s="292" t="s">
        <v>31</v>
      </c>
      <c r="T382" s="293"/>
      <c r="U382" s="294">
        <v>500000</v>
      </c>
      <c r="V382" s="294">
        <v>500000</v>
      </c>
      <c r="W382" s="295">
        <v>345000</v>
      </c>
      <c r="X382" s="296"/>
      <c r="Y382" s="287" t="s">
        <v>28</v>
      </c>
      <c r="Z382" s="297" t="s">
        <v>28</v>
      </c>
      <c r="AA382" s="313"/>
      <c r="AB382" s="313"/>
      <c r="AC382" s="298">
        <f t="shared" si="14"/>
        <v>1065000</v>
      </c>
      <c r="AD382" s="298">
        <v>1065000</v>
      </c>
      <c r="AE382" s="298">
        <f t="shared" si="15"/>
        <v>0</v>
      </c>
      <c r="AF382" s="299"/>
      <c r="AG382" s="300">
        <v>45000</v>
      </c>
      <c r="AH382" s="299"/>
      <c r="AI382" s="299"/>
      <c r="AJ382" s="300"/>
      <c r="AK382" s="299"/>
      <c r="AL382" s="301"/>
      <c r="AM382" s="314">
        <v>120000</v>
      </c>
      <c r="AN382" s="301"/>
      <c r="AO382" s="302"/>
      <c r="AP382" s="301"/>
      <c r="AQ382" s="301"/>
      <c r="AR382" s="301"/>
      <c r="AS382" s="301">
        <v>900000</v>
      </c>
      <c r="AT382" s="301"/>
      <c r="AU382" s="301"/>
      <c r="AV382" s="301"/>
      <c r="AW382" s="301"/>
      <c r="AX382" s="301"/>
      <c r="AY382" s="301"/>
      <c r="AZ382" s="301"/>
      <c r="BA382" s="301"/>
      <c r="BB382" s="301"/>
      <c r="BC382" s="301"/>
      <c r="BD382" s="301"/>
      <c r="BE382" s="301"/>
      <c r="BF382" s="301"/>
      <c r="BG382" s="303"/>
      <c r="BH382" s="304"/>
    </row>
    <row r="383" spans="1:60" s="305" customFormat="1" ht="16.5" hidden="1" customHeight="1" x14ac:dyDescent="0.4">
      <c r="A383" s="285">
        <v>360</v>
      </c>
      <c r="B383" s="286"/>
      <c r="C383" s="286"/>
      <c r="D383" s="287" t="s">
        <v>92</v>
      </c>
      <c r="E383" s="287" t="s">
        <v>229</v>
      </c>
      <c r="F383" s="288" t="s">
        <v>92</v>
      </c>
      <c r="G383" s="289" t="s">
        <v>229</v>
      </c>
      <c r="H383" s="307"/>
      <c r="I383" s="290"/>
      <c r="J383" s="291" t="s">
        <v>679</v>
      </c>
      <c r="K383" s="287"/>
      <c r="L383" s="287"/>
      <c r="M383" s="287">
        <v>10421</v>
      </c>
      <c r="N383" s="287" t="s">
        <v>32</v>
      </c>
      <c r="O383" s="287"/>
      <c r="P383" s="287"/>
      <c r="Q383" s="287"/>
      <c r="R383" s="287" t="s">
        <v>340</v>
      </c>
      <c r="S383" s="292" t="s">
        <v>349</v>
      </c>
      <c r="T383" s="293"/>
      <c r="U383" s="294"/>
      <c r="V383" s="294"/>
      <c r="W383" s="295"/>
      <c r="X383" s="296"/>
      <c r="Y383" s="287" t="s">
        <v>26</v>
      </c>
      <c r="Z383" s="297" t="s">
        <v>26</v>
      </c>
      <c r="AA383" s="313"/>
      <c r="AB383" s="313"/>
      <c r="AC383" s="298">
        <f t="shared" si="14"/>
        <v>100000000</v>
      </c>
      <c r="AD383" s="298">
        <v>100000000</v>
      </c>
      <c r="AE383" s="298">
        <f t="shared" si="15"/>
        <v>0</v>
      </c>
      <c r="AF383" s="299"/>
      <c r="AG383" s="300"/>
      <c r="AH383" s="299"/>
      <c r="AI383" s="299"/>
      <c r="AJ383" s="300"/>
      <c r="AK383" s="299"/>
      <c r="AL383" s="301"/>
      <c r="AM383" s="314"/>
      <c r="AN383" s="301"/>
      <c r="AO383" s="302"/>
      <c r="AP383" s="301"/>
      <c r="AQ383" s="301"/>
      <c r="AR383" s="301"/>
      <c r="AS383" s="301"/>
      <c r="AT383" s="301"/>
      <c r="AU383" s="301">
        <v>60000000</v>
      </c>
      <c r="AV383" s="301"/>
      <c r="AW383" s="301"/>
      <c r="AX383" s="301"/>
      <c r="AY383" s="301"/>
      <c r="AZ383" s="301"/>
      <c r="BA383" s="301">
        <v>40000000</v>
      </c>
      <c r="BB383" s="301"/>
      <c r="BC383" s="301"/>
      <c r="BD383" s="301"/>
      <c r="BE383" s="301"/>
      <c r="BF383" s="301"/>
      <c r="BG383" s="303"/>
      <c r="BH383" s="304"/>
    </row>
    <row r="384" spans="1:60" s="305" customFormat="1" ht="16.5" hidden="1" customHeight="1" x14ac:dyDescent="0.4">
      <c r="A384" s="285">
        <v>361</v>
      </c>
      <c r="B384" s="286"/>
      <c r="C384" s="286"/>
      <c r="D384" s="287" t="s">
        <v>92</v>
      </c>
      <c r="E384" s="287" t="s">
        <v>229</v>
      </c>
      <c r="F384" s="288" t="s">
        <v>92</v>
      </c>
      <c r="G384" s="289" t="s">
        <v>229</v>
      </c>
      <c r="H384" s="307"/>
      <c r="I384" s="290"/>
      <c r="J384" s="291" t="s">
        <v>327</v>
      </c>
      <c r="K384" s="287"/>
      <c r="L384" s="287"/>
      <c r="M384" s="287">
        <v>11375</v>
      </c>
      <c r="N384" s="287" t="s">
        <v>32</v>
      </c>
      <c r="O384" s="287"/>
      <c r="P384" s="287"/>
      <c r="Q384" s="287" t="s">
        <v>27</v>
      </c>
      <c r="R384" s="287" t="s">
        <v>29</v>
      </c>
      <c r="S384" s="292" t="s">
        <v>29</v>
      </c>
      <c r="T384" s="293"/>
      <c r="U384" s="294"/>
      <c r="V384" s="294">
        <v>31009091</v>
      </c>
      <c r="W384" s="295">
        <v>110000000</v>
      </c>
      <c r="X384" s="296"/>
      <c r="Y384" s="287" t="s">
        <v>28</v>
      </c>
      <c r="Z384" s="297" t="s">
        <v>25</v>
      </c>
      <c r="AA384" s="313"/>
      <c r="AB384" s="313"/>
      <c r="AC384" s="298">
        <f t="shared" si="14"/>
        <v>0</v>
      </c>
      <c r="AD384" s="298">
        <v>0</v>
      </c>
      <c r="AE384" s="298">
        <f t="shared" si="15"/>
        <v>0</v>
      </c>
      <c r="AF384" s="299"/>
      <c r="AG384" s="300"/>
      <c r="AH384" s="299"/>
      <c r="AI384" s="299"/>
      <c r="AJ384" s="300"/>
      <c r="AK384" s="299"/>
      <c r="AL384" s="301"/>
      <c r="AM384" s="314"/>
      <c r="AN384" s="301"/>
      <c r="AO384" s="302"/>
      <c r="AP384" s="301"/>
      <c r="AQ384" s="301"/>
      <c r="AR384" s="301"/>
      <c r="AS384" s="301"/>
      <c r="AT384" s="301"/>
      <c r="AU384" s="301"/>
      <c r="AV384" s="301"/>
      <c r="AW384" s="301"/>
      <c r="AX384" s="301"/>
      <c r="AY384" s="301"/>
      <c r="AZ384" s="301"/>
      <c r="BA384" s="301"/>
      <c r="BB384" s="301"/>
      <c r="BC384" s="301"/>
      <c r="BD384" s="301"/>
      <c r="BE384" s="301"/>
      <c r="BF384" s="301"/>
      <c r="BG384" s="303"/>
      <c r="BH384" s="304"/>
    </row>
    <row r="385" spans="1:60" s="305" customFormat="1" ht="16.5" hidden="1" customHeight="1" x14ac:dyDescent="0.4">
      <c r="A385" s="285">
        <v>362</v>
      </c>
      <c r="B385" s="286"/>
      <c r="C385" s="286"/>
      <c r="D385" s="287" t="s">
        <v>92</v>
      </c>
      <c r="E385" s="287" t="s">
        <v>229</v>
      </c>
      <c r="F385" s="288" t="s">
        <v>92</v>
      </c>
      <c r="G385" s="289" t="s">
        <v>229</v>
      </c>
      <c r="H385" s="307"/>
      <c r="I385" s="290"/>
      <c r="J385" s="291" t="s">
        <v>327</v>
      </c>
      <c r="K385" s="287"/>
      <c r="L385" s="287"/>
      <c r="M385" s="287">
        <v>11375</v>
      </c>
      <c r="N385" s="287" t="s">
        <v>32</v>
      </c>
      <c r="O385" s="287"/>
      <c r="P385" s="287"/>
      <c r="Q385" s="287"/>
      <c r="R385" s="287" t="s">
        <v>340</v>
      </c>
      <c r="S385" s="292" t="s">
        <v>340</v>
      </c>
      <c r="T385" s="293"/>
      <c r="U385" s="294">
        <v>0</v>
      </c>
      <c r="V385" s="294">
        <v>0</v>
      </c>
      <c r="W385" s="295"/>
      <c r="X385" s="296"/>
      <c r="Y385" s="287" t="s">
        <v>25</v>
      </c>
      <c r="Z385" s="297" t="s">
        <v>25</v>
      </c>
      <c r="AA385" s="313"/>
      <c r="AB385" s="313"/>
      <c r="AC385" s="298">
        <f t="shared" si="14"/>
        <v>100000000</v>
      </c>
      <c r="AD385" s="298">
        <v>100000000</v>
      </c>
      <c r="AE385" s="298">
        <f t="shared" si="15"/>
        <v>0</v>
      </c>
      <c r="AF385" s="299"/>
      <c r="AG385" s="300"/>
      <c r="AH385" s="299"/>
      <c r="AI385" s="299"/>
      <c r="AJ385" s="300"/>
      <c r="AK385" s="299"/>
      <c r="AL385" s="301"/>
      <c r="AM385" s="314"/>
      <c r="AN385" s="301"/>
      <c r="AO385" s="302"/>
      <c r="AP385" s="301"/>
      <c r="AQ385" s="301"/>
      <c r="AR385" s="301"/>
      <c r="AS385" s="301"/>
      <c r="AT385" s="301"/>
      <c r="AU385" s="301"/>
      <c r="AV385" s="301"/>
      <c r="AW385" s="301">
        <v>50000000</v>
      </c>
      <c r="AX385" s="301"/>
      <c r="AY385" s="301"/>
      <c r="AZ385" s="301"/>
      <c r="BA385" s="301">
        <v>50000000</v>
      </c>
      <c r="BB385" s="301"/>
      <c r="BC385" s="301"/>
      <c r="BD385" s="301"/>
      <c r="BE385" s="301"/>
      <c r="BF385" s="301"/>
      <c r="BG385" s="303"/>
      <c r="BH385" s="304"/>
    </row>
    <row r="386" spans="1:60" s="305" customFormat="1" ht="16.5" hidden="1" customHeight="1" x14ac:dyDescent="0.4">
      <c r="A386" s="285">
        <v>363</v>
      </c>
      <c r="B386" s="286"/>
      <c r="C386" s="286"/>
      <c r="D386" s="287" t="s">
        <v>92</v>
      </c>
      <c r="E386" s="287" t="s">
        <v>229</v>
      </c>
      <c r="F386" s="288" t="s">
        <v>92</v>
      </c>
      <c r="G386" s="289" t="s">
        <v>229</v>
      </c>
      <c r="H386" s="307"/>
      <c r="I386" s="290"/>
      <c r="J386" s="291" t="s">
        <v>327</v>
      </c>
      <c r="K386" s="287"/>
      <c r="L386" s="287"/>
      <c r="M386" s="287">
        <v>11375</v>
      </c>
      <c r="N386" s="287" t="s">
        <v>32</v>
      </c>
      <c r="O386" s="287"/>
      <c r="P386" s="287"/>
      <c r="Q386" s="287" t="s">
        <v>24</v>
      </c>
      <c r="R386" s="287" t="s">
        <v>221</v>
      </c>
      <c r="S386" s="292" t="s">
        <v>745</v>
      </c>
      <c r="T386" s="293"/>
      <c r="U386" s="294"/>
      <c r="V386" s="294">
        <v>18090910</v>
      </c>
      <c r="W386" s="295"/>
      <c r="X386" s="296"/>
      <c r="Y386" s="287" t="s">
        <v>25</v>
      </c>
      <c r="Z386" s="297" t="s">
        <v>25</v>
      </c>
      <c r="AA386" s="313"/>
      <c r="AB386" s="313"/>
      <c r="AC386" s="298">
        <f t="shared" si="14"/>
        <v>10000000</v>
      </c>
      <c r="AD386" s="298">
        <v>10000000</v>
      </c>
      <c r="AE386" s="298">
        <f t="shared" si="15"/>
        <v>0</v>
      </c>
      <c r="AF386" s="299"/>
      <c r="AG386" s="300"/>
      <c r="AH386" s="299"/>
      <c r="AI386" s="299"/>
      <c r="AJ386" s="300"/>
      <c r="AK386" s="299"/>
      <c r="AL386" s="301"/>
      <c r="AM386" s="314"/>
      <c r="AN386" s="301"/>
      <c r="AO386" s="302"/>
      <c r="AP386" s="301"/>
      <c r="AQ386" s="301"/>
      <c r="AR386" s="301"/>
      <c r="AS386" s="301"/>
      <c r="AT386" s="301"/>
      <c r="AU386" s="301"/>
      <c r="AV386" s="301"/>
      <c r="AW386" s="301"/>
      <c r="AX386" s="301"/>
      <c r="AY386" s="301"/>
      <c r="AZ386" s="301"/>
      <c r="BA386" s="301"/>
      <c r="BB386" s="301"/>
      <c r="BC386" s="301"/>
      <c r="BD386" s="301"/>
      <c r="BE386" s="301">
        <v>10000000</v>
      </c>
      <c r="BF386" s="301"/>
      <c r="BG386" s="303"/>
      <c r="BH386" s="304"/>
    </row>
    <row r="387" spans="1:60" s="305" customFormat="1" ht="16.5" hidden="1" customHeight="1" x14ac:dyDescent="0.4">
      <c r="A387" s="285">
        <v>364</v>
      </c>
      <c r="B387" s="286"/>
      <c r="C387" s="286"/>
      <c r="D387" s="287" t="s">
        <v>92</v>
      </c>
      <c r="E387" s="287" t="s">
        <v>229</v>
      </c>
      <c r="F387" s="288" t="s">
        <v>92</v>
      </c>
      <c r="G387" s="289" t="s">
        <v>229</v>
      </c>
      <c r="H387" s="307"/>
      <c r="I387" s="290"/>
      <c r="J387" s="291" t="s">
        <v>327</v>
      </c>
      <c r="K387" s="287"/>
      <c r="L387" s="287"/>
      <c r="M387" s="287">
        <v>11375</v>
      </c>
      <c r="N387" s="287" t="s">
        <v>32</v>
      </c>
      <c r="O387" s="287" t="s">
        <v>43</v>
      </c>
      <c r="P387" s="287" t="s">
        <v>44</v>
      </c>
      <c r="Q387" s="287" t="s">
        <v>27</v>
      </c>
      <c r="R387" s="287" t="s">
        <v>29</v>
      </c>
      <c r="S387" s="292" t="s">
        <v>750</v>
      </c>
      <c r="T387" s="293"/>
      <c r="U387" s="294"/>
      <c r="V387" s="294"/>
      <c r="W387" s="295"/>
      <c r="X387" s="296"/>
      <c r="Y387" s="287" t="s">
        <v>28</v>
      </c>
      <c r="Z387" s="297" t="s">
        <v>28</v>
      </c>
      <c r="AA387" s="313"/>
      <c r="AB387" s="313"/>
      <c r="AC387" s="298">
        <f t="shared" si="14"/>
        <v>100000000</v>
      </c>
      <c r="AD387" s="298">
        <v>100000000</v>
      </c>
      <c r="AE387" s="298">
        <f t="shared" si="15"/>
        <v>0</v>
      </c>
      <c r="AF387" s="299"/>
      <c r="AG387" s="300"/>
      <c r="AH387" s="299"/>
      <c r="AI387" s="299">
        <v>0</v>
      </c>
      <c r="AJ387" s="300"/>
      <c r="AK387" s="299" t="s">
        <v>796</v>
      </c>
      <c r="AL387" s="301"/>
      <c r="AM387" s="314"/>
      <c r="AN387" s="301"/>
      <c r="AO387" s="302">
        <v>80000000</v>
      </c>
      <c r="AP387" s="301"/>
      <c r="AQ387" s="301"/>
      <c r="AR387" s="301"/>
      <c r="AS387" s="301"/>
      <c r="AT387" s="301"/>
      <c r="AU387" s="301"/>
      <c r="AV387" s="301"/>
      <c r="AW387" s="301"/>
      <c r="AX387" s="301"/>
      <c r="AY387" s="301"/>
      <c r="AZ387" s="301"/>
      <c r="BA387" s="301"/>
      <c r="BB387" s="301"/>
      <c r="BC387" s="301"/>
      <c r="BD387" s="301"/>
      <c r="BE387" s="301">
        <v>20000000</v>
      </c>
      <c r="BF387" s="301"/>
      <c r="BG387" s="303"/>
      <c r="BH387" s="304"/>
    </row>
    <row r="388" spans="1:60" s="305" customFormat="1" ht="16.5" hidden="1" customHeight="1" x14ac:dyDescent="0.4">
      <c r="A388" s="285">
        <v>365</v>
      </c>
      <c r="B388" s="286"/>
      <c r="C388" s="286"/>
      <c r="D388" s="287" t="s">
        <v>92</v>
      </c>
      <c r="E388" s="287" t="s">
        <v>229</v>
      </c>
      <c r="F388" s="288" t="s">
        <v>92</v>
      </c>
      <c r="G388" s="289" t="s">
        <v>229</v>
      </c>
      <c r="H388" s="307"/>
      <c r="I388" s="290"/>
      <c r="J388" s="291" t="s">
        <v>70</v>
      </c>
      <c r="K388" s="287"/>
      <c r="L388" s="287"/>
      <c r="M388" s="287">
        <v>8071</v>
      </c>
      <c r="N388" s="287" t="s">
        <v>23</v>
      </c>
      <c r="O388" s="287"/>
      <c r="P388" s="287"/>
      <c r="Q388" s="287" t="s">
        <v>19</v>
      </c>
      <c r="R388" s="287" t="s">
        <v>20</v>
      </c>
      <c r="S388" s="292" t="s">
        <v>20</v>
      </c>
      <c r="T388" s="293"/>
      <c r="U388" s="294">
        <v>3000000</v>
      </c>
      <c r="V388" s="294">
        <v>3600000</v>
      </c>
      <c r="W388" s="295">
        <v>3000000</v>
      </c>
      <c r="X388" s="296"/>
      <c r="Y388" s="287" t="s">
        <v>25</v>
      </c>
      <c r="Z388" s="297" t="s">
        <v>25</v>
      </c>
      <c r="AA388" s="313"/>
      <c r="AB388" s="313"/>
      <c r="AC388" s="298">
        <f t="shared" si="14"/>
        <v>3000000</v>
      </c>
      <c r="AD388" s="298">
        <v>3000000</v>
      </c>
      <c r="AE388" s="298">
        <f t="shared" si="15"/>
        <v>0</v>
      </c>
      <c r="AF388" s="299"/>
      <c r="AG388" s="300"/>
      <c r="AH388" s="299"/>
      <c r="AI388" s="299"/>
      <c r="AJ388" s="300"/>
      <c r="AK388" s="299"/>
      <c r="AL388" s="301"/>
      <c r="AM388" s="314"/>
      <c r="AN388" s="301"/>
      <c r="AO388" s="302"/>
      <c r="AP388" s="301"/>
      <c r="AQ388" s="301"/>
      <c r="AR388" s="301"/>
      <c r="AS388" s="301"/>
      <c r="AT388" s="301"/>
      <c r="AU388" s="301">
        <v>3000000</v>
      </c>
      <c r="AV388" s="301"/>
      <c r="AW388" s="301"/>
      <c r="AX388" s="301"/>
      <c r="AY388" s="301"/>
      <c r="AZ388" s="301"/>
      <c r="BA388" s="301"/>
      <c r="BB388" s="301"/>
      <c r="BC388" s="301"/>
      <c r="BD388" s="301"/>
      <c r="BE388" s="301"/>
      <c r="BF388" s="301"/>
      <c r="BG388" s="303"/>
      <c r="BH388" s="304"/>
    </row>
    <row r="389" spans="1:60" s="305" customFormat="1" ht="16.5" hidden="1" customHeight="1" x14ac:dyDescent="0.4">
      <c r="A389" s="285">
        <v>366</v>
      </c>
      <c r="B389" s="286"/>
      <c r="C389" s="286"/>
      <c r="D389" s="287" t="s">
        <v>92</v>
      </c>
      <c r="E389" s="287" t="s">
        <v>193</v>
      </c>
      <c r="F389" s="288" t="s">
        <v>92</v>
      </c>
      <c r="G389" s="289" t="s">
        <v>229</v>
      </c>
      <c r="H389" s="307"/>
      <c r="I389" s="290"/>
      <c r="J389" s="291" t="s">
        <v>195</v>
      </c>
      <c r="K389" s="287"/>
      <c r="L389" s="287"/>
      <c r="M389" s="287">
        <v>10182</v>
      </c>
      <c r="N389" s="287" t="s">
        <v>32</v>
      </c>
      <c r="O389" s="287" t="s">
        <v>43</v>
      </c>
      <c r="P389" s="287" t="s">
        <v>44</v>
      </c>
      <c r="Q389" s="287" t="s">
        <v>49</v>
      </c>
      <c r="R389" s="287" t="s">
        <v>29</v>
      </c>
      <c r="S389" s="292" t="s">
        <v>29</v>
      </c>
      <c r="T389" s="293" t="s">
        <v>798</v>
      </c>
      <c r="U389" s="294">
        <v>78177080</v>
      </c>
      <c r="V389" s="294">
        <v>87114200</v>
      </c>
      <c r="W389" s="295">
        <v>79275200</v>
      </c>
      <c r="X389" s="296"/>
      <c r="Y389" s="287" t="s">
        <v>28</v>
      </c>
      <c r="Z389" s="297" t="s">
        <v>28</v>
      </c>
      <c r="AA389" s="313"/>
      <c r="AB389" s="313"/>
      <c r="AC389" s="298">
        <f t="shared" si="14"/>
        <v>80000000</v>
      </c>
      <c r="AD389" s="298">
        <v>80000000</v>
      </c>
      <c r="AE389" s="298">
        <f t="shared" si="15"/>
        <v>0</v>
      </c>
      <c r="AF389" s="299"/>
      <c r="AG389" s="300"/>
      <c r="AH389" s="299"/>
      <c r="AI389" s="299"/>
      <c r="AJ389" s="300"/>
      <c r="AK389" s="299"/>
      <c r="AL389" s="301"/>
      <c r="AM389" s="314"/>
      <c r="AN389" s="301"/>
      <c r="AO389" s="302"/>
      <c r="AP389" s="301"/>
      <c r="AQ389" s="301"/>
      <c r="AR389" s="301"/>
      <c r="AS389" s="301"/>
      <c r="AT389" s="301"/>
      <c r="AU389" s="301"/>
      <c r="AV389" s="301"/>
      <c r="AW389" s="301"/>
      <c r="AX389" s="301"/>
      <c r="AY389" s="301"/>
      <c r="AZ389" s="301"/>
      <c r="BA389" s="301"/>
      <c r="BB389" s="301"/>
      <c r="BC389" s="301"/>
      <c r="BD389" s="301"/>
      <c r="BE389" s="301">
        <v>80000000</v>
      </c>
      <c r="BF389" s="301"/>
      <c r="BG389" s="303"/>
      <c r="BH389" s="304"/>
    </row>
    <row r="390" spans="1:60" s="305" customFormat="1" ht="16.5" hidden="1" customHeight="1" x14ac:dyDescent="0.4">
      <c r="A390" s="285">
        <v>367</v>
      </c>
      <c r="B390" s="286"/>
      <c r="C390" s="286"/>
      <c r="D390" s="287" t="s">
        <v>92</v>
      </c>
      <c r="E390" s="287" t="s">
        <v>193</v>
      </c>
      <c r="F390" s="288" t="s">
        <v>92</v>
      </c>
      <c r="G390" s="289" t="s">
        <v>229</v>
      </c>
      <c r="H390" s="307"/>
      <c r="I390" s="290"/>
      <c r="J390" s="291" t="s">
        <v>195</v>
      </c>
      <c r="K390" s="287"/>
      <c r="L390" s="287"/>
      <c r="M390" s="287">
        <v>10182</v>
      </c>
      <c r="N390" s="287" t="s">
        <v>32</v>
      </c>
      <c r="O390" s="287" t="s">
        <v>43</v>
      </c>
      <c r="P390" s="287" t="s">
        <v>44</v>
      </c>
      <c r="Q390" s="287" t="s">
        <v>27</v>
      </c>
      <c r="R390" s="287" t="s">
        <v>340</v>
      </c>
      <c r="S390" s="292" t="s">
        <v>340</v>
      </c>
      <c r="T390" s="293"/>
      <c r="U390" s="294">
        <v>6600000</v>
      </c>
      <c r="V390" s="294">
        <v>2700000</v>
      </c>
      <c r="W390" s="295">
        <v>10000000</v>
      </c>
      <c r="X390" s="296"/>
      <c r="Y390" s="287" t="s">
        <v>26</v>
      </c>
      <c r="Z390" s="297" t="s">
        <v>26</v>
      </c>
      <c r="AA390" s="313"/>
      <c r="AB390" s="313"/>
      <c r="AC390" s="298">
        <f t="shared" si="14"/>
        <v>10000000</v>
      </c>
      <c r="AD390" s="298">
        <v>10000000</v>
      </c>
      <c r="AE390" s="298">
        <f t="shared" si="15"/>
        <v>0</v>
      </c>
      <c r="AF390" s="299"/>
      <c r="AG390" s="300"/>
      <c r="AH390" s="299"/>
      <c r="AI390" s="299"/>
      <c r="AJ390" s="300"/>
      <c r="AK390" s="299"/>
      <c r="AL390" s="301"/>
      <c r="AM390" s="314"/>
      <c r="AN390" s="301"/>
      <c r="AO390" s="302"/>
      <c r="AP390" s="301"/>
      <c r="AQ390" s="301"/>
      <c r="AR390" s="301"/>
      <c r="AS390" s="301"/>
      <c r="AT390" s="301"/>
      <c r="AU390" s="301"/>
      <c r="AV390" s="301"/>
      <c r="AW390" s="301"/>
      <c r="AX390" s="301"/>
      <c r="AY390" s="301"/>
      <c r="AZ390" s="301"/>
      <c r="BA390" s="301"/>
      <c r="BB390" s="301"/>
      <c r="BC390" s="301"/>
      <c r="BD390" s="301"/>
      <c r="BE390" s="301">
        <v>10000000</v>
      </c>
      <c r="BF390" s="301"/>
      <c r="BG390" s="303"/>
      <c r="BH390" s="304"/>
    </row>
    <row r="391" spans="1:60" s="305" customFormat="1" ht="16.5" hidden="1" customHeight="1" x14ac:dyDescent="0.4">
      <c r="A391" s="285">
        <v>368</v>
      </c>
      <c r="B391" s="286"/>
      <c r="C391" s="286"/>
      <c r="D391" s="287" t="s">
        <v>92</v>
      </c>
      <c r="E391" s="287" t="s">
        <v>193</v>
      </c>
      <c r="F391" s="288" t="s">
        <v>92</v>
      </c>
      <c r="G391" s="289" t="s">
        <v>229</v>
      </c>
      <c r="H391" s="307"/>
      <c r="I391" s="290"/>
      <c r="J391" s="291" t="s">
        <v>195</v>
      </c>
      <c r="K391" s="287"/>
      <c r="L391" s="287"/>
      <c r="M391" s="287">
        <v>10182</v>
      </c>
      <c r="N391" s="287" t="s">
        <v>32</v>
      </c>
      <c r="O391" s="287"/>
      <c r="P391" s="287"/>
      <c r="Q391" s="287"/>
      <c r="R391" s="287" t="s">
        <v>340</v>
      </c>
      <c r="S391" s="292" t="s">
        <v>340</v>
      </c>
      <c r="T391" s="293"/>
      <c r="U391" s="294"/>
      <c r="V391" s="294">
        <v>0</v>
      </c>
      <c r="W391" s="295">
        <v>0</v>
      </c>
      <c r="X391" s="296"/>
      <c r="Y391" s="287" t="s">
        <v>26</v>
      </c>
      <c r="Z391" s="297" t="s">
        <v>26</v>
      </c>
      <c r="AA391" s="313"/>
      <c r="AB391" s="313"/>
      <c r="AC391" s="298">
        <f t="shared" si="14"/>
        <v>0</v>
      </c>
      <c r="AD391" s="298">
        <v>0</v>
      </c>
      <c r="AE391" s="298">
        <f t="shared" si="15"/>
        <v>0</v>
      </c>
      <c r="AF391" s="299"/>
      <c r="AG391" s="300"/>
      <c r="AH391" s="299"/>
      <c r="AI391" s="299"/>
      <c r="AJ391" s="300"/>
      <c r="AK391" s="299"/>
      <c r="AL391" s="301"/>
      <c r="AM391" s="314"/>
      <c r="AN391" s="301"/>
      <c r="AO391" s="302"/>
      <c r="AP391" s="301"/>
      <c r="AQ391" s="301"/>
      <c r="AR391" s="301"/>
      <c r="AS391" s="301"/>
      <c r="AT391" s="301"/>
      <c r="AU391" s="301"/>
      <c r="AV391" s="301"/>
      <c r="AW391" s="301"/>
      <c r="AX391" s="301"/>
      <c r="AY391" s="301"/>
      <c r="AZ391" s="301"/>
      <c r="BA391" s="301"/>
      <c r="BB391" s="301"/>
      <c r="BC391" s="301"/>
      <c r="BD391" s="301"/>
      <c r="BE391" s="301">
        <v>0</v>
      </c>
      <c r="BF391" s="301"/>
      <c r="BG391" s="303"/>
      <c r="BH391" s="304"/>
    </row>
    <row r="392" spans="1:60" s="305" customFormat="1" ht="16.5" hidden="1" customHeight="1" x14ac:dyDescent="0.4">
      <c r="A392" s="285">
        <v>369</v>
      </c>
      <c r="B392" s="286"/>
      <c r="C392" s="286"/>
      <c r="D392" s="287" t="s">
        <v>92</v>
      </c>
      <c r="E392" s="287" t="s">
        <v>229</v>
      </c>
      <c r="F392" s="288" t="s">
        <v>92</v>
      </c>
      <c r="G392" s="289" t="s">
        <v>229</v>
      </c>
      <c r="H392" s="307"/>
      <c r="I392" s="290"/>
      <c r="J392" s="291" t="s">
        <v>195</v>
      </c>
      <c r="K392" s="287"/>
      <c r="L392" s="287"/>
      <c r="M392" s="287">
        <v>10182</v>
      </c>
      <c r="N392" s="287" t="s">
        <v>32</v>
      </c>
      <c r="O392" s="287"/>
      <c r="P392" s="287"/>
      <c r="Q392" s="287"/>
      <c r="R392" s="287" t="s">
        <v>340</v>
      </c>
      <c r="S392" s="292" t="s">
        <v>349</v>
      </c>
      <c r="T392" s="293"/>
      <c r="U392" s="294"/>
      <c r="V392" s="294"/>
      <c r="W392" s="295"/>
      <c r="X392" s="296"/>
      <c r="Y392" s="287" t="s">
        <v>26</v>
      </c>
      <c r="Z392" s="297" t="s">
        <v>25</v>
      </c>
      <c r="AA392" s="313"/>
      <c r="AB392" s="313"/>
      <c r="AC392" s="298">
        <f t="shared" si="14"/>
        <v>100000000</v>
      </c>
      <c r="AD392" s="298">
        <v>100000000</v>
      </c>
      <c r="AE392" s="298">
        <f t="shared" si="15"/>
        <v>0</v>
      </c>
      <c r="AF392" s="299"/>
      <c r="AG392" s="300"/>
      <c r="AH392" s="299"/>
      <c r="AI392" s="299"/>
      <c r="AJ392" s="300"/>
      <c r="AK392" s="299"/>
      <c r="AL392" s="301"/>
      <c r="AM392" s="314"/>
      <c r="AN392" s="301"/>
      <c r="AO392" s="302"/>
      <c r="AP392" s="301"/>
      <c r="AQ392" s="301"/>
      <c r="AR392" s="301"/>
      <c r="AS392" s="301">
        <v>60000000</v>
      </c>
      <c r="AT392" s="301"/>
      <c r="AU392" s="301"/>
      <c r="AV392" s="301"/>
      <c r="AW392" s="301"/>
      <c r="AX392" s="301"/>
      <c r="AY392" s="301"/>
      <c r="AZ392" s="301"/>
      <c r="BA392" s="301"/>
      <c r="BB392" s="301"/>
      <c r="BC392" s="301">
        <v>40000000</v>
      </c>
      <c r="BD392" s="301"/>
      <c r="BE392" s="301"/>
      <c r="BF392" s="301"/>
      <c r="BG392" s="303"/>
      <c r="BH392" s="304"/>
    </row>
    <row r="393" spans="1:60" s="305" customFormat="1" ht="16.5" hidden="1" customHeight="1" x14ac:dyDescent="0.4">
      <c r="A393" s="285">
        <v>370</v>
      </c>
      <c r="B393" s="286"/>
      <c r="C393" s="286"/>
      <c r="D393" s="287" t="s">
        <v>92</v>
      </c>
      <c r="E393" s="287" t="s">
        <v>229</v>
      </c>
      <c r="F393" s="288" t="s">
        <v>92</v>
      </c>
      <c r="G393" s="289" t="s">
        <v>229</v>
      </c>
      <c r="H393" s="307"/>
      <c r="I393" s="290"/>
      <c r="J393" s="291" t="s">
        <v>598</v>
      </c>
      <c r="K393" s="287"/>
      <c r="L393" s="287"/>
      <c r="M393" s="287">
        <v>44089</v>
      </c>
      <c r="N393" s="287" t="s">
        <v>32</v>
      </c>
      <c r="O393" s="287"/>
      <c r="P393" s="287"/>
      <c r="Q393" s="287"/>
      <c r="R393" s="287" t="s">
        <v>340</v>
      </c>
      <c r="S393" s="292" t="s">
        <v>340</v>
      </c>
      <c r="T393" s="293"/>
      <c r="U393" s="294">
        <v>0</v>
      </c>
      <c r="V393" s="294">
        <v>0</v>
      </c>
      <c r="W393" s="295">
        <v>255090909</v>
      </c>
      <c r="X393" s="296"/>
      <c r="Y393" s="287" t="s">
        <v>28</v>
      </c>
      <c r="Z393" s="297" t="s">
        <v>28</v>
      </c>
      <c r="AA393" s="313"/>
      <c r="AB393" s="313"/>
      <c r="AC393" s="298">
        <f t="shared" si="14"/>
        <v>270000000</v>
      </c>
      <c r="AD393" s="298">
        <v>270000000</v>
      </c>
      <c r="AE393" s="298">
        <f t="shared" si="15"/>
        <v>0</v>
      </c>
      <c r="AF393" s="299"/>
      <c r="AG393" s="300"/>
      <c r="AH393" s="299"/>
      <c r="AI393" s="299"/>
      <c r="AJ393" s="300"/>
      <c r="AK393" s="299"/>
      <c r="AL393" s="301"/>
      <c r="AM393" s="314"/>
      <c r="AN393" s="301"/>
      <c r="AO393" s="302">
        <v>0</v>
      </c>
      <c r="AP393" s="301"/>
      <c r="AQ393" s="301"/>
      <c r="AR393" s="301"/>
      <c r="AS393" s="301"/>
      <c r="AT393" s="301"/>
      <c r="AU393" s="301"/>
      <c r="AV393" s="301"/>
      <c r="AW393" s="301"/>
      <c r="AX393" s="301"/>
      <c r="AY393" s="301"/>
      <c r="AZ393" s="301"/>
      <c r="BA393" s="301"/>
      <c r="BB393" s="301"/>
      <c r="BC393" s="301"/>
      <c r="BD393" s="301"/>
      <c r="BE393" s="301">
        <v>270000000</v>
      </c>
      <c r="BF393" s="301"/>
      <c r="BG393" s="303"/>
      <c r="BH393" s="304"/>
    </row>
    <row r="394" spans="1:60" s="305" customFormat="1" ht="16.5" hidden="1" customHeight="1" x14ac:dyDescent="0.4">
      <c r="A394" s="285">
        <v>371</v>
      </c>
      <c r="B394" s="286"/>
      <c r="C394" s="286"/>
      <c r="D394" s="287"/>
      <c r="E394" s="287"/>
      <c r="F394" s="288" t="s">
        <v>92</v>
      </c>
      <c r="G394" s="289" t="s">
        <v>229</v>
      </c>
      <c r="H394" s="307"/>
      <c r="I394" s="290"/>
      <c r="J394" s="291" t="s">
        <v>598</v>
      </c>
      <c r="K394" s="287"/>
      <c r="L394" s="287"/>
      <c r="M394" s="287">
        <v>44089</v>
      </c>
      <c r="N394" s="287" t="s">
        <v>32</v>
      </c>
      <c r="O394" s="287"/>
      <c r="P394" s="287"/>
      <c r="Q394" s="287"/>
      <c r="R394" s="287"/>
      <c r="S394" s="292" t="s">
        <v>743</v>
      </c>
      <c r="T394" s="293"/>
      <c r="U394" s="294"/>
      <c r="V394" s="294"/>
      <c r="W394" s="295">
        <v>3600000</v>
      </c>
      <c r="X394" s="296"/>
      <c r="Y394" s="287"/>
      <c r="Z394" s="297" t="s">
        <v>656</v>
      </c>
      <c r="AA394" s="313"/>
      <c r="AB394" s="313"/>
      <c r="AC394" s="298">
        <f t="shared" si="14"/>
        <v>0</v>
      </c>
      <c r="AD394" s="298">
        <v>0</v>
      </c>
      <c r="AE394" s="298">
        <f t="shared" si="15"/>
        <v>0</v>
      </c>
      <c r="AF394" s="299"/>
      <c r="AG394" s="300"/>
      <c r="AH394" s="299"/>
      <c r="AI394" s="299"/>
      <c r="AJ394" s="300"/>
      <c r="AK394" s="299"/>
      <c r="AL394" s="301"/>
      <c r="AM394" s="314"/>
      <c r="AN394" s="301"/>
      <c r="AO394" s="302"/>
      <c r="AP394" s="301"/>
      <c r="AQ394" s="301"/>
      <c r="AR394" s="301"/>
      <c r="AS394" s="301"/>
      <c r="AT394" s="301"/>
      <c r="AU394" s="301"/>
      <c r="AV394" s="301"/>
      <c r="AW394" s="301"/>
      <c r="AX394" s="301"/>
      <c r="AY394" s="301"/>
      <c r="AZ394" s="301"/>
      <c r="BA394" s="301"/>
      <c r="BB394" s="301"/>
      <c r="BC394" s="301"/>
      <c r="BD394" s="301"/>
      <c r="BE394" s="301"/>
      <c r="BF394" s="301"/>
      <c r="BG394" s="303"/>
      <c r="BH394" s="304"/>
    </row>
    <row r="395" spans="1:60" s="305" customFormat="1" ht="16.5" hidden="1" customHeight="1" x14ac:dyDescent="0.4">
      <c r="A395" s="285">
        <v>372</v>
      </c>
      <c r="B395" s="286"/>
      <c r="C395" s="286"/>
      <c r="D395" s="287" t="s">
        <v>137</v>
      </c>
      <c r="E395" s="287" t="s">
        <v>159</v>
      </c>
      <c r="F395" s="288" t="s">
        <v>92</v>
      </c>
      <c r="G395" s="289" t="s">
        <v>229</v>
      </c>
      <c r="H395" s="307"/>
      <c r="I395" s="290"/>
      <c r="J395" s="291" t="s">
        <v>707</v>
      </c>
      <c r="K395" s="287"/>
      <c r="L395" s="287"/>
      <c r="M395" s="287">
        <v>21480</v>
      </c>
      <c r="N395" s="287" t="s">
        <v>32</v>
      </c>
      <c r="O395" s="287"/>
      <c r="P395" s="287"/>
      <c r="Q395" s="287" t="s">
        <v>49</v>
      </c>
      <c r="R395" s="287" t="s">
        <v>29</v>
      </c>
      <c r="S395" s="292" t="s">
        <v>29</v>
      </c>
      <c r="T395" s="293"/>
      <c r="U395" s="294">
        <v>7500000</v>
      </c>
      <c r="V395" s="294">
        <v>0</v>
      </c>
      <c r="W395" s="295"/>
      <c r="X395" s="296"/>
      <c r="Y395" s="287" t="s">
        <v>22</v>
      </c>
      <c r="Z395" s="297" t="s">
        <v>544</v>
      </c>
      <c r="AA395" s="313"/>
      <c r="AB395" s="313"/>
      <c r="AC395" s="298">
        <f t="shared" si="14"/>
        <v>0</v>
      </c>
      <c r="AD395" s="298">
        <v>0</v>
      </c>
      <c r="AE395" s="298">
        <f t="shared" si="15"/>
        <v>0</v>
      </c>
      <c r="AF395" s="299"/>
      <c r="AG395" s="300"/>
      <c r="AH395" s="299"/>
      <c r="AI395" s="299"/>
      <c r="AJ395" s="300"/>
      <c r="AK395" s="299"/>
      <c r="AL395" s="301"/>
      <c r="AM395" s="314"/>
      <c r="AN395" s="301"/>
      <c r="AO395" s="302"/>
      <c r="AP395" s="301"/>
      <c r="AQ395" s="301"/>
      <c r="AR395" s="301"/>
      <c r="AS395" s="301"/>
      <c r="AT395" s="301"/>
      <c r="AU395" s="301"/>
      <c r="AV395" s="301"/>
      <c r="AW395" s="301"/>
      <c r="AX395" s="301"/>
      <c r="AY395" s="301"/>
      <c r="AZ395" s="301"/>
      <c r="BA395" s="301"/>
      <c r="BB395" s="301"/>
      <c r="BC395" s="301"/>
      <c r="BD395" s="301"/>
      <c r="BE395" s="301"/>
      <c r="BF395" s="301"/>
      <c r="BG395" s="303"/>
      <c r="BH395" s="304"/>
    </row>
    <row r="396" spans="1:60" s="305" customFormat="1" ht="16.5" hidden="1" customHeight="1" x14ac:dyDescent="0.4">
      <c r="A396" s="285">
        <v>373</v>
      </c>
      <c r="B396" s="286"/>
      <c r="C396" s="286"/>
      <c r="D396" s="287" t="s">
        <v>137</v>
      </c>
      <c r="E396" s="287" t="s">
        <v>159</v>
      </c>
      <c r="F396" s="288" t="s">
        <v>92</v>
      </c>
      <c r="G396" s="289" t="s">
        <v>229</v>
      </c>
      <c r="H396" s="307"/>
      <c r="I396" s="290"/>
      <c r="J396" s="291" t="s">
        <v>707</v>
      </c>
      <c r="K396" s="287"/>
      <c r="L396" s="287"/>
      <c r="M396" s="287">
        <v>21480</v>
      </c>
      <c r="N396" s="287" t="s">
        <v>32</v>
      </c>
      <c r="O396" s="287"/>
      <c r="P396" s="287"/>
      <c r="Q396" s="287" t="s">
        <v>30</v>
      </c>
      <c r="R396" s="287" t="s">
        <v>31</v>
      </c>
      <c r="S396" s="292" t="s">
        <v>31</v>
      </c>
      <c r="T396" s="293"/>
      <c r="U396" s="294" t="s">
        <v>97</v>
      </c>
      <c r="V396" s="294">
        <v>5450000</v>
      </c>
      <c r="W396" s="295"/>
      <c r="X396" s="296"/>
      <c r="Y396" s="287" t="s">
        <v>21</v>
      </c>
      <c r="Z396" s="297" t="s">
        <v>544</v>
      </c>
      <c r="AA396" s="313"/>
      <c r="AB396" s="313"/>
      <c r="AC396" s="298">
        <f t="shared" si="14"/>
        <v>0</v>
      </c>
      <c r="AD396" s="298">
        <v>0</v>
      </c>
      <c r="AE396" s="298">
        <f t="shared" si="15"/>
        <v>0</v>
      </c>
      <c r="AF396" s="299"/>
      <c r="AG396" s="300"/>
      <c r="AH396" s="299"/>
      <c r="AI396" s="299"/>
      <c r="AJ396" s="300"/>
      <c r="AK396" s="299"/>
      <c r="AL396" s="301"/>
      <c r="AM396" s="314"/>
      <c r="AN396" s="301"/>
      <c r="AO396" s="302"/>
      <c r="AP396" s="301"/>
      <c r="AQ396" s="301"/>
      <c r="AR396" s="301"/>
      <c r="AS396" s="301"/>
      <c r="AT396" s="301"/>
      <c r="AU396" s="301"/>
      <c r="AV396" s="301"/>
      <c r="AW396" s="301"/>
      <c r="AX396" s="301"/>
      <c r="AY396" s="301"/>
      <c r="AZ396" s="301"/>
      <c r="BA396" s="301"/>
      <c r="BB396" s="301"/>
      <c r="BC396" s="301"/>
      <c r="BD396" s="301"/>
      <c r="BE396" s="301"/>
      <c r="BF396" s="301"/>
      <c r="BG396" s="303"/>
      <c r="BH396" s="304"/>
    </row>
    <row r="397" spans="1:60" s="305" customFormat="1" ht="16.5" hidden="1" customHeight="1" x14ac:dyDescent="0.4">
      <c r="A397" s="285">
        <v>374</v>
      </c>
      <c r="B397" s="286"/>
      <c r="C397" s="286"/>
      <c r="D397" s="287" t="s">
        <v>137</v>
      </c>
      <c r="E397" s="287" t="s">
        <v>159</v>
      </c>
      <c r="F397" s="288" t="s">
        <v>92</v>
      </c>
      <c r="G397" s="289" t="s">
        <v>229</v>
      </c>
      <c r="H397" s="307"/>
      <c r="I397" s="290"/>
      <c r="J397" s="291" t="s">
        <v>707</v>
      </c>
      <c r="K397" s="287"/>
      <c r="L397" s="287"/>
      <c r="M397" s="287">
        <v>21480</v>
      </c>
      <c r="N397" s="287" t="s">
        <v>32</v>
      </c>
      <c r="O397" s="287"/>
      <c r="P397" s="287"/>
      <c r="Q397" s="287" t="s">
        <v>27</v>
      </c>
      <c r="R397" s="287" t="s">
        <v>340</v>
      </c>
      <c r="S397" s="292" t="s">
        <v>340</v>
      </c>
      <c r="T397" s="293"/>
      <c r="U397" s="294">
        <v>199575455</v>
      </c>
      <c r="V397" s="294">
        <v>140550000</v>
      </c>
      <c r="W397" s="295"/>
      <c r="X397" s="296"/>
      <c r="Y397" s="287" t="s">
        <v>56</v>
      </c>
      <c r="Z397" s="297" t="s">
        <v>25</v>
      </c>
      <c r="AA397" s="313"/>
      <c r="AB397" s="313"/>
      <c r="AC397" s="298">
        <f t="shared" si="14"/>
        <v>150000000</v>
      </c>
      <c r="AD397" s="298">
        <v>150000000</v>
      </c>
      <c r="AE397" s="298">
        <f t="shared" si="15"/>
        <v>0</v>
      </c>
      <c r="AF397" s="299"/>
      <c r="AG397" s="300"/>
      <c r="AH397" s="299"/>
      <c r="AI397" s="299"/>
      <c r="AJ397" s="300"/>
      <c r="AK397" s="299"/>
      <c r="AL397" s="301"/>
      <c r="AM397" s="314"/>
      <c r="AN397" s="301"/>
      <c r="AO397" s="302"/>
      <c r="AP397" s="301"/>
      <c r="AQ397" s="301">
        <v>75000000</v>
      </c>
      <c r="AR397" s="301"/>
      <c r="AS397" s="301"/>
      <c r="AT397" s="301"/>
      <c r="AU397" s="301"/>
      <c r="AV397" s="301"/>
      <c r="AW397" s="301"/>
      <c r="AX397" s="301"/>
      <c r="AY397" s="301"/>
      <c r="AZ397" s="301"/>
      <c r="BA397" s="301"/>
      <c r="BB397" s="301"/>
      <c r="BC397" s="301"/>
      <c r="BD397" s="301"/>
      <c r="BE397" s="301">
        <v>75000000</v>
      </c>
      <c r="BF397" s="301"/>
      <c r="BG397" s="303"/>
      <c r="BH397" s="304"/>
    </row>
    <row r="398" spans="1:60" s="305" customFormat="1" ht="16.5" hidden="1" customHeight="1" x14ac:dyDescent="0.4">
      <c r="A398" s="285">
        <v>375</v>
      </c>
      <c r="B398" s="286"/>
      <c r="C398" s="286"/>
      <c r="D398" s="287" t="s">
        <v>137</v>
      </c>
      <c r="E398" s="287" t="s">
        <v>159</v>
      </c>
      <c r="F398" s="288" t="s">
        <v>92</v>
      </c>
      <c r="G398" s="289" t="s">
        <v>229</v>
      </c>
      <c r="H398" s="307"/>
      <c r="I398" s="290"/>
      <c r="J398" s="291" t="s">
        <v>707</v>
      </c>
      <c r="K398" s="287"/>
      <c r="L398" s="287"/>
      <c r="M398" s="287">
        <v>21480</v>
      </c>
      <c r="N398" s="287" t="s">
        <v>32</v>
      </c>
      <c r="O398" s="287"/>
      <c r="P398" s="287"/>
      <c r="Q398" s="287" t="s">
        <v>39</v>
      </c>
      <c r="R398" s="287" t="s">
        <v>338</v>
      </c>
      <c r="S398" s="292" t="s">
        <v>753</v>
      </c>
      <c r="T398" s="293"/>
      <c r="U398" s="294">
        <v>18636364</v>
      </c>
      <c r="V398" s="294">
        <v>0</v>
      </c>
      <c r="W398" s="295"/>
      <c r="X398" s="296"/>
      <c r="Y398" s="287" t="s">
        <v>22</v>
      </c>
      <c r="Z398" s="297" t="s">
        <v>544</v>
      </c>
      <c r="AA398" s="313"/>
      <c r="AB398" s="313"/>
      <c r="AC398" s="298">
        <f t="shared" si="14"/>
        <v>0</v>
      </c>
      <c r="AD398" s="298">
        <v>0</v>
      </c>
      <c r="AE398" s="298">
        <f t="shared" si="15"/>
        <v>0</v>
      </c>
      <c r="AF398" s="299"/>
      <c r="AG398" s="300"/>
      <c r="AH398" s="299"/>
      <c r="AI398" s="299"/>
      <c r="AJ398" s="300"/>
      <c r="AK398" s="299"/>
      <c r="AL398" s="301"/>
      <c r="AM398" s="314"/>
      <c r="AN398" s="301"/>
      <c r="AO398" s="302"/>
      <c r="AP398" s="301"/>
      <c r="AQ398" s="301"/>
      <c r="AR398" s="301"/>
      <c r="AS398" s="301"/>
      <c r="AT398" s="301"/>
      <c r="AU398" s="301"/>
      <c r="AV398" s="301"/>
      <c r="AW398" s="301"/>
      <c r="AX398" s="301"/>
      <c r="AY398" s="301"/>
      <c r="AZ398" s="301"/>
      <c r="BA398" s="301"/>
      <c r="BB398" s="301"/>
      <c r="BC398" s="301"/>
      <c r="BD398" s="301"/>
      <c r="BE398" s="301"/>
      <c r="BF398" s="301"/>
      <c r="BG398" s="303"/>
      <c r="BH398" s="304"/>
    </row>
    <row r="399" spans="1:60" s="305" customFormat="1" ht="16.5" hidden="1" customHeight="1" x14ac:dyDescent="0.4">
      <c r="A399" s="285">
        <v>376</v>
      </c>
      <c r="B399" s="286"/>
      <c r="C399" s="286"/>
      <c r="D399" s="287" t="s">
        <v>92</v>
      </c>
      <c r="E399" s="287" t="s">
        <v>229</v>
      </c>
      <c r="F399" s="288" t="s">
        <v>92</v>
      </c>
      <c r="G399" s="289" t="s">
        <v>229</v>
      </c>
      <c r="H399" s="307"/>
      <c r="I399" s="290"/>
      <c r="J399" s="291" t="s">
        <v>234</v>
      </c>
      <c r="K399" s="287"/>
      <c r="L399" s="287"/>
      <c r="M399" s="287">
        <v>3828</v>
      </c>
      <c r="N399" s="287" t="s">
        <v>32</v>
      </c>
      <c r="O399" s="287" t="s">
        <v>33</v>
      </c>
      <c r="P399" s="287" t="s">
        <v>93</v>
      </c>
      <c r="Q399" s="287" t="s">
        <v>41</v>
      </c>
      <c r="R399" s="287" t="s">
        <v>29</v>
      </c>
      <c r="S399" s="292" t="s">
        <v>29</v>
      </c>
      <c r="T399" s="293"/>
      <c r="U399" s="294"/>
      <c r="V399" s="294">
        <v>122475000</v>
      </c>
      <c r="W399" s="295">
        <v>137000000</v>
      </c>
      <c r="X399" s="296"/>
      <c r="Y399" s="287" t="s">
        <v>28</v>
      </c>
      <c r="Z399" s="297" t="s">
        <v>28</v>
      </c>
      <c r="AA399" s="313"/>
      <c r="AB399" s="313"/>
      <c r="AC399" s="298">
        <f t="shared" si="14"/>
        <v>105000000</v>
      </c>
      <c r="AD399" s="298">
        <v>105000000</v>
      </c>
      <c r="AE399" s="298">
        <f t="shared" si="15"/>
        <v>0</v>
      </c>
      <c r="AF399" s="299"/>
      <c r="AG399" s="300"/>
      <c r="AH399" s="299"/>
      <c r="AI399" s="299"/>
      <c r="AJ399" s="300"/>
      <c r="AK399" s="299"/>
      <c r="AL399" s="301"/>
      <c r="AM399" s="314"/>
      <c r="AN399" s="301"/>
      <c r="AO399" s="302"/>
      <c r="AP399" s="301"/>
      <c r="AQ399" s="301"/>
      <c r="AR399" s="301"/>
      <c r="AS399" s="301"/>
      <c r="AT399" s="301"/>
      <c r="AU399" s="301"/>
      <c r="AV399" s="301"/>
      <c r="AW399" s="301"/>
      <c r="AX399" s="301"/>
      <c r="AY399" s="301"/>
      <c r="AZ399" s="301"/>
      <c r="BA399" s="301"/>
      <c r="BB399" s="301"/>
      <c r="BC399" s="301"/>
      <c r="BD399" s="301"/>
      <c r="BE399" s="301">
        <v>105000000</v>
      </c>
      <c r="BF399" s="301"/>
      <c r="BG399" s="303"/>
      <c r="BH399" s="304"/>
    </row>
    <row r="400" spans="1:60" s="305" customFormat="1" ht="16.5" hidden="1" customHeight="1" x14ac:dyDescent="0.4">
      <c r="A400" s="285">
        <v>377</v>
      </c>
      <c r="B400" s="286"/>
      <c r="C400" s="286"/>
      <c r="D400" s="287" t="s">
        <v>92</v>
      </c>
      <c r="E400" s="287" t="s">
        <v>229</v>
      </c>
      <c r="F400" s="288" t="s">
        <v>92</v>
      </c>
      <c r="G400" s="289" t="s">
        <v>229</v>
      </c>
      <c r="H400" s="307"/>
      <c r="I400" s="290"/>
      <c r="J400" s="291" t="s">
        <v>234</v>
      </c>
      <c r="K400" s="287"/>
      <c r="L400" s="287"/>
      <c r="M400" s="287">
        <v>3828</v>
      </c>
      <c r="N400" s="287" t="s">
        <v>32</v>
      </c>
      <c r="O400" s="287" t="s">
        <v>43</v>
      </c>
      <c r="P400" s="287" t="s">
        <v>44</v>
      </c>
      <c r="Q400" s="287" t="s">
        <v>27</v>
      </c>
      <c r="R400" s="287" t="s">
        <v>349</v>
      </c>
      <c r="S400" s="292" t="s">
        <v>349</v>
      </c>
      <c r="T400" s="293"/>
      <c r="U400" s="294" t="s">
        <v>97</v>
      </c>
      <c r="V400" s="294">
        <v>2180000</v>
      </c>
      <c r="W400" s="295"/>
      <c r="X400" s="296"/>
      <c r="Y400" s="287" t="s">
        <v>21</v>
      </c>
      <c r="Z400" s="297" t="s">
        <v>28</v>
      </c>
      <c r="AA400" s="313"/>
      <c r="AB400" s="313"/>
      <c r="AC400" s="298">
        <f t="shared" si="14"/>
        <v>17272727</v>
      </c>
      <c r="AD400" s="298">
        <v>17272727</v>
      </c>
      <c r="AE400" s="298">
        <f t="shared" si="15"/>
        <v>0</v>
      </c>
      <c r="AF400" s="299"/>
      <c r="AG400" s="300"/>
      <c r="AH400" s="299"/>
      <c r="AI400" s="299"/>
      <c r="AJ400" s="300"/>
      <c r="AK400" s="299"/>
      <c r="AL400" s="301"/>
      <c r="AM400" s="314">
        <v>17272727</v>
      </c>
      <c r="AN400" s="301"/>
      <c r="AO400" s="302"/>
      <c r="AP400" s="301"/>
      <c r="AQ400" s="301"/>
      <c r="AR400" s="301"/>
      <c r="AS400" s="301">
        <v>0</v>
      </c>
      <c r="AT400" s="301"/>
      <c r="AU400" s="301"/>
      <c r="AV400" s="301"/>
      <c r="AW400" s="301"/>
      <c r="AX400" s="301"/>
      <c r="AY400" s="301"/>
      <c r="AZ400" s="301"/>
      <c r="BA400" s="301"/>
      <c r="BB400" s="301"/>
      <c r="BC400" s="301"/>
      <c r="BD400" s="301"/>
      <c r="BE400" s="301"/>
      <c r="BF400" s="301"/>
      <c r="BG400" s="303"/>
      <c r="BH400" s="304"/>
    </row>
    <row r="401" spans="1:60" s="305" customFormat="1" ht="16.5" hidden="1" customHeight="1" x14ac:dyDescent="0.4">
      <c r="A401" s="285">
        <v>378</v>
      </c>
      <c r="B401" s="286"/>
      <c r="C401" s="286"/>
      <c r="D401" s="287" t="s">
        <v>92</v>
      </c>
      <c r="E401" s="287" t="s">
        <v>229</v>
      </c>
      <c r="F401" s="288" t="s">
        <v>92</v>
      </c>
      <c r="G401" s="289" t="s">
        <v>229</v>
      </c>
      <c r="H401" s="307"/>
      <c r="I401" s="290"/>
      <c r="J401" s="291" t="s">
        <v>454</v>
      </c>
      <c r="K401" s="287"/>
      <c r="L401" s="287"/>
      <c r="M401" s="287">
        <v>10467</v>
      </c>
      <c r="N401" s="287" t="s">
        <v>40</v>
      </c>
      <c r="O401" s="287" t="s">
        <v>43</v>
      </c>
      <c r="P401" s="287" t="s">
        <v>44</v>
      </c>
      <c r="Q401" s="287" t="s">
        <v>49</v>
      </c>
      <c r="R401" s="287" t="s">
        <v>29</v>
      </c>
      <c r="S401" s="292" t="s">
        <v>29</v>
      </c>
      <c r="T401" s="293" t="s">
        <v>798</v>
      </c>
      <c r="U401" s="294">
        <v>172036060</v>
      </c>
      <c r="V401" s="294">
        <v>175511160</v>
      </c>
      <c r="W401" s="295">
        <v>161394600</v>
      </c>
      <c r="X401" s="296"/>
      <c r="Y401" s="287" t="s">
        <v>28</v>
      </c>
      <c r="Z401" s="297" t="s">
        <v>28</v>
      </c>
      <c r="AA401" s="313"/>
      <c r="AB401" s="313"/>
      <c r="AC401" s="298">
        <f t="shared" si="14"/>
        <v>241088700</v>
      </c>
      <c r="AD401" s="298">
        <v>241088700</v>
      </c>
      <c r="AE401" s="298">
        <f t="shared" si="15"/>
        <v>0</v>
      </c>
      <c r="AF401" s="299">
        <v>7000000</v>
      </c>
      <c r="AG401" s="300">
        <v>7925500</v>
      </c>
      <c r="AH401" s="299"/>
      <c r="AI401" s="299">
        <v>8258800</v>
      </c>
      <c r="AJ401" s="300">
        <v>8258800</v>
      </c>
      <c r="AK401" s="299"/>
      <c r="AL401" s="301"/>
      <c r="AM401" s="314">
        <v>15563200</v>
      </c>
      <c r="AN401" s="301"/>
      <c r="AO401" s="302">
        <v>20000000</v>
      </c>
      <c r="AP401" s="301"/>
      <c r="AQ401" s="301">
        <v>20000000</v>
      </c>
      <c r="AR401" s="301"/>
      <c r="AS401" s="301">
        <v>20000000</v>
      </c>
      <c r="AT401" s="301"/>
      <c r="AU401" s="301">
        <v>20000000</v>
      </c>
      <c r="AV401" s="301"/>
      <c r="AW401" s="301">
        <v>20600000</v>
      </c>
      <c r="AX401" s="301"/>
      <c r="AY401" s="301">
        <v>20000000</v>
      </c>
      <c r="AZ401" s="301"/>
      <c r="BA401" s="301">
        <v>20000000</v>
      </c>
      <c r="BB401" s="301"/>
      <c r="BC401" s="301">
        <v>24000000</v>
      </c>
      <c r="BD401" s="301"/>
      <c r="BE401" s="301">
        <v>44741200</v>
      </c>
      <c r="BF401" s="301"/>
      <c r="BG401" s="303"/>
      <c r="BH401" s="304"/>
    </row>
    <row r="402" spans="1:60" s="305" customFormat="1" ht="16.5" hidden="1" customHeight="1" x14ac:dyDescent="0.4">
      <c r="A402" s="285">
        <v>379</v>
      </c>
      <c r="B402" s="286"/>
      <c r="C402" s="286"/>
      <c r="D402" s="287" t="s">
        <v>92</v>
      </c>
      <c r="E402" s="287" t="s">
        <v>184</v>
      </c>
      <c r="F402" s="288" t="s">
        <v>92</v>
      </c>
      <c r="G402" s="289" t="s">
        <v>229</v>
      </c>
      <c r="H402" s="307"/>
      <c r="I402" s="290"/>
      <c r="J402" s="291" t="s">
        <v>459</v>
      </c>
      <c r="K402" s="287"/>
      <c r="L402" s="287"/>
      <c r="M402" s="287">
        <v>12968</v>
      </c>
      <c r="N402" s="287" t="s">
        <v>32</v>
      </c>
      <c r="O402" s="287" t="s">
        <v>43</v>
      </c>
      <c r="P402" s="287" t="s">
        <v>44</v>
      </c>
      <c r="Q402" s="287" t="s">
        <v>24</v>
      </c>
      <c r="R402" s="287" t="s">
        <v>221</v>
      </c>
      <c r="S402" s="292" t="s">
        <v>745</v>
      </c>
      <c r="T402" s="293"/>
      <c r="U402" s="294"/>
      <c r="V402" s="294">
        <v>0</v>
      </c>
      <c r="W402" s="295">
        <v>233181818</v>
      </c>
      <c r="X402" s="296"/>
      <c r="Y402" s="287" t="s">
        <v>28</v>
      </c>
      <c r="Z402" s="297" t="s">
        <v>25</v>
      </c>
      <c r="AA402" s="313"/>
      <c r="AB402" s="313"/>
      <c r="AC402" s="298">
        <f t="shared" si="14"/>
        <v>230000000</v>
      </c>
      <c r="AD402" s="298">
        <v>230000000</v>
      </c>
      <c r="AE402" s="298">
        <f t="shared" si="15"/>
        <v>0</v>
      </c>
      <c r="AF402" s="299"/>
      <c r="AG402" s="300"/>
      <c r="AH402" s="299"/>
      <c r="AI402" s="299"/>
      <c r="AJ402" s="300"/>
      <c r="AK402" s="299"/>
      <c r="AL402" s="301"/>
      <c r="AM402" s="314"/>
      <c r="AN402" s="301"/>
      <c r="AO402" s="302"/>
      <c r="AP402" s="301"/>
      <c r="AQ402" s="301"/>
      <c r="AR402" s="301"/>
      <c r="AS402" s="301"/>
      <c r="AT402" s="301"/>
      <c r="AU402" s="301"/>
      <c r="AV402" s="301"/>
      <c r="AW402" s="301">
        <v>160000000</v>
      </c>
      <c r="AX402" s="301"/>
      <c r="AY402" s="301"/>
      <c r="AZ402" s="301"/>
      <c r="BA402" s="301"/>
      <c r="BB402" s="301"/>
      <c r="BC402" s="301"/>
      <c r="BD402" s="301"/>
      <c r="BE402" s="301">
        <v>70000000</v>
      </c>
      <c r="BF402" s="301"/>
      <c r="BG402" s="303"/>
      <c r="BH402" s="304"/>
    </row>
    <row r="403" spans="1:60" s="305" customFormat="1" ht="16.5" hidden="1" customHeight="1" x14ac:dyDescent="0.4">
      <c r="A403" s="285">
        <v>380</v>
      </c>
      <c r="B403" s="286"/>
      <c r="C403" s="286"/>
      <c r="D403" s="287" t="s">
        <v>92</v>
      </c>
      <c r="E403" s="287" t="s">
        <v>193</v>
      </c>
      <c r="F403" s="288" t="s">
        <v>92</v>
      </c>
      <c r="G403" s="289" t="s">
        <v>229</v>
      </c>
      <c r="H403" s="307"/>
      <c r="I403" s="290"/>
      <c r="J403" s="291" t="s">
        <v>488</v>
      </c>
      <c r="K403" s="287"/>
      <c r="L403" s="287"/>
      <c r="M403" s="287">
        <v>26317</v>
      </c>
      <c r="N403" s="287" t="s">
        <v>32</v>
      </c>
      <c r="O403" s="287" t="s">
        <v>33</v>
      </c>
      <c r="P403" s="287" t="s">
        <v>44</v>
      </c>
      <c r="Q403" s="287" t="s">
        <v>19</v>
      </c>
      <c r="R403" s="287" t="s">
        <v>29</v>
      </c>
      <c r="S403" s="292" t="s">
        <v>29</v>
      </c>
      <c r="T403" s="293"/>
      <c r="U403" s="294">
        <v>110000000</v>
      </c>
      <c r="V403" s="294">
        <v>90000000</v>
      </c>
      <c r="W403" s="295">
        <v>120000000</v>
      </c>
      <c r="X403" s="296"/>
      <c r="Y403" s="287" t="s">
        <v>28</v>
      </c>
      <c r="Z403" s="297" t="s">
        <v>25</v>
      </c>
      <c r="AA403" s="313"/>
      <c r="AB403" s="313"/>
      <c r="AC403" s="298">
        <f t="shared" si="14"/>
        <v>120000000</v>
      </c>
      <c r="AD403" s="298">
        <v>120000000</v>
      </c>
      <c r="AE403" s="298">
        <f t="shared" si="15"/>
        <v>0</v>
      </c>
      <c r="AF403" s="299"/>
      <c r="AG403" s="300"/>
      <c r="AH403" s="299"/>
      <c r="AI403" s="299"/>
      <c r="AJ403" s="300"/>
      <c r="AK403" s="299"/>
      <c r="AL403" s="301"/>
      <c r="AM403" s="314"/>
      <c r="AN403" s="301"/>
      <c r="AO403" s="302"/>
      <c r="AP403" s="301"/>
      <c r="AQ403" s="301"/>
      <c r="AR403" s="301"/>
      <c r="AS403" s="301"/>
      <c r="AT403" s="301"/>
      <c r="AU403" s="301"/>
      <c r="AV403" s="301"/>
      <c r="AW403" s="301"/>
      <c r="AX403" s="301"/>
      <c r="AY403" s="301"/>
      <c r="AZ403" s="301"/>
      <c r="BA403" s="301"/>
      <c r="BB403" s="301"/>
      <c r="BC403" s="301"/>
      <c r="BD403" s="301"/>
      <c r="BE403" s="301">
        <v>120000000</v>
      </c>
      <c r="BF403" s="301"/>
      <c r="BG403" s="303"/>
      <c r="BH403" s="304"/>
    </row>
    <row r="404" spans="1:60" s="305" customFormat="1" ht="16.5" hidden="1" customHeight="1" x14ac:dyDescent="0.4">
      <c r="A404" s="285">
        <v>381</v>
      </c>
      <c r="B404" s="286"/>
      <c r="C404" s="286"/>
      <c r="D404" s="287" t="s">
        <v>92</v>
      </c>
      <c r="E404" s="287" t="s">
        <v>249</v>
      </c>
      <c r="F404" s="288" t="s">
        <v>92</v>
      </c>
      <c r="G404" s="289" t="s">
        <v>249</v>
      </c>
      <c r="H404" s="307"/>
      <c r="I404" s="290"/>
      <c r="J404" s="291" t="s">
        <v>250</v>
      </c>
      <c r="K404" s="287"/>
      <c r="L404" s="287"/>
      <c r="M404" s="287">
        <v>28404</v>
      </c>
      <c r="N404" s="287" t="s">
        <v>35</v>
      </c>
      <c r="O404" s="287" t="s">
        <v>43</v>
      </c>
      <c r="P404" s="287" t="s">
        <v>44</v>
      </c>
      <c r="Q404" s="287" t="s">
        <v>49</v>
      </c>
      <c r="R404" s="287" t="s">
        <v>29</v>
      </c>
      <c r="S404" s="292" t="s">
        <v>29</v>
      </c>
      <c r="T404" s="293" t="s">
        <v>798</v>
      </c>
      <c r="U404" s="294">
        <v>40583970</v>
      </c>
      <c r="V404" s="294">
        <v>38949800</v>
      </c>
      <c r="W404" s="295">
        <v>81262540</v>
      </c>
      <c r="X404" s="296"/>
      <c r="Y404" s="287" t="s">
        <v>28</v>
      </c>
      <c r="Z404" s="297" t="s">
        <v>28</v>
      </c>
      <c r="AA404" s="313"/>
      <c r="AB404" s="313"/>
      <c r="AC404" s="298">
        <f t="shared" si="14"/>
        <v>63915500</v>
      </c>
      <c r="AD404" s="298">
        <v>63915500</v>
      </c>
      <c r="AE404" s="298">
        <f t="shared" si="15"/>
        <v>0</v>
      </c>
      <c r="AF404" s="299">
        <v>3019700</v>
      </c>
      <c r="AG404" s="300">
        <v>3019700</v>
      </c>
      <c r="AH404" s="299"/>
      <c r="AI404" s="299">
        <v>2567300</v>
      </c>
      <c r="AJ404" s="300">
        <v>2567300</v>
      </c>
      <c r="AK404" s="299"/>
      <c r="AL404" s="301"/>
      <c r="AM404" s="314">
        <v>3631400</v>
      </c>
      <c r="AN404" s="301"/>
      <c r="AO404" s="302">
        <v>3697100</v>
      </c>
      <c r="AP404" s="301"/>
      <c r="AQ404" s="301">
        <v>5000000</v>
      </c>
      <c r="AR404" s="301"/>
      <c r="AS404" s="301">
        <v>6000000</v>
      </c>
      <c r="AT404" s="301"/>
      <c r="AU404" s="301">
        <v>6000000</v>
      </c>
      <c r="AV404" s="301"/>
      <c r="AW404" s="301">
        <v>6000000</v>
      </c>
      <c r="AX404" s="301"/>
      <c r="AY404" s="301">
        <v>5000000</v>
      </c>
      <c r="AZ404" s="301"/>
      <c r="BA404" s="301">
        <v>5000000</v>
      </c>
      <c r="BB404" s="301"/>
      <c r="BC404" s="301">
        <v>5000000</v>
      </c>
      <c r="BD404" s="301"/>
      <c r="BE404" s="301">
        <v>13000000</v>
      </c>
      <c r="BF404" s="301"/>
      <c r="BG404" s="303"/>
      <c r="BH404" s="304"/>
    </row>
    <row r="405" spans="1:60" s="305" customFormat="1" ht="16.5" hidden="1" customHeight="1" x14ac:dyDescent="0.4">
      <c r="A405" s="285">
        <v>382</v>
      </c>
      <c r="B405" s="286"/>
      <c r="C405" s="286"/>
      <c r="D405" s="287" t="s">
        <v>92</v>
      </c>
      <c r="E405" s="287" t="s">
        <v>249</v>
      </c>
      <c r="F405" s="288" t="s">
        <v>92</v>
      </c>
      <c r="G405" s="289" t="s">
        <v>249</v>
      </c>
      <c r="H405" s="307"/>
      <c r="I405" s="290"/>
      <c r="J405" s="291" t="s">
        <v>250</v>
      </c>
      <c r="K405" s="287"/>
      <c r="L405" s="287"/>
      <c r="M405" s="287">
        <v>28404</v>
      </c>
      <c r="N405" s="287" t="s">
        <v>35</v>
      </c>
      <c r="O405" s="287" t="s">
        <v>43</v>
      </c>
      <c r="P405" s="287" t="s">
        <v>44</v>
      </c>
      <c r="Q405" s="287" t="s">
        <v>30</v>
      </c>
      <c r="R405" s="287" t="s">
        <v>31</v>
      </c>
      <c r="S405" s="292" t="s">
        <v>31</v>
      </c>
      <c r="T405" s="293"/>
      <c r="U405" s="294"/>
      <c r="V405" s="294">
        <v>16790000</v>
      </c>
      <c r="W405" s="295"/>
      <c r="X405" s="296"/>
      <c r="Y405" s="287" t="s">
        <v>21</v>
      </c>
      <c r="Z405" s="297" t="s">
        <v>21</v>
      </c>
      <c r="AA405" s="313"/>
      <c r="AB405" s="313"/>
      <c r="AC405" s="298">
        <f t="shared" si="14"/>
        <v>0</v>
      </c>
      <c r="AD405" s="298">
        <v>0</v>
      </c>
      <c r="AE405" s="298">
        <f t="shared" si="15"/>
        <v>0</v>
      </c>
      <c r="AF405" s="299"/>
      <c r="AG405" s="300"/>
      <c r="AH405" s="299"/>
      <c r="AI405" s="299"/>
      <c r="AJ405" s="300"/>
      <c r="AK405" s="299"/>
      <c r="AL405" s="301"/>
      <c r="AM405" s="314"/>
      <c r="AN405" s="301"/>
      <c r="AO405" s="302"/>
      <c r="AP405" s="301"/>
      <c r="AQ405" s="301"/>
      <c r="AR405" s="301"/>
      <c r="AS405" s="301"/>
      <c r="AT405" s="301"/>
      <c r="AU405" s="301"/>
      <c r="AV405" s="301"/>
      <c r="AW405" s="301"/>
      <c r="AX405" s="301"/>
      <c r="AY405" s="301"/>
      <c r="AZ405" s="301"/>
      <c r="BA405" s="301"/>
      <c r="BB405" s="301"/>
      <c r="BC405" s="301"/>
      <c r="BD405" s="301"/>
      <c r="BE405" s="301"/>
      <c r="BF405" s="301"/>
      <c r="BG405" s="303"/>
      <c r="BH405" s="304"/>
    </row>
    <row r="406" spans="1:60" s="305" customFormat="1" ht="16.5" hidden="1" customHeight="1" x14ac:dyDescent="0.4">
      <c r="A406" s="285">
        <v>383</v>
      </c>
      <c r="B406" s="286"/>
      <c r="C406" s="286"/>
      <c r="D406" s="287"/>
      <c r="E406" s="287"/>
      <c r="F406" s="288" t="s">
        <v>92</v>
      </c>
      <c r="G406" s="289" t="s">
        <v>249</v>
      </c>
      <c r="H406" s="307"/>
      <c r="I406" s="290"/>
      <c r="J406" s="291" t="s">
        <v>250</v>
      </c>
      <c r="K406" s="287"/>
      <c r="L406" s="287"/>
      <c r="M406" s="287">
        <v>28404</v>
      </c>
      <c r="N406" s="287" t="s">
        <v>35</v>
      </c>
      <c r="O406" s="287" t="s">
        <v>43</v>
      </c>
      <c r="P406" s="287"/>
      <c r="Q406" s="287"/>
      <c r="R406" s="287"/>
      <c r="S406" s="292" t="s">
        <v>752</v>
      </c>
      <c r="T406" s="293"/>
      <c r="U406" s="294"/>
      <c r="V406" s="294"/>
      <c r="W406" s="295">
        <v>909091</v>
      </c>
      <c r="X406" s="296"/>
      <c r="Y406" s="287"/>
      <c r="Z406" s="297" t="s">
        <v>656</v>
      </c>
      <c r="AA406" s="313"/>
      <c r="AB406" s="313"/>
      <c r="AC406" s="298">
        <f t="shared" si="14"/>
        <v>0</v>
      </c>
      <c r="AD406" s="298">
        <v>0</v>
      </c>
      <c r="AE406" s="298">
        <f t="shared" si="15"/>
        <v>0</v>
      </c>
      <c r="AF406" s="299"/>
      <c r="AG406" s="300"/>
      <c r="AH406" s="299"/>
      <c r="AI406" s="299"/>
      <c r="AJ406" s="300"/>
      <c r="AK406" s="299"/>
      <c r="AL406" s="301"/>
      <c r="AM406" s="314"/>
      <c r="AN406" s="301"/>
      <c r="AO406" s="302"/>
      <c r="AP406" s="301"/>
      <c r="AQ406" s="301"/>
      <c r="AR406" s="301"/>
      <c r="AS406" s="301"/>
      <c r="AT406" s="301"/>
      <c r="AU406" s="301"/>
      <c r="AV406" s="301"/>
      <c r="AW406" s="301"/>
      <c r="AX406" s="301"/>
      <c r="AY406" s="301"/>
      <c r="AZ406" s="301"/>
      <c r="BA406" s="301"/>
      <c r="BB406" s="301"/>
      <c r="BC406" s="301"/>
      <c r="BD406" s="301"/>
      <c r="BE406" s="301"/>
      <c r="BF406" s="301"/>
      <c r="BG406" s="303"/>
      <c r="BH406" s="304"/>
    </row>
    <row r="407" spans="1:60" s="305" customFormat="1" ht="16.5" hidden="1" customHeight="1" x14ac:dyDescent="0.4">
      <c r="A407" s="285">
        <v>384</v>
      </c>
      <c r="B407" s="286"/>
      <c r="C407" s="286"/>
      <c r="D407" s="287" t="s">
        <v>92</v>
      </c>
      <c r="E407" s="287" t="s">
        <v>102</v>
      </c>
      <c r="F407" s="288" t="s">
        <v>92</v>
      </c>
      <c r="G407" s="289" t="s">
        <v>249</v>
      </c>
      <c r="H407" s="307"/>
      <c r="I407" s="290"/>
      <c r="J407" s="291" t="s">
        <v>103</v>
      </c>
      <c r="K407" s="287"/>
      <c r="L407" s="287"/>
      <c r="M407" s="287">
        <v>268</v>
      </c>
      <c r="N407" s="287" t="s">
        <v>23</v>
      </c>
      <c r="O407" s="287" t="s">
        <v>33</v>
      </c>
      <c r="P407" s="287" t="s">
        <v>93</v>
      </c>
      <c r="Q407" s="287"/>
      <c r="R407" s="287" t="s">
        <v>341</v>
      </c>
      <c r="S407" s="292" t="s">
        <v>341</v>
      </c>
      <c r="T407" s="293"/>
      <c r="U407" s="294"/>
      <c r="V407" s="294">
        <v>0</v>
      </c>
      <c r="W407" s="295"/>
      <c r="X407" s="296"/>
      <c r="Y407" s="287" t="s">
        <v>26</v>
      </c>
      <c r="Z407" s="297" t="s">
        <v>544</v>
      </c>
      <c r="AA407" s="313"/>
      <c r="AB407" s="313"/>
      <c r="AC407" s="298">
        <f t="shared" si="14"/>
        <v>0</v>
      </c>
      <c r="AD407" s="298">
        <v>0</v>
      </c>
      <c r="AE407" s="298">
        <f t="shared" si="15"/>
        <v>0</v>
      </c>
      <c r="AF407" s="299"/>
      <c r="AG407" s="300"/>
      <c r="AH407" s="299"/>
      <c r="AI407" s="299"/>
      <c r="AJ407" s="300"/>
      <c r="AK407" s="299"/>
      <c r="AL407" s="301"/>
      <c r="AM407" s="314"/>
      <c r="AN407" s="301"/>
      <c r="AO407" s="302"/>
      <c r="AP407" s="301"/>
      <c r="AQ407" s="301"/>
      <c r="AR407" s="301"/>
      <c r="AS407" s="301"/>
      <c r="AT407" s="301"/>
      <c r="AU407" s="301"/>
      <c r="AV407" s="301"/>
      <c r="AW407" s="301"/>
      <c r="AX407" s="301"/>
      <c r="AY407" s="301"/>
      <c r="AZ407" s="301"/>
      <c r="BA407" s="301"/>
      <c r="BB407" s="301"/>
      <c r="BC407" s="301"/>
      <c r="BD407" s="301"/>
      <c r="BE407" s="301"/>
      <c r="BF407" s="301"/>
      <c r="BG407" s="303"/>
      <c r="BH407" s="304"/>
    </row>
    <row r="408" spans="1:60" s="305" customFormat="1" ht="16.5" hidden="1" customHeight="1" x14ac:dyDescent="0.4">
      <c r="A408" s="285">
        <v>385</v>
      </c>
      <c r="B408" s="286"/>
      <c r="C408" s="286"/>
      <c r="D408" s="287" t="s">
        <v>92</v>
      </c>
      <c r="E408" s="287" t="s">
        <v>102</v>
      </c>
      <c r="F408" s="288" t="s">
        <v>92</v>
      </c>
      <c r="G408" s="289" t="s">
        <v>249</v>
      </c>
      <c r="H408" s="307"/>
      <c r="I408" s="290"/>
      <c r="J408" s="291" t="s">
        <v>103</v>
      </c>
      <c r="K408" s="287"/>
      <c r="L408" s="287"/>
      <c r="M408" s="287">
        <v>268</v>
      </c>
      <c r="N408" s="287" t="s">
        <v>23</v>
      </c>
      <c r="O408" s="287" t="s">
        <v>33</v>
      </c>
      <c r="P408" s="287" t="s">
        <v>93</v>
      </c>
      <c r="Q408" s="287"/>
      <c r="R408" s="287" t="s">
        <v>221</v>
      </c>
      <c r="S408" s="292" t="s">
        <v>745</v>
      </c>
      <c r="T408" s="293"/>
      <c r="U408" s="294"/>
      <c r="V408" s="294">
        <v>0</v>
      </c>
      <c r="W408" s="295"/>
      <c r="X408" s="296"/>
      <c r="Y408" s="287" t="s">
        <v>25</v>
      </c>
      <c r="Z408" s="297" t="s">
        <v>544</v>
      </c>
      <c r="AA408" s="313"/>
      <c r="AB408" s="313"/>
      <c r="AC408" s="298">
        <f t="shared" ref="AC408:AC471" si="16">AG408+AJ408+AM408+AO408+AQ408+AS408+AU408+AW408+AY408+BA408+BC408+BE408</f>
        <v>0</v>
      </c>
      <c r="AD408" s="298">
        <v>0</v>
      </c>
      <c r="AE408" s="298">
        <f t="shared" ref="AE408:AE471" si="17">AC408-AD408</f>
        <v>0</v>
      </c>
      <c r="AF408" s="299"/>
      <c r="AG408" s="300"/>
      <c r="AH408" s="299"/>
      <c r="AI408" s="299"/>
      <c r="AJ408" s="300"/>
      <c r="AK408" s="299"/>
      <c r="AL408" s="301"/>
      <c r="AM408" s="314"/>
      <c r="AN408" s="301"/>
      <c r="AO408" s="302"/>
      <c r="AP408" s="301"/>
      <c r="AQ408" s="301"/>
      <c r="AR408" s="301"/>
      <c r="AS408" s="301"/>
      <c r="AT408" s="301"/>
      <c r="AU408" s="301"/>
      <c r="AV408" s="301"/>
      <c r="AW408" s="301"/>
      <c r="AX408" s="301"/>
      <c r="AY408" s="301"/>
      <c r="AZ408" s="301"/>
      <c r="BA408" s="301"/>
      <c r="BB408" s="301"/>
      <c r="BC408" s="301"/>
      <c r="BD408" s="301"/>
      <c r="BE408" s="301"/>
      <c r="BF408" s="301"/>
      <c r="BG408" s="303"/>
      <c r="BH408" s="304"/>
    </row>
    <row r="409" spans="1:60" s="305" customFormat="1" ht="16.5" hidden="1" customHeight="1" x14ac:dyDescent="0.4">
      <c r="A409" s="285">
        <v>386</v>
      </c>
      <c r="B409" s="286"/>
      <c r="C409" s="286"/>
      <c r="D409" s="287" t="s">
        <v>92</v>
      </c>
      <c r="E409" s="287" t="s">
        <v>102</v>
      </c>
      <c r="F409" s="288" t="s">
        <v>92</v>
      </c>
      <c r="G409" s="289" t="s">
        <v>249</v>
      </c>
      <c r="H409" s="307"/>
      <c r="I409" s="290"/>
      <c r="J409" s="291" t="s">
        <v>103</v>
      </c>
      <c r="K409" s="287"/>
      <c r="L409" s="287"/>
      <c r="M409" s="287">
        <v>268</v>
      </c>
      <c r="N409" s="287" t="s">
        <v>23</v>
      </c>
      <c r="O409" s="287" t="s">
        <v>33</v>
      </c>
      <c r="P409" s="287" t="s">
        <v>98</v>
      </c>
      <c r="Q409" s="287" t="s">
        <v>41</v>
      </c>
      <c r="R409" s="287" t="s">
        <v>339</v>
      </c>
      <c r="S409" s="292" t="s">
        <v>746</v>
      </c>
      <c r="T409" s="293"/>
      <c r="U409" s="294">
        <v>1000000</v>
      </c>
      <c r="V409" s="294">
        <v>0</v>
      </c>
      <c r="W409" s="295"/>
      <c r="X409" s="296"/>
      <c r="Y409" s="287" t="s">
        <v>22</v>
      </c>
      <c r="Z409" s="297" t="s">
        <v>544</v>
      </c>
      <c r="AA409" s="313"/>
      <c r="AB409" s="313"/>
      <c r="AC409" s="298">
        <f t="shared" si="16"/>
        <v>0</v>
      </c>
      <c r="AD409" s="298">
        <v>0</v>
      </c>
      <c r="AE409" s="298">
        <f t="shared" si="17"/>
        <v>0</v>
      </c>
      <c r="AF409" s="299"/>
      <c r="AG409" s="300"/>
      <c r="AH409" s="299"/>
      <c r="AI409" s="299"/>
      <c r="AJ409" s="300"/>
      <c r="AK409" s="299"/>
      <c r="AL409" s="301"/>
      <c r="AM409" s="314"/>
      <c r="AN409" s="301"/>
      <c r="AO409" s="302"/>
      <c r="AP409" s="301"/>
      <c r="AQ409" s="301"/>
      <c r="AR409" s="301"/>
      <c r="AS409" s="301"/>
      <c r="AT409" s="301"/>
      <c r="AU409" s="301"/>
      <c r="AV409" s="301"/>
      <c r="AW409" s="301"/>
      <c r="AX409" s="301"/>
      <c r="AY409" s="301"/>
      <c r="AZ409" s="301"/>
      <c r="BA409" s="301"/>
      <c r="BB409" s="301"/>
      <c r="BC409" s="301"/>
      <c r="BD409" s="301"/>
      <c r="BE409" s="301"/>
      <c r="BF409" s="301"/>
      <c r="BG409" s="303"/>
      <c r="BH409" s="304"/>
    </row>
    <row r="410" spans="1:60" s="305" customFormat="1" ht="16.5" hidden="1" customHeight="1" x14ac:dyDescent="0.4">
      <c r="A410" s="285">
        <v>387</v>
      </c>
      <c r="B410" s="286"/>
      <c r="C410" s="286"/>
      <c r="D410" s="287" t="s">
        <v>92</v>
      </c>
      <c r="E410" s="287" t="s">
        <v>102</v>
      </c>
      <c r="F410" s="288" t="s">
        <v>92</v>
      </c>
      <c r="G410" s="289" t="s">
        <v>249</v>
      </c>
      <c r="H410" s="307"/>
      <c r="I410" s="290"/>
      <c r="J410" s="291" t="s">
        <v>104</v>
      </c>
      <c r="K410" s="287"/>
      <c r="L410" s="287"/>
      <c r="M410" s="287">
        <v>268</v>
      </c>
      <c r="N410" s="287" t="s">
        <v>23</v>
      </c>
      <c r="O410" s="287" t="s">
        <v>33</v>
      </c>
      <c r="P410" s="287"/>
      <c r="Q410" s="287" t="s">
        <v>27</v>
      </c>
      <c r="R410" s="287" t="s">
        <v>340</v>
      </c>
      <c r="S410" s="292" t="s">
        <v>340</v>
      </c>
      <c r="T410" s="293"/>
      <c r="U410" s="294">
        <v>46459091</v>
      </c>
      <c r="V410" s="294">
        <v>0</v>
      </c>
      <c r="W410" s="295"/>
      <c r="X410" s="296"/>
      <c r="Y410" s="287" t="s">
        <v>544</v>
      </c>
      <c r="Z410" s="297" t="s">
        <v>26</v>
      </c>
      <c r="AA410" s="313"/>
      <c r="AB410" s="313"/>
      <c r="AC410" s="298">
        <f t="shared" si="16"/>
        <v>100000000</v>
      </c>
      <c r="AD410" s="298">
        <v>100000000</v>
      </c>
      <c r="AE410" s="298">
        <f t="shared" si="17"/>
        <v>0</v>
      </c>
      <c r="AF410" s="299"/>
      <c r="AG410" s="300"/>
      <c r="AH410" s="299"/>
      <c r="AI410" s="299"/>
      <c r="AJ410" s="300"/>
      <c r="AK410" s="299"/>
      <c r="AL410" s="301"/>
      <c r="AM410" s="314"/>
      <c r="AN410" s="301"/>
      <c r="AO410" s="302"/>
      <c r="AP410" s="301"/>
      <c r="AQ410" s="301"/>
      <c r="AR410" s="301"/>
      <c r="AS410" s="301"/>
      <c r="AT410" s="301"/>
      <c r="AU410" s="301"/>
      <c r="AV410" s="301"/>
      <c r="AW410" s="301"/>
      <c r="AX410" s="301"/>
      <c r="AY410" s="301"/>
      <c r="AZ410" s="301"/>
      <c r="BA410" s="301">
        <v>100000000</v>
      </c>
      <c r="BB410" s="301"/>
      <c r="BC410" s="301"/>
      <c r="BD410" s="301"/>
      <c r="BE410" s="301"/>
      <c r="BF410" s="301"/>
      <c r="BG410" s="303"/>
      <c r="BH410" s="304"/>
    </row>
    <row r="411" spans="1:60" s="305" customFormat="1" ht="16.5" hidden="1" customHeight="1" x14ac:dyDescent="0.4">
      <c r="A411" s="285">
        <v>388</v>
      </c>
      <c r="B411" s="286"/>
      <c r="C411" s="286"/>
      <c r="D411" s="287" t="s">
        <v>92</v>
      </c>
      <c r="E411" s="287" t="s">
        <v>102</v>
      </c>
      <c r="F411" s="288" t="s">
        <v>92</v>
      </c>
      <c r="G411" s="289" t="s">
        <v>249</v>
      </c>
      <c r="H411" s="307"/>
      <c r="I411" s="290"/>
      <c r="J411" s="291" t="s">
        <v>105</v>
      </c>
      <c r="K411" s="287"/>
      <c r="L411" s="287"/>
      <c r="M411" s="287">
        <v>268</v>
      </c>
      <c r="N411" s="287" t="s">
        <v>23</v>
      </c>
      <c r="O411" s="287" t="s">
        <v>43</v>
      </c>
      <c r="P411" s="287" t="s">
        <v>98</v>
      </c>
      <c r="Q411" s="287"/>
      <c r="R411" s="287" t="s">
        <v>340</v>
      </c>
      <c r="S411" s="292" t="s">
        <v>340</v>
      </c>
      <c r="T411" s="293"/>
      <c r="U411" s="294"/>
      <c r="V411" s="294">
        <v>0</v>
      </c>
      <c r="W411" s="295">
        <v>12955000</v>
      </c>
      <c r="X411" s="296"/>
      <c r="Y411" s="287" t="s">
        <v>28</v>
      </c>
      <c r="Z411" s="297" t="s">
        <v>25</v>
      </c>
      <c r="AA411" s="313"/>
      <c r="AB411" s="313"/>
      <c r="AC411" s="298">
        <f t="shared" si="16"/>
        <v>8000000</v>
      </c>
      <c r="AD411" s="298">
        <v>8000000</v>
      </c>
      <c r="AE411" s="298">
        <f t="shared" si="17"/>
        <v>0</v>
      </c>
      <c r="AF411" s="299"/>
      <c r="AG411" s="300"/>
      <c r="AH411" s="299"/>
      <c r="AI411" s="299">
        <v>3000000</v>
      </c>
      <c r="AJ411" s="300"/>
      <c r="AK411" s="299"/>
      <c r="AL411" s="301"/>
      <c r="AM411" s="314"/>
      <c r="AN411" s="301"/>
      <c r="AO411" s="302"/>
      <c r="AP411" s="301"/>
      <c r="AQ411" s="301"/>
      <c r="AR411" s="301"/>
      <c r="AS411" s="301">
        <v>3000000</v>
      </c>
      <c r="AT411" s="301"/>
      <c r="AU411" s="301"/>
      <c r="AV411" s="301"/>
      <c r="AW411" s="301"/>
      <c r="AX411" s="301"/>
      <c r="AY411" s="301"/>
      <c r="AZ411" s="301"/>
      <c r="BA411" s="301">
        <v>5000000</v>
      </c>
      <c r="BB411" s="301"/>
      <c r="BC411" s="301"/>
      <c r="BD411" s="301"/>
      <c r="BE411" s="301"/>
      <c r="BF411" s="301"/>
      <c r="BG411" s="303"/>
      <c r="BH411" s="304"/>
    </row>
    <row r="412" spans="1:60" s="305" customFormat="1" ht="16.5" hidden="1" customHeight="1" x14ac:dyDescent="0.4">
      <c r="A412" s="285">
        <v>389</v>
      </c>
      <c r="B412" s="286"/>
      <c r="C412" s="286"/>
      <c r="D412" s="287" t="s">
        <v>92</v>
      </c>
      <c r="E412" s="287" t="s">
        <v>102</v>
      </c>
      <c r="F412" s="288" t="s">
        <v>92</v>
      </c>
      <c r="G412" s="289" t="s">
        <v>249</v>
      </c>
      <c r="H412" s="307"/>
      <c r="I412" s="290"/>
      <c r="J412" s="291" t="s">
        <v>572</v>
      </c>
      <c r="K412" s="287"/>
      <c r="L412" s="287"/>
      <c r="M412" s="287">
        <v>11047</v>
      </c>
      <c r="N412" s="287" t="s">
        <v>23</v>
      </c>
      <c r="O412" s="287" t="s">
        <v>43</v>
      </c>
      <c r="P412" s="287"/>
      <c r="Q412" s="287"/>
      <c r="R412" s="287" t="s">
        <v>340</v>
      </c>
      <c r="S412" s="292" t="s">
        <v>340</v>
      </c>
      <c r="T412" s="293"/>
      <c r="U412" s="294"/>
      <c r="V412" s="294"/>
      <c r="W412" s="295">
        <v>58311000</v>
      </c>
      <c r="X412" s="296"/>
      <c r="Y412" s="287" t="s">
        <v>28</v>
      </c>
      <c r="Z412" s="297" t="s">
        <v>28</v>
      </c>
      <c r="AA412" s="313"/>
      <c r="AB412" s="313"/>
      <c r="AC412" s="298">
        <f t="shared" si="16"/>
        <v>12640000</v>
      </c>
      <c r="AD412" s="298">
        <v>12640000</v>
      </c>
      <c r="AE412" s="298">
        <f t="shared" si="17"/>
        <v>0</v>
      </c>
      <c r="AF412" s="299"/>
      <c r="AG412" s="300"/>
      <c r="AH412" s="299"/>
      <c r="AI412" s="299">
        <v>2850000</v>
      </c>
      <c r="AJ412" s="300">
        <v>2850000</v>
      </c>
      <c r="AK412" s="299"/>
      <c r="AL412" s="301"/>
      <c r="AM412" s="314"/>
      <c r="AN412" s="301"/>
      <c r="AO412" s="302">
        <v>2500000</v>
      </c>
      <c r="AP412" s="301"/>
      <c r="AQ412" s="301"/>
      <c r="AR412" s="301"/>
      <c r="AS412" s="301">
        <v>2290000</v>
      </c>
      <c r="AT412" s="301"/>
      <c r="AU412" s="301"/>
      <c r="AV412" s="301"/>
      <c r="AW412" s="301"/>
      <c r="AX412" s="301"/>
      <c r="AY412" s="301">
        <v>2500000</v>
      </c>
      <c r="AZ412" s="301"/>
      <c r="BA412" s="301"/>
      <c r="BB412" s="301"/>
      <c r="BC412" s="301"/>
      <c r="BD412" s="301"/>
      <c r="BE412" s="301">
        <v>2500000</v>
      </c>
      <c r="BF412" s="301"/>
      <c r="BG412" s="303"/>
      <c r="BH412" s="304"/>
    </row>
    <row r="413" spans="1:60" s="305" customFormat="1" ht="16.5" hidden="1" customHeight="1" x14ac:dyDescent="0.4">
      <c r="A413" s="285">
        <v>390</v>
      </c>
      <c r="B413" s="286"/>
      <c r="C413" s="286"/>
      <c r="D413" s="287" t="s">
        <v>92</v>
      </c>
      <c r="E413" s="287" t="s">
        <v>102</v>
      </c>
      <c r="F413" s="288" t="s">
        <v>92</v>
      </c>
      <c r="G413" s="289" t="s">
        <v>249</v>
      </c>
      <c r="H413" s="307"/>
      <c r="I413" s="290"/>
      <c r="J413" s="291" t="s">
        <v>572</v>
      </c>
      <c r="K413" s="287"/>
      <c r="L413" s="287"/>
      <c r="M413" s="287">
        <v>11047</v>
      </c>
      <c r="N413" s="287" t="s">
        <v>23</v>
      </c>
      <c r="O413" s="287" t="s">
        <v>43</v>
      </c>
      <c r="P413" s="287" t="s">
        <v>98</v>
      </c>
      <c r="Q413" s="287"/>
      <c r="R413" s="287" t="s">
        <v>342</v>
      </c>
      <c r="S413" s="292" t="s">
        <v>741</v>
      </c>
      <c r="T413" s="293"/>
      <c r="U413" s="294"/>
      <c r="V413" s="294"/>
      <c r="W413" s="295">
        <v>2700000</v>
      </c>
      <c r="X413" s="296"/>
      <c r="Y413" s="287" t="s">
        <v>28</v>
      </c>
      <c r="Z413" s="297" t="s">
        <v>25</v>
      </c>
      <c r="AA413" s="313"/>
      <c r="AB413" s="313"/>
      <c r="AC413" s="298">
        <f t="shared" si="16"/>
        <v>3000000</v>
      </c>
      <c r="AD413" s="298">
        <v>3000000</v>
      </c>
      <c r="AE413" s="298">
        <f t="shared" si="17"/>
        <v>0</v>
      </c>
      <c r="AF413" s="299"/>
      <c r="AG413" s="300"/>
      <c r="AH413" s="299"/>
      <c r="AI413" s="299"/>
      <c r="AJ413" s="300"/>
      <c r="AK413" s="299"/>
      <c r="AL413" s="301"/>
      <c r="AM413" s="314"/>
      <c r="AN413" s="301"/>
      <c r="AO413" s="302"/>
      <c r="AP413" s="301"/>
      <c r="AQ413" s="316">
        <v>3000000</v>
      </c>
      <c r="AR413" s="301"/>
      <c r="AS413" s="301"/>
      <c r="AT413" s="301"/>
      <c r="AU413" s="301"/>
      <c r="AV413" s="301"/>
      <c r="AW413" s="301"/>
      <c r="AX413" s="301"/>
      <c r="AY413" s="301"/>
      <c r="AZ413" s="301"/>
      <c r="BA413" s="301"/>
      <c r="BB413" s="301"/>
      <c r="BC413" s="301"/>
      <c r="BD413" s="301"/>
      <c r="BE413" s="301"/>
      <c r="BF413" s="301"/>
      <c r="BG413" s="303"/>
      <c r="BH413" s="304"/>
    </row>
    <row r="414" spans="1:60" s="305" customFormat="1" ht="16.5" hidden="1" customHeight="1" x14ac:dyDescent="0.4">
      <c r="A414" s="285">
        <v>391</v>
      </c>
      <c r="B414" s="286"/>
      <c r="C414" s="286"/>
      <c r="D414" s="287" t="s">
        <v>92</v>
      </c>
      <c r="E414" s="287" t="s">
        <v>184</v>
      </c>
      <c r="F414" s="288" t="s">
        <v>92</v>
      </c>
      <c r="G414" s="289" t="s">
        <v>249</v>
      </c>
      <c r="H414" s="307"/>
      <c r="I414" s="290"/>
      <c r="J414" s="291" t="s">
        <v>756</v>
      </c>
      <c r="K414" s="287"/>
      <c r="L414" s="287"/>
      <c r="M414" s="287">
        <v>2702</v>
      </c>
      <c r="N414" s="287" t="s">
        <v>23</v>
      </c>
      <c r="O414" s="287" t="s">
        <v>33</v>
      </c>
      <c r="P414" s="287" t="s">
        <v>44</v>
      </c>
      <c r="Q414" s="287" t="s">
        <v>19</v>
      </c>
      <c r="R414" s="287" t="s">
        <v>29</v>
      </c>
      <c r="S414" s="292" t="s">
        <v>29</v>
      </c>
      <c r="T414" s="293" t="s">
        <v>798</v>
      </c>
      <c r="U414" s="294"/>
      <c r="V414" s="294">
        <v>0</v>
      </c>
      <c r="W414" s="295"/>
      <c r="X414" s="296"/>
      <c r="Y414" s="287" t="s">
        <v>26</v>
      </c>
      <c r="Z414" s="297" t="s">
        <v>28</v>
      </c>
      <c r="AA414" s="313"/>
      <c r="AB414" s="313"/>
      <c r="AC414" s="298">
        <f t="shared" si="16"/>
        <v>418775785</v>
      </c>
      <c r="AD414" s="298">
        <v>418775785</v>
      </c>
      <c r="AE414" s="298">
        <f t="shared" si="17"/>
        <v>0</v>
      </c>
      <c r="AF414" s="299"/>
      <c r="AG414" s="300"/>
      <c r="AH414" s="299"/>
      <c r="AI414" s="299">
        <v>0</v>
      </c>
      <c r="AJ414" s="300"/>
      <c r="AK414" s="299" t="s">
        <v>789</v>
      </c>
      <c r="AL414" s="301"/>
      <c r="AM414" s="314">
        <v>28775785</v>
      </c>
      <c r="AN414" s="301"/>
      <c r="AO414" s="302">
        <v>32000000</v>
      </c>
      <c r="AP414" s="301"/>
      <c r="AQ414" s="301">
        <v>30000000</v>
      </c>
      <c r="AR414" s="301" t="s">
        <v>867</v>
      </c>
      <c r="AS414" s="301">
        <v>30000000</v>
      </c>
      <c r="AT414" s="301" t="s">
        <v>867</v>
      </c>
      <c r="AU414" s="301">
        <v>40000000</v>
      </c>
      <c r="AV414" s="301" t="s">
        <v>867</v>
      </c>
      <c r="AW414" s="301">
        <v>48000000</v>
      </c>
      <c r="AX414" s="301" t="s">
        <v>867</v>
      </c>
      <c r="AY414" s="301">
        <v>50000000</v>
      </c>
      <c r="AZ414" s="301"/>
      <c r="BA414" s="301">
        <v>50000000</v>
      </c>
      <c r="BB414" s="301"/>
      <c r="BC414" s="301">
        <v>50000000</v>
      </c>
      <c r="BD414" s="301"/>
      <c r="BE414" s="301">
        <v>60000000</v>
      </c>
      <c r="BF414" s="301"/>
      <c r="BG414" s="303"/>
      <c r="BH414" s="304"/>
    </row>
    <row r="415" spans="1:60" s="305" customFormat="1" ht="16.5" hidden="1" customHeight="1" x14ac:dyDescent="0.4">
      <c r="A415" s="285">
        <v>392</v>
      </c>
      <c r="B415" s="286"/>
      <c r="C415" s="286"/>
      <c r="D415" s="287" t="s">
        <v>92</v>
      </c>
      <c r="E415" s="287" t="s">
        <v>184</v>
      </c>
      <c r="F415" s="288" t="s">
        <v>92</v>
      </c>
      <c r="G415" s="289" t="s">
        <v>249</v>
      </c>
      <c r="H415" s="307"/>
      <c r="I415" s="290"/>
      <c r="J415" s="291" t="s">
        <v>756</v>
      </c>
      <c r="K415" s="287"/>
      <c r="L415" s="287"/>
      <c r="M415" s="287">
        <v>2702</v>
      </c>
      <c r="N415" s="287" t="s">
        <v>23</v>
      </c>
      <c r="O415" s="287" t="s">
        <v>33</v>
      </c>
      <c r="P415" s="287" t="s">
        <v>44</v>
      </c>
      <c r="Q415" s="287" t="s">
        <v>19</v>
      </c>
      <c r="R415" s="287"/>
      <c r="S415" s="292" t="s">
        <v>340</v>
      </c>
      <c r="T415" s="293"/>
      <c r="U415" s="294"/>
      <c r="V415" s="294"/>
      <c r="W415" s="295"/>
      <c r="X415" s="296"/>
      <c r="Y415" s="287"/>
      <c r="Z415" s="297" t="s">
        <v>28</v>
      </c>
      <c r="AA415" s="313"/>
      <c r="AB415" s="313"/>
      <c r="AC415" s="298">
        <f t="shared" si="16"/>
        <v>14860000</v>
      </c>
      <c r="AD415" s="298">
        <v>14860000</v>
      </c>
      <c r="AE415" s="298">
        <f t="shared" si="17"/>
        <v>0</v>
      </c>
      <c r="AF415" s="299">
        <v>7360000</v>
      </c>
      <c r="AG415" s="300">
        <v>7360000</v>
      </c>
      <c r="AH415" s="299"/>
      <c r="AI415" s="299"/>
      <c r="AJ415" s="300"/>
      <c r="AK415" s="299"/>
      <c r="AL415" s="301"/>
      <c r="AM415" s="314"/>
      <c r="AN415" s="301"/>
      <c r="AO415" s="302"/>
      <c r="AP415" s="301"/>
      <c r="AQ415" s="301"/>
      <c r="AR415" s="301"/>
      <c r="AS415" s="301">
        <v>7500000</v>
      </c>
      <c r="AT415" s="301"/>
      <c r="AU415" s="301"/>
      <c r="AV415" s="301"/>
      <c r="AW415" s="301"/>
      <c r="AX415" s="301"/>
      <c r="AY415" s="301"/>
      <c r="AZ415" s="301"/>
      <c r="BA415" s="301"/>
      <c r="BB415" s="301"/>
      <c r="BC415" s="301"/>
      <c r="BD415" s="301"/>
      <c r="BE415" s="301"/>
      <c r="BF415" s="301"/>
      <c r="BG415" s="303"/>
      <c r="BH415" s="304"/>
    </row>
    <row r="416" spans="1:60" s="305" customFormat="1" ht="16.5" hidden="1" customHeight="1" x14ac:dyDescent="0.4">
      <c r="A416" s="285">
        <v>393</v>
      </c>
      <c r="B416" s="286"/>
      <c r="C416" s="286"/>
      <c r="D416" s="287" t="s">
        <v>92</v>
      </c>
      <c r="E416" s="287" t="s">
        <v>184</v>
      </c>
      <c r="F416" s="288" t="s">
        <v>92</v>
      </c>
      <c r="G416" s="289" t="s">
        <v>249</v>
      </c>
      <c r="H416" s="307"/>
      <c r="I416" s="290"/>
      <c r="J416" s="291" t="s">
        <v>756</v>
      </c>
      <c r="K416" s="287"/>
      <c r="L416" s="287"/>
      <c r="M416" s="287">
        <v>2702</v>
      </c>
      <c r="N416" s="287" t="s">
        <v>23</v>
      </c>
      <c r="O416" s="287" t="s">
        <v>33</v>
      </c>
      <c r="P416" s="287" t="s">
        <v>44</v>
      </c>
      <c r="Q416" s="287" t="s">
        <v>19</v>
      </c>
      <c r="R416" s="287"/>
      <c r="S416" s="292" t="s">
        <v>340</v>
      </c>
      <c r="T416" s="293"/>
      <c r="U416" s="294"/>
      <c r="V416" s="294"/>
      <c r="W416" s="295"/>
      <c r="X416" s="296"/>
      <c r="Y416" s="287"/>
      <c r="Z416" s="297" t="s">
        <v>56</v>
      </c>
      <c r="AA416" s="313"/>
      <c r="AB416" s="313"/>
      <c r="AC416" s="298">
        <f t="shared" si="16"/>
        <v>150000000</v>
      </c>
      <c r="AD416" s="298">
        <v>150000000</v>
      </c>
      <c r="AE416" s="298">
        <f t="shared" si="17"/>
        <v>0</v>
      </c>
      <c r="AF416" s="299"/>
      <c r="AG416" s="300"/>
      <c r="AH416" s="299"/>
      <c r="AI416" s="299"/>
      <c r="AJ416" s="300"/>
      <c r="AK416" s="299"/>
      <c r="AL416" s="301"/>
      <c r="AM416" s="314"/>
      <c r="AN416" s="301"/>
      <c r="AO416" s="302">
        <v>20000000</v>
      </c>
      <c r="AP416" s="301"/>
      <c r="AQ416" s="301">
        <v>20000000</v>
      </c>
      <c r="AR416" s="301"/>
      <c r="AS416" s="301">
        <v>20000000</v>
      </c>
      <c r="AT416" s="301"/>
      <c r="AU416" s="301">
        <v>20000000</v>
      </c>
      <c r="AV416" s="301"/>
      <c r="AW416" s="301">
        <v>20000000</v>
      </c>
      <c r="AX416" s="301"/>
      <c r="AY416" s="301">
        <v>20000000</v>
      </c>
      <c r="AZ416" s="301"/>
      <c r="BA416" s="301">
        <v>20000000</v>
      </c>
      <c r="BB416" s="301"/>
      <c r="BC416" s="301">
        <v>10000000</v>
      </c>
      <c r="BD416" s="301"/>
      <c r="BE416" s="301"/>
      <c r="BF416" s="301"/>
      <c r="BG416" s="303"/>
      <c r="BH416" s="304"/>
    </row>
    <row r="417" spans="1:60" s="305" customFormat="1" ht="16.5" hidden="1" customHeight="1" x14ac:dyDescent="0.4">
      <c r="A417" s="285">
        <v>394</v>
      </c>
      <c r="B417" s="286"/>
      <c r="C417" s="286"/>
      <c r="D417" s="287" t="s">
        <v>92</v>
      </c>
      <c r="E417" s="287" t="s">
        <v>249</v>
      </c>
      <c r="F417" s="288" t="s">
        <v>92</v>
      </c>
      <c r="G417" s="289" t="s">
        <v>249</v>
      </c>
      <c r="H417" s="307"/>
      <c r="I417" s="290"/>
      <c r="J417" s="291" t="s">
        <v>251</v>
      </c>
      <c r="K417" s="287"/>
      <c r="L417" s="287"/>
      <c r="M417" s="287">
        <v>50138</v>
      </c>
      <c r="N417" s="287" t="s">
        <v>35</v>
      </c>
      <c r="O417" s="287" t="s">
        <v>43</v>
      </c>
      <c r="P417" s="287" t="s">
        <v>44</v>
      </c>
      <c r="Q417" s="287" t="s">
        <v>49</v>
      </c>
      <c r="R417" s="287" t="s">
        <v>29</v>
      </c>
      <c r="S417" s="292" t="s">
        <v>29</v>
      </c>
      <c r="T417" s="293" t="s">
        <v>798</v>
      </c>
      <c r="U417" s="294">
        <v>42489078</v>
      </c>
      <c r="V417" s="294">
        <v>91954620</v>
      </c>
      <c r="W417" s="295">
        <v>43162357</v>
      </c>
      <c r="X417" s="296"/>
      <c r="Y417" s="287" t="s">
        <v>28</v>
      </c>
      <c r="Z417" s="297" t="s">
        <v>28</v>
      </c>
      <c r="AA417" s="313"/>
      <c r="AB417" s="313"/>
      <c r="AC417" s="298">
        <f t="shared" si="16"/>
        <v>49317900</v>
      </c>
      <c r="AD417" s="298">
        <v>49317900</v>
      </c>
      <c r="AE417" s="298">
        <f t="shared" si="17"/>
        <v>0</v>
      </c>
      <c r="AF417" s="299"/>
      <c r="AG417" s="300"/>
      <c r="AH417" s="299"/>
      <c r="AI417" s="299">
        <v>3736200</v>
      </c>
      <c r="AJ417" s="300">
        <v>15000</v>
      </c>
      <c r="AK417" s="299"/>
      <c r="AL417" s="301"/>
      <c r="AM417" s="314">
        <v>5302900</v>
      </c>
      <c r="AN417" s="301"/>
      <c r="AO417" s="302">
        <v>25000000</v>
      </c>
      <c r="AP417" s="301"/>
      <c r="AQ417" s="301">
        <v>2000000</v>
      </c>
      <c r="AR417" s="301"/>
      <c r="AS417" s="301">
        <v>2000000</v>
      </c>
      <c r="AT417" s="301"/>
      <c r="AU417" s="301">
        <v>2000000</v>
      </c>
      <c r="AV417" s="301"/>
      <c r="AW417" s="301">
        <v>2000000</v>
      </c>
      <c r="AX417" s="301"/>
      <c r="AY417" s="301">
        <v>2000000</v>
      </c>
      <c r="AZ417" s="301"/>
      <c r="BA417" s="301">
        <v>3000000</v>
      </c>
      <c r="BB417" s="301"/>
      <c r="BC417" s="301">
        <v>3000000</v>
      </c>
      <c r="BD417" s="301"/>
      <c r="BE417" s="301">
        <v>3000000</v>
      </c>
      <c r="BF417" s="301"/>
      <c r="BG417" s="303"/>
      <c r="BH417" s="304"/>
    </row>
    <row r="418" spans="1:60" s="305" customFormat="1" ht="16.5" hidden="1" customHeight="1" x14ac:dyDescent="0.4">
      <c r="A418" s="285">
        <v>395</v>
      </c>
      <c r="B418" s="286"/>
      <c r="C418" s="286"/>
      <c r="D418" s="287" t="s">
        <v>92</v>
      </c>
      <c r="E418" s="287" t="s">
        <v>249</v>
      </c>
      <c r="F418" s="288" t="s">
        <v>92</v>
      </c>
      <c r="G418" s="289" t="s">
        <v>249</v>
      </c>
      <c r="H418" s="307"/>
      <c r="I418" s="290"/>
      <c r="J418" s="291" t="s">
        <v>251</v>
      </c>
      <c r="K418" s="287"/>
      <c r="L418" s="287"/>
      <c r="M418" s="287">
        <v>50138</v>
      </c>
      <c r="N418" s="287" t="s">
        <v>35</v>
      </c>
      <c r="O418" s="287" t="s">
        <v>33</v>
      </c>
      <c r="P418" s="287"/>
      <c r="Q418" s="287" t="s">
        <v>19</v>
      </c>
      <c r="R418" s="287" t="s">
        <v>20</v>
      </c>
      <c r="S418" s="292" t="s">
        <v>20</v>
      </c>
      <c r="T418" s="293"/>
      <c r="U418" s="294">
        <v>3033260</v>
      </c>
      <c r="V418" s="294">
        <v>0</v>
      </c>
      <c r="W418" s="295"/>
      <c r="X418" s="296"/>
      <c r="Y418" s="287" t="s">
        <v>22</v>
      </c>
      <c r="Z418" s="297" t="s">
        <v>22</v>
      </c>
      <c r="AA418" s="313"/>
      <c r="AB418" s="313"/>
      <c r="AC418" s="298">
        <f t="shared" si="16"/>
        <v>0</v>
      </c>
      <c r="AD418" s="298">
        <v>0</v>
      </c>
      <c r="AE418" s="298">
        <f t="shared" si="17"/>
        <v>0</v>
      </c>
      <c r="AF418" s="299"/>
      <c r="AG418" s="300"/>
      <c r="AH418" s="299"/>
      <c r="AI418" s="299"/>
      <c r="AJ418" s="300"/>
      <c r="AK418" s="299"/>
      <c r="AL418" s="301"/>
      <c r="AM418" s="314"/>
      <c r="AN418" s="301"/>
      <c r="AO418" s="302"/>
      <c r="AP418" s="301"/>
      <c r="AQ418" s="301"/>
      <c r="AR418" s="301"/>
      <c r="AS418" s="301"/>
      <c r="AT418" s="301"/>
      <c r="AU418" s="301"/>
      <c r="AV418" s="301"/>
      <c r="AW418" s="301"/>
      <c r="AX418" s="301"/>
      <c r="AY418" s="301"/>
      <c r="AZ418" s="301"/>
      <c r="BA418" s="301"/>
      <c r="BB418" s="301"/>
      <c r="BC418" s="301"/>
      <c r="BD418" s="301"/>
      <c r="BE418" s="301"/>
      <c r="BF418" s="301"/>
      <c r="BG418" s="303"/>
      <c r="BH418" s="304"/>
    </row>
    <row r="419" spans="1:60" s="305" customFormat="1" ht="16.5" hidden="1" customHeight="1" x14ac:dyDescent="0.4">
      <c r="A419" s="285">
        <v>396</v>
      </c>
      <c r="B419" s="286"/>
      <c r="C419" s="286"/>
      <c r="D419" s="287" t="s">
        <v>92</v>
      </c>
      <c r="E419" s="287" t="s">
        <v>102</v>
      </c>
      <c r="F419" s="288" t="s">
        <v>92</v>
      </c>
      <c r="G419" s="289" t="s">
        <v>249</v>
      </c>
      <c r="H419" s="307"/>
      <c r="I419" s="290"/>
      <c r="J419" s="291" t="s">
        <v>110</v>
      </c>
      <c r="K419" s="287"/>
      <c r="L419" s="287"/>
      <c r="M419" s="287">
        <v>11188</v>
      </c>
      <c r="N419" s="287" t="s">
        <v>23</v>
      </c>
      <c r="O419" s="287" t="s">
        <v>43</v>
      </c>
      <c r="P419" s="287" t="s">
        <v>98</v>
      </c>
      <c r="Q419" s="287"/>
      <c r="R419" s="287" t="s">
        <v>340</v>
      </c>
      <c r="S419" s="292" t="s">
        <v>340</v>
      </c>
      <c r="T419" s="293"/>
      <c r="U419" s="294"/>
      <c r="V419" s="294">
        <v>2255000</v>
      </c>
      <c r="W419" s="295">
        <v>4250000</v>
      </c>
      <c r="X419" s="296"/>
      <c r="Y419" s="287" t="s">
        <v>28</v>
      </c>
      <c r="Z419" s="297" t="s">
        <v>25</v>
      </c>
      <c r="AA419" s="313"/>
      <c r="AB419" s="313"/>
      <c r="AC419" s="298">
        <f t="shared" si="16"/>
        <v>3000000</v>
      </c>
      <c r="AD419" s="298">
        <v>3000000</v>
      </c>
      <c r="AE419" s="298">
        <f t="shared" si="17"/>
        <v>0</v>
      </c>
      <c r="AF419" s="299"/>
      <c r="AG419" s="300"/>
      <c r="AH419" s="299"/>
      <c r="AI419" s="299">
        <v>2000000</v>
      </c>
      <c r="AJ419" s="300"/>
      <c r="AK419" s="299"/>
      <c r="AL419" s="301"/>
      <c r="AM419" s="314"/>
      <c r="AN419" s="301"/>
      <c r="AO419" s="302"/>
      <c r="AP419" s="301"/>
      <c r="AQ419" s="316">
        <v>1000000</v>
      </c>
      <c r="AR419" s="301"/>
      <c r="AS419" s="301">
        <v>1000000</v>
      </c>
      <c r="AT419" s="301"/>
      <c r="AU419" s="301"/>
      <c r="AV419" s="301"/>
      <c r="AW419" s="301"/>
      <c r="AX419" s="301"/>
      <c r="AY419" s="301"/>
      <c r="AZ419" s="301"/>
      <c r="BA419" s="301">
        <v>1000000</v>
      </c>
      <c r="BB419" s="301"/>
      <c r="BC419" s="301"/>
      <c r="BD419" s="301"/>
      <c r="BE419" s="301"/>
      <c r="BF419" s="301"/>
      <c r="BG419" s="303"/>
      <c r="BH419" s="304"/>
    </row>
    <row r="420" spans="1:60" s="305" customFormat="1" ht="16.5" hidden="1" customHeight="1" x14ac:dyDescent="0.4">
      <c r="A420" s="285">
        <v>397</v>
      </c>
      <c r="B420" s="286"/>
      <c r="C420" s="286"/>
      <c r="D420" s="287" t="s">
        <v>92</v>
      </c>
      <c r="E420" s="287" t="s">
        <v>102</v>
      </c>
      <c r="F420" s="288" t="s">
        <v>92</v>
      </c>
      <c r="G420" s="289" t="s">
        <v>249</v>
      </c>
      <c r="H420" s="307"/>
      <c r="I420" s="290"/>
      <c r="J420" s="291" t="s">
        <v>111</v>
      </c>
      <c r="K420" s="287"/>
      <c r="L420" s="287"/>
      <c r="M420" s="287">
        <v>6106</v>
      </c>
      <c r="N420" s="287" t="s">
        <v>40</v>
      </c>
      <c r="O420" s="287" t="s">
        <v>33</v>
      </c>
      <c r="P420" s="287" t="s">
        <v>44</v>
      </c>
      <c r="Q420" s="287" t="s">
        <v>49</v>
      </c>
      <c r="R420" s="287" t="s">
        <v>29</v>
      </c>
      <c r="S420" s="292" t="s">
        <v>29</v>
      </c>
      <c r="T420" s="293"/>
      <c r="U420" s="294">
        <v>38524786</v>
      </c>
      <c r="V420" s="294">
        <v>25417180</v>
      </c>
      <c r="W420" s="295"/>
      <c r="X420" s="296"/>
      <c r="Y420" s="287" t="s">
        <v>56</v>
      </c>
      <c r="Z420" s="297" t="s">
        <v>544</v>
      </c>
      <c r="AA420" s="313"/>
      <c r="AB420" s="313"/>
      <c r="AC420" s="298">
        <f t="shared" si="16"/>
        <v>0</v>
      </c>
      <c r="AD420" s="298">
        <v>0</v>
      </c>
      <c r="AE420" s="298">
        <f t="shared" si="17"/>
        <v>0</v>
      </c>
      <c r="AF420" s="299"/>
      <c r="AG420" s="300"/>
      <c r="AH420" s="299"/>
      <c r="AI420" s="299"/>
      <c r="AJ420" s="300"/>
      <c r="AK420" s="299"/>
      <c r="AL420" s="301"/>
      <c r="AM420" s="314"/>
      <c r="AN420" s="301"/>
      <c r="AO420" s="302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3"/>
      <c r="BH420" s="304"/>
    </row>
    <row r="421" spans="1:60" s="305" customFormat="1" ht="16.5" hidden="1" customHeight="1" x14ac:dyDescent="0.4">
      <c r="A421" s="285">
        <v>398</v>
      </c>
      <c r="B421" s="286"/>
      <c r="C421" s="286"/>
      <c r="D421" s="287" t="s">
        <v>92</v>
      </c>
      <c r="E421" s="287" t="s">
        <v>102</v>
      </c>
      <c r="F421" s="288" t="s">
        <v>92</v>
      </c>
      <c r="G421" s="289" t="s">
        <v>249</v>
      </c>
      <c r="H421" s="307"/>
      <c r="I421" s="290"/>
      <c r="J421" s="291" t="s">
        <v>111</v>
      </c>
      <c r="K421" s="287"/>
      <c r="L421" s="287"/>
      <c r="M421" s="287">
        <v>6106</v>
      </c>
      <c r="N421" s="287" t="s">
        <v>40</v>
      </c>
      <c r="O421" s="287" t="s">
        <v>33</v>
      </c>
      <c r="P421" s="287" t="s">
        <v>44</v>
      </c>
      <c r="Q421" s="287" t="s">
        <v>30</v>
      </c>
      <c r="R421" s="287" t="s">
        <v>31</v>
      </c>
      <c r="S421" s="292" t="s">
        <v>31</v>
      </c>
      <c r="T421" s="293"/>
      <c r="U421" s="294">
        <v>43187000</v>
      </c>
      <c r="V421" s="294">
        <v>48901000</v>
      </c>
      <c r="W421" s="295"/>
      <c r="X421" s="296"/>
      <c r="Y421" s="287" t="s">
        <v>56</v>
      </c>
      <c r="Z421" s="297" t="s">
        <v>544</v>
      </c>
      <c r="AA421" s="313"/>
      <c r="AB421" s="313"/>
      <c r="AC421" s="298">
        <f t="shared" si="16"/>
        <v>0</v>
      </c>
      <c r="AD421" s="298">
        <v>0</v>
      </c>
      <c r="AE421" s="298">
        <f t="shared" si="17"/>
        <v>0</v>
      </c>
      <c r="AF421" s="299"/>
      <c r="AG421" s="300"/>
      <c r="AH421" s="299"/>
      <c r="AI421" s="299"/>
      <c r="AJ421" s="300"/>
      <c r="AK421" s="299"/>
      <c r="AL421" s="301"/>
      <c r="AM421" s="314"/>
      <c r="AN421" s="301"/>
      <c r="AO421" s="302"/>
      <c r="AP421" s="301"/>
      <c r="AQ421" s="301"/>
      <c r="AR421" s="301"/>
      <c r="AS421" s="301"/>
      <c r="AT421" s="301"/>
      <c r="AU421" s="301"/>
      <c r="AV421" s="301"/>
      <c r="AW421" s="301"/>
      <c r="AX421" s="301"/>
      <c r="AY421" s="301"/>
      <c r="AZ421" s="301"/>
      <c r="BA421" s="301"/>
      <c r="BB421" s="301"/>
      <c r="BC421" s="301"/>
      <c r="BD421" s="301"/>
      <c r="BE421" s="301"/>
      <c r="BF421" s="301"/>
      <c r="BG421" s="303"/>
      <c r="BH421" s="304"/>
    </row>
    <row r="422" spans="1:60" s="305" customFormat="1" ht="16.5" hidden="1" customHeight="1" x14ac:dyDescent="0.4">
      <c r="A422" s="285">
        <v>399</v>
      </c>
      <c r="B422" s="286"/>
      <c r="C422" s="286"/>
      <c r="D422" s="287" t="s">
        <v>92</v>
      </c>
      <c r="E422" s="287" t="s">
        <v>102</v>
      </c>
      <c r="F422" s="288" t="s">
        <v>92</v>
      </c>
      <c r="G422" s="289" t="s">
        <v>249</v>
      </c>
      <c r="H422" s="307"/>
      <c r="I422" s="290"/>
      <c r="J422" s="291" t="s">
        <v>111</v>
      </c>
      <c r="K422" s="287"/>
      <c r="L422" s="287"/>
      <c r="M422" s="287">
        <v>6106</v>
      </c>
      <c r="N422" s="287" t="s">
        <v>40</v>
      </c>
      <c r="O422" s="287" t="s">
        <v>33</v>
      </c>
      <c r="P422" s="287"/>
      <c r="Q422" s="287" t="s">
        <v>36</v>
      </c>
      <c r="R422" s="287" t="s">
        <v>341</v>
      </c>
      <c r="S422" s="292" t="s">
        <v>341</v>
      </c>
      <c r="T422" s="293"/>
      <c r="U422" s="294"/>
      <c r="V422" s="294">
        <v>12000000</v>
      </c>
      <c r="W422" s="295"/>
      <c r="X422" s="296"/>
      <c r="Y422" s="287" t="s">
        <v>26</v>
      </c>
      <c r="Z422" s="297" t="s">
        <v>544</v>
      </c>
      <c r="AA422" s="313"/>
      <c r="AB422" s="313"/>
      <c r="AC422" s="298">
        <f t="shared" si="16"/>
        <v>0</v>
      </c>
      <c r="AD422" s="298">
        <v>0</v>
      </c>
      <c r="AE422" s="298">
        <f t="shared" si="17"/>
        <v>0</v>
      </c>
      <c r="AF422" s="299"/>
      <c r="AG422" s="300"/>
      <c r="AH422" s="299"/>
      <c r="AI422" s="299"/>
      <c r="AJ422" s="300"/>
      <c r="AK422" s="299"/>
      <c r="AL422" s="301"/>
      <c r="AM422" s="314"/>
      <c r="AN422" s="301"/>
      <c r="AO422" s="302"/>
      <c r="AP422" s="301"/>
      <c r="AQ422" s="301"/>
      <c r="AR422" s="301"/>
      <c r="AS422" s="301"/>
      <c r="AT422" s="301"/>
      <c r="AU422" s="301"/>
      <c r="AV422" s="301"/>
      <c r="AW422" s="301"/>
      <c r="AX422" s="301"/>
      <c r="AY422" s="301"/>
      <c r="AZ422" s="301"/>
      <c r="BA422" s="301"/>
      <c r="BB422" s="301"/>
      <c r="BC422" s="301"/>
      <c r="BD422" s="301"/>
      <c r="BE422" s="301"/>
      <c r="BF422" s="301"/>
      <c r="BG422" s="303"/>
      <c r="BH422" s="304"/>
    </row>
    <row r="423" spans="1:60" s="305" customFormat="1" ht="16.5" hidden="1" customHeight="1" x14ac:dyDescent="0.4">
      <c r="A423" s="285">
        <v>400</v>
      </c>
      <c r="B423" s="286"/>
      <c r="C423" s="286"/>
      <c r="D423" s="287" t="s">
        <v>92</v>
      </c>
      <c r="E423" s="287" t="s">
        <v>102</v>
      </c>
      <c r="F423" s="288" t="s">
        <v>92</v>
      </c>
      <c r="G423" s="289" t="s">
        <v>249</v>
      </c>
      <c r="H423" s="307"/>
      <c r="I423" s="290"/>
      <c r="J423" s="291" t="s">
        <v>111</v>
      </c>
      <c r="K423" s="287"/>
      <c r="L423" s="287"/>
      <c r="M423" s="287">
        <v>6106</v>
      </c>
      <c r="N423" s="287" t="s">
        <v>40</v>
      </c>
      <c r="O423" s="287" t="s">
        <v>43</v>
      </c>
      <c r="P423" s="287" t="s">
        <v>44</v>
      </c>
      <c r="Q423" s="287" t="s">
        <v>27</v>
      </c>
      <c r="R423" s="287" t="s">
        <v>340</v>
      </c>
      <c r="S423" s="292" t="s">
        <v>340</v>
      </c>
      <c r="T423" s="293"/>
      <c r="U423" s="294"/>
      <c r="V423" s="294">
        <v>28760000</v>
      </c>
      <c r="W423" s="295">
        <v>6700000</v>
      </c>
      <c r="X423" s="296"/>
      <c r="Y423" s="287" t="s">
        <v>28</v>
      </c>
      <c r="Z423" s="297" t="s">
        <v>25</v>
      </c>
      <c r="AA423" s="313"/>
      <c r="AB423" s="313"/>
      <c r="AC423" s="298">
        <f t="shared" si="16"/>
        <v>5000000</v>
      </c>
      <c r="AD423" s="298">
        <v>5000000</v>
      </c>
      <c r="AE423" s="298">
        <f t="shared" si="17"/>
        <v>0</v>
      </c>
      <c r="AF423" s="299"/>
      <c r="AG423" s="300"/>
      <c r="AH423" s="299"/>
      <c r="AI423" s="299"/>
      <c r="AJ423" s="300"/>
      <c r="AK423" s="299"/>
      <c r="AL423" s="301"/>
      <c r="AM423" s="314"/>
      <c r="AN423" s="301"/>
      <c r="AO423" s="302"/>
      <c r="AP423" s="301"/>
      <c r="AQ423" s="316">
        <v>2000000</v>
      </c>
      <c r="AR423" s="301"/>
      <c r="AS423" s="301"/>
      <c r="AT423" s="301"/>
      <c r="AU423" s="301"/>
      <c r="AV423" s="301"/>
      <c r="AW423" s="301"/>
      <c r="AX423" s="301"/>
      <c r="AY423" s="301"/>
      <c r="AZ423" s="301"/>
      <c r="BA423" s="301">
        <v>3000000</v>
      </c>
      <c r="BB423" s="301"/>
      <c r="BC423" s="301"/>
      <c r="BD423" s="301"/>
      <c r="BE423" s="301"/>
      <c r="BF423" s="301"/>
      <c r="BG423" s="303"/>
      <c r="BH423" s="304"/>
    </row>
    <row r="424" spans="1:60" s="305" customFormat="1" ht="16.5" hidden="1" customHeight="1" x14ac:dyDescent="0.4">
      <c r="A424" s="285">
        <v>401</v>
      </c>
      <c r="B424" s="286"/>
      <c r="C424" s="286"/>
      <c r="D424" s="287" t="s">
        <v>92</v>
      </c>
      <c r="E424" s="287" t="s">
        <v>102</v>
      </c>
      <c r="F424" s="288" t="s">
        <v>92</v>
      </c>
      <c r="G424" s="289" t="s">
        <v>249</v>
      </c>
      <c r="H424" s="307"/>
      <c r="I424" s="290"/>
      <c r="J424" s="291" t="s">
        <v>111</v>
      </c>
      <c r="K424" s="287"/>
      <c r="L424" s="287"/>
      <c r="M424" s="287">
        <v>6106</v>
      </c>
      <c r="N424" s="287" t="s">
        <v>40</v>
      </c>
      <c r="O424" s="287" t="s">
        <v>33</v>
      </c>
      <c r="P424" s="287" t="s">
        <v>44</v>
      </c>
      <c r="Q424" s="287" t="s">
        <v>45</v>
      </c>
      <c r="R424" s="287" t="s">
        <v>342</v>
      </c>
      <c r="S424" s="292" t="s">
        <v>741</v>
      </c>
      <c r="T424" s="293"/>
      <c r="U424" s="294"/>
      <c r="V424" s="294">
        <v>1000000</v>
      </c>
      <c r="W424" s="295"/>
      <c r="X424" s="296"/>
      <c r="Y424" s="287" t="s">
        <v>26</v>
      </c>
      <c r="Z424" s="297" t="s">
        <v>26</v>
      </c>
      <c r="AA424" s="313"/>
      <c r="AB424" s="313"/>
      <c r="AC424" s="298">
        <f t="shared" si="16"/>
        <v>2000000</v>
      </c>
      <c r="AD424" s="298">
        <v>2000000</v>
      </c>
      <c r="AE424" s="298">
        <f t="shared" si="17"/>
        <v>0</v>
      </c>
      <c r="AF424" s="299"/>
      <c r="AG424" s="300"/>
      <c r="AH424" s="299"/>
      <c r="AI424" s="299"/>
      <c r="AJ424" s="300"/>
      <c r="AK424" s="299"/>
      <c r="AL424" s="301"/>
      <c r="AM424" s="314"/>
      <c r="AN424" s="301"/>
      <c r="AO424" s="302"/>
      <c r="AP424" s="301"/>
      <c r="AQ424" s="301"/>
      <c r="AR424" s="301"/>
      <c r="AS424" s="301"/>
      <c r="AT424" s="301"/>
      <c r="AU424" s="301"/>
      <c r="AV424" s="301"/>
      <c r="AW424" s="301"/>
      <c r="AX424" s="301"/>
      <c r="AY424" s="301">
        <v>2000000</v>
      </c>
      <c r="AZ424" s="301"/>
      <c r="BA424" s="301"/>
      <c r="BB424" s="301"/>
      <c r="BC424" s="301"/>
      <c r="BD424" s="301"/>
      <c r="BE424" s="301"/>
      <c r="BF424" s="301"/>
      <c r="BG424" s="303"/>
      <c r="BH424" s="304"/>
    </row>
    <row r="425" spans="1:60" s="305" customFormat="1" ht="16.5" hidden="1" customHeight="1" x14ac:dyDescent="0.4">
      <c r="A425" s="285">
        <v>402</v>
      </c>
      <c r="B425" s="286"/>
      <c r="C425" s="286"/>
      <c r="D425" s="287" t="s">
        <v>92</v>
      </c>
      <c r="E425" s="287" t="s">
        <v>102</v>
      </c>
      <c r="F425" s="288" t="s">
        <v>92</v>
      </c>
      <c r="G425" s="289" t="s">
        <v>249</v>
      </c>
      <c r="H425" s="307"/>
      <c r="I425" s="290"/>
      <c r="J425" s="291" t="s">
        <v>111</v>
      </c>
      <c r="K425" s="287"/>
      <c r="L425" s="287"/>
      <c r="M425" s="287">
        <v>6106</v>
      </c>
      <c r="N425" s="287" t="s">
        <v>40</v>
      </c>
      <c r="O425" s="287" t="s">
        <v>43</v>
      </c>
      <c r="P425" s="287"/>
      <c r="Q425" s="287" t="s">
        <v>24</v>
      </c>
      <c r="R425" s="287" t="s">
        <v>221</v>
      </c>
      <c r="S425" s="292" t="s">
        <v>745</v>
      </c>
      <c r="T425" s="293"/>
      <c r="U425" s="294"/>
      <c r="V425" s="294">
        <v>7000000</v>
      </c>
      <c r="W425" s="295">
        <v>1500000</v>
      </c>
      <c r="X425" s="296"/>
      <c r="Y425" s="287" t="s">
        <v>25</v>
      </c>
      <c r="Z425" s="297" t="s">
        <v>544</v>
      </c>
      <c r="AA425" s="313"/>
      <c r="AB425" s="313"/>
      <c r="AC425" s="298">
        <f t="shared" si="16"/>
        <v>7000000</v>
      </c>
      <c r="AD425" s="298">
        <v>7000000</v>
      </c>
      <c r="AE425" s="298">
        <f t="shared" si="17"/>
        <v>0</v>
      </c>
      <c r="AF425" s="299"/>
      <c r="AG425" s="300"/>
      <c r="AH425" s="299"/>
      <c r="AI425" s="299"/>
      <c r="AJ425" s="300"/>
      <c r="AK425" s="299"/>
      <c r="AL425" s="301"/>
      <c r="AM425" s="314"/>
      <c r="AN425" s="301"/>
      <c r="AO425" s="302"/>
      <c r="AP425" s="301"/>
      <c r="AQ425" s="301"/>
      <c r="AR425" s="301"/>
      <c r="AS425" s="301"/>
      <c r="AT425" s="301"/>
      <c r="AU425" s="301"/>
      <c r="AV425" s="301"/>
      <c r="AW425" s="301"/>
      <c r="AX425" s="301"/>
      <c r="AY425" s="301">
        <v>7000000</v>
      </c>
      <c r="AZ425" s="301"/>
      <c r="BA425" s="301"/>
      <c r="BB425" s="301"/>
      <c r="BC425" s="301"/>
      <c r="BD425" s="301"/>
      <c r="BE425" s="301"/>
      <c r="BF425" s="301"/>
      <c r="BG425" s="303"/>
      <c r="BH425" s="304"/>
    </row>
    <row r="426" spans="1:60" s="305" customFormat="1" ht="16.5" hidden="1" customHeight="1" x14ac:dyDescent="0.4">
      <c r="A426" s="285">
        <v>403</v>
      </c>
      <c r="B426" s="286"/>
      <c r="C426" s="286"/>
      <c r="D426" s="287" t="s">
        <v>92</v>
      </c>
      <c r="E426" s="287" t="s">
        <v>249</v>
      </c>
      <c r="F426" s="288" t="s">
        <v>92</v>
      </c>
      <c r="G426" s="289" t="s">
        <v>249</v>
      </c>
      <c r="H426" s="307"/>
      <c r="I426" s="290"/>
      <c r="J426" s="291" t="s">
        <v>506</v>
      </c>
      <c r="K426" s="287"/>
      <c r="L426" s="287"/>
      <c r="M426" s="287">
        <v>4994</v>
      </c>
      <c r="N426" s="287" t="s">
        <v>40</v>
      </c>
      <c r="O426" s="287" t="s">
        <v>43</v>
      </c>
      <c r="P426" s="287" t="s">
        <v>44</v>
      </c>
      <c r="Q426" s="287" t="s">
        <v>49</v>
      </c>
      <c r="R426" s="287" t="s">
        <v>29</v>
      </c>
      <c r="S426" s="292" t="s">
        <v>29</v>
      </c>
      <c r="T426" s="293" t="s">
        <v>798</v>
      </c>
      <c r="U426" s="294">
        <v>55474800</v>
      </c>
      <c r="V426" s="294">
        <v>68213400</v>
      </c>
      <c r="W426" s="295">
        <v>19779900</v>
      </c>
      <c r="X426" s="296"/>
      <c r="Y426" s="287" t="s">
        <v>28</v>
      </c>
      <c r="Z426" s="297" t="s">
        <v>28</v>
      </c>
      <c r="AA426" s="313"/>
      <c r="AB426" s="313"/>
      <c r="AC426" s="298">
        <f t="shared" si="16"/>
        <v>23231000</v>
      </c>
      <c r="AD426" s="298">
        <v>23231000</v>
      </c>
      <c r="AE426" s="298">
        <f t="shared" si="17"/>
        <v>0</v>
      </c>
      <c r="AF426" s="299">
        <v>1055000</v>
      </c>
      <c r="AG426" s="300">
        <v>1055000</v>
      </c>
      <c r="AH426" s="299"/>
      <c r="AI426" s="299">
        <v>2110000</v>
      </c>
      <c r="AJ426" s="300">
        <v>2110000</v>
      </c>
      <c r="AK426" s="299"/>
      <c r="AL426" s="301"/>
      <c r="AM426" s="314">
        <v>1066000</v>
      </c>
      <c r="AN426" s="301"/>
      <c r="AO426" s="302">
        <v>2000000</v>
      </c>
      <c r="AP426" s="301"/>
      <c r="AQ426" s="301">
        <v>2000000</v>
      </c>
      <c r="AR426" s="301"/>
      <c r="AS426" s="301">
        <v>2000000</v>
      </c>
      <c r="AT426" s="301"/>
      <c r="AU426" s="301">
        <v>2000000</v>
      </c>
      <c r="AV426" s="301"/>
      <c r="AW426" s="301">
        <v>2000000</v>
      </c>
      <c r="AX426" s="301"/>
      <c r="AY426" s="301">
        <v>2000000</v>
      </c>
      <c r="AZ426" s="301"/>
      <c r="BA426" s="301">
        <v>2000000</v>
      </c>
      <c r="BB426" s="301"/>
      <c r="BC426" s="301">
        <v>2000000</v>
      </c>
      <c r="BD426" s="301"/>
      <c r="BE426" s="301">
        <v>3000000</v>
      </c>
      <c r="BF426" s="301"/>
      <c r="BG426" s="303"/>
      <c r="BH426" s="304"/>
    </row>
    <row r="427" spans="1:60" s="305" customFormat="1" ht="16.5" hidden="1" customHeight="1" x14ac:dyDescent="0.4">
      <c r="A427" s="285">
        <v>404</v>
      </c>
      <c r="B427" s="286"/>
      <c r="C427" s="286"/>
      <c r="D427" s="287" t="s">
        <v>92</v>
      </c>
      <c r="E427" s="287" t="s">
        <v>249</v>
      </c>
      <c r="F427" s="288" t="s">
        <v>92</v>
      </c>
      <c r="G427" s="289" t="s">
        <v>249</v>
      </c>
      <c r="H427" s="307"/>
      <c r="I427" s="290"/>
      <c r="J427" s="291" t="s">
        <v>506</v>
      </c>
      <c r="K427" s="287"/>
      <c r="L427" s="287"/>
      <c r="M427" s="287">
        <v>4994</v>
      </c>
      <c r="N427" s="287" t="s">
        <v>40</v>
      </c>
      <c r="O427" s="287" t="s">
        <v>43</v>
      </c>
      <c r="P427" s="287" t="s">
        <v>44</v>
      </c>
      <c r="Q427" s="287" t="s">
        <v>27</v>
      </c>
      <c r="R427" s="287" t="s">
        <v>340</v>
      </c>
      <c r="S427" s="292" t="s">
        <v>340</v>
      </c>
      <c r="T427" s="293"/>
      <c r="U427" s="294">
        <v>7800000</v>
      </c>
      <c r="V427" s="294">
        <v>3000000</v>
      </c>
      <c r="W427" s="295">
        <v>7400000</v>
      </c>
      <c r="X427" s="296"/>
      <c r="Y427" s="287" t="s">
        <v>28</v>
      </c>
      <c r="Z427" s="297" t="s">
        <v>28</v>
      </c>
      <c r="AA427" s="313"/>
      <c r="AB427" s="313"/>
      <c r="AC427" s="298">
        <f t="shared" si="16"/>
        <v>7400000</v>
      </c>
      <c r="AD427" s="298">
        <v>7400000</v>
      </c>
      <c r="AE427" s="298">
        <f t="shared" si="17"/>
        <v>0</v>
      </c>
      <c r="AF427" s="299">
        <v>3700000</v>
      </c>
      <c r="AG427" s="300">
        <v>3700000</v>
      </c>
      <c r="AH427" s="299"/>
      <c r="AI427" s="299"/>
      <c r="AJ427" s="300"/>
      <c r="AK427" s="299"/>
      <c r="AL427" s="301"/>
      <c r="AM427" s="314">
        <v>3700000</v>
      </c>
      <c r="AN427" s="301"/>
      <c r="AO427" s="302"/>
      <c r="AP427" s="301"/>
      <c r="AQ427" s="301"/>
      <c r="AR427" s="301"/>
      <c r="AS427" s="301"/>
      <c r="AT427" s="301"/>
      <c r="AU427" s="301"/>
      <c r="AV427" s="301"/>
      <c r="AW427" s="301"/>
      <c r="AX427" s="301"/>
      <c r="AY427" s="301"/>
      <c r="AZ427" s="301"/>
      <c r="BA427" s="301"/>
      <c r="BB427" s="301"/>
      <c r="BC427" s="301"/>
      <c r="BD427" s="301"/>
      <c r="BE427" s="301"/>
      <c r="BF427" s="301"/>
      <c r="BG427" s="303"/>
      <c r="BH427" s="304"/>
    </row>
    <row r="428" spans="1:60" s="305" customFormat="1" ht="16.5" hidden="1" customHeight="1" x14ac:dyDescent="0.4">
      <c r="A428" s="285">
        <v>405</v>
      </c>
      <c r="B428" s="286"/>
      <c r="C428" s="286"/>
      <c r="D428" s="287" t="s">
        <v>92</v>
      </c>
      <c r="E428" s="287" t="s">
        <v>249</v>
      </c>
      <c r="F428" s="288" t="s">
        <v>92</v>
      </c>
      <c r="G428" s="289" t="s">
        <v>249</v>
      </c>
      <c r="H428" s="307"/>
      <c r="I428" s="290"/>
      <c r="J428" s="291" t="s">
        <v>506</v>
      </c>
      <c r="K428" s="287"/>
      <c r="L428" s="287"/>
      <c r="M428" s="287">
        <v>4994</v>
      </c>
      <c r="N428" s="287" t="s">
        <v>40</v>
      </c>
      <c r="O428" s="287" t="s">
        <v>43</v>
      </c>
      <c r="P428" s="287" t="s">
        <v>44</v>
      </c>
      <c r="Q428" s="287" t="s">
        <v>27</v>
      </c>
      <c r="R428" s="287" t="s">
        <v>221</v>
      </c>
      <c r="S428" s="292" t="s">
        <v>745</v>
      </c>
      <c r="T428" s="293"/>
      <c r="U428" s="294"/>
      <c r="V428" s="294"/>
      <c r="W428" s="295">
        <v>10516364</v>
      </c>
      <c r="X428" s="296"/>
      <c r="Y428" s="287" t="s">
        <v>28</v>
      </c>
      <c r="Z428" s="297" t="s">
        <v>26</v>
      </c>
      <c r="AA428" s="313"/>
      <c r="AB428" s="313"/>
      <c r="AC428" s="298">
        <f t="shared" si="16"/>
        <v>10000000</v>
      </c>
      <c r="AD428" s="298">
        <v>10000000</v>
      </c>
      <c r="AE428" s="298">
        <f t="shared" si="17"/>
        <v>0</v>
      </c>
      <c r="AF428" s="299"/>
      <c r="AG428" s="300"/>
      <c r="AH428" s="299"/>
      <c r="AI428" s="299"/>
      <c r="AJ428" s="300"/>
      <c r="AK428" s="299"/>
      <c r="AL428" s="301"/>
      <c r="AM428" s="314"/>
      <c r="AN428" s="301"/>
      <c r="AO428" s="302"/>
      <c r="AP428" s="301"/>
      <c r="AQ428" s="301"/>
      <c r="AR428" s="301"/>
      <c r="AS428" s="301"/>
      <c r="AT428" s="301"/>
      <c r="AU428" s="301"/>
      <c r="AV428" s="301"/>
      <c r="AW428" s="301"/>
      <c r="AX428" s="301"/>
      <c r="AY428" s="301">
        <v>10000000</v>
      </c>
      <c r="AZ428" s="301"/>
      <c r="BA428" s="301"/>
      <c r="BB428" s="301"/>
      <c r="BC428" s="301"/>
      <c r="BD428" s="301"/>
      <c r="BE428" s="301"/>
      <c r="BF428" s="301"/>
      <c r="BG428" s="303"/>
      <c r="BH428" s="304"/>
    </row>
    <row r="429" spans="1:60" s="305" customFormat="1" ht="16.5" hidden="1" customHeight="1" x14ac:dyDescent="0.4">
      <c r="A429" s="285">
        <v>406</v>
      </c>
      <c r="B429" s="286"/>
      <c r="C429" s="286"/>
      <c r="D429" s="287" t="s">
        <v>92</v>
      </c>
      <c r="E429" s="287" t="s">
        <v>249</v>
      </c>
      <c r="F429" s="288" t="s">
        <v>92</v>
      </c>
      <c r="G429" s="289" t="s">
        <v>249</v>
      </c>
      <c r="H429" s="307"/>
      <c r="I429" s="290"/>
      <c r="J429" s="291" t="s">
        <v>591</v>
      </c>
      <c r="K429" s="287"/>
      <c r="L429" s="287"/>
      <c r="M429" s="287">
        <v>4994</v>
      </c>
      <c r="N429" s="287" t="s">
        <v>40</v>
      </c>
      <c r="O429" s="287" t="s">
        <v>43</v>
      </c>
      <c r="P429" s="287" t="s">
        <v>44</v>
      </c>
      <c r="Q429" s="287" t="s">
        <v>49</v>
      </c>
      <c r="R429" s="287" t="s">
        <v>563</v>
      </c>
      <c r="S429" s="292" t="s">
        <v>739</v>
      </c>
      <c r="T429" s="293"/>
      <c r="U429" s="294"/>
      <c r="V429" s="294"/>
      <c r="W429" s="295">
        <v>10500000</v>
      </c>
      <c r="X429" s="296"/>
      <c r="Y429" s="287" t="s">
        <v>28</v>
      </c>
      <c r="Z429" s="297" t="s">
        <v>25</v>
      </c>
      <c r="AA429" s="313"/>
      <c r="AB429" s="313"/>
      <c r="AC429" s="298">
        <f t="shared" si="16"/>
        <v>11000000</v>
      </c>
      <c r="AD429" s="298">
        <v>11000000</v>
      </c>
      <c r="AE429" s="298">
        <f t="shared" si="17"/>
        <v>0</v>
      </c>
      <c r="AF429" s="299"/>
      <c r="AG429" s="300"/>
      <c r="AH429" s="299"/>
      <c r="AI429" s="299"/>
      <c r="AJ429" s="300"/>
      <c r="AK429" s="299"/>
      <c r="AL429" s="301"/>
      <c r="AM429" s="314"/>
      <c r="AN429" s="301"/>
      <c r="AO429" s="302"/>
      <c r="AP429" s="301"/>
      <c r="AQ429" s="301"/>
      <c r="AR429" s="301"/>
      <c r="AS429" s="301"/>
      <c r="AT429" s="301"/>
      <c r="AU429" s="301"/>
      <c r="AV429" s="301"/>
      <c r="AW429" s="301"/>
      <c r="AX429" s="301"/>
      <c r="AY429" s="301"/>
      <c r="AZ429" s="301"/>
      <c r="BA429" s="301">
        <v>11000000</v>
      </c>
      <c r="BB429" s="301"/>
      <c r="BC429" s="301"/>
      <c r="BD429" s="301"/>
      <c r="BE429" s="301"/>
      <c r="BF429" s="301"/>
      <c r="BG429" s="303"/>
      <c r="BH429" s="304"/>
    </row>
    <row r="430" spans="1:60" s="305" customFormat="1" ht="16.5" hidden="1" customHeight="1" x14ac:dyDescent="0.4">
      <c r="A430" s="285">
        <v>407</v>
      </c>
      <c r="B430" s="286"/>
      <c r="C430" s="286"/>
      <c r="D430" s="287" t="s">
        <v>92</v>
      </c>
      <c r="E430" s="287" t="s">
        <v>249</v>
      </c>
      <c r="F430" s="288" t="s">
        <v>92</v>
      </c>
      <c r="G430" s="289" t="s">
        <v>249</v>
      </c>
      <c r="H430" s="307"/>
      <c r="I430" s="290"/>
      <c r="J430" s="291" t="s">
        <v>215</v>
      </c>
      <c r="K430" s="287"/>
      <c r="L430" s="287"/>
      <c r="M430" s="287">
        <v>60055</v>
      </c>
      <c r="N430" s="287" t="s">
        <v>40</v>
      </c>
      <c r="O430" s="287" t="s">
        <v>43</v>
      </c>
      <c r="P430" s="287"/>
      <c r="Q430" s="287" t="s">
        <v>48</v>
      </c>
      <c r="R430" s="287" t="s">
        <v>563</v>
      </c>
      <c r="S430" s="292" t="s">
        <v>739</v>
      </c>
      <c r="T430" s="293"/>
      <c r="U430" s="294"/>
      <c r="V430" s="294">
        <v>14140000</v>
      </c>
      <c r="W430" s="295"/>
      <c r="X430" s="296"/>
      <c r="Y430" s="287" t="s">
        <v>21</v>
      </c>
      <c r="Z430" s="297" t="s">
        <v>618</v>
      </c>
      <c r="AA430" s="313"/>
      <c r="AB430" s="313"/>
      <c r="AC430" s="298">
        <f t="shared" si="16"/>
        <v>0</v>
      </c>
      <c r="AD430" s="298">
        <v>0</v>
      </c>
      <c r="AE430" s="298">
        <f t="shared" si="17"/>
        <v>0</v>
      </c>
      <c r="AF430" s="299"/>
      <c r="AG430" s="300"/>
      <c r="AH430" s="299"/>
      <c r="AI430" s="299"/>
      <c r="AJ430" s="300"/>
      <c r="AK430" s="299"/>
      <c r="AL430" s="301"/>
      <c r="AM430" s="314"/>
      <c r="AN430" s="301"/>
      <c r="AO430" s="302"/>
      <c r="AP430" s="301"/>
      <c r="AQ430" s="301"/>
      <c r="AR430" s="301"/>
      <c r="AS430" s="301"/>
      <c r="AT430" s="301"/>
      <c r="AU430" s="301"/>
      <c r="AV430" s="301"/>
      <c r="AW430" s="301"/>
      <c r="AX430" s="301"/>
      <c r="AY430" s="301"/>
      <c r="AZ430" s="301"/>
      <c r="BA430" s="301"/>
      <c r="BB430" s="301"/>
      <c r="BC430" s="301"/>
      <c r="BD430" s="301"/>
      <c r="BE430" s="301"/>
      <c r="BF430" s="301"/>
      <c r="BG430" s="303"/>
      <c r="BH430" s="304"/>
    </row>
    <row r="431" spans="1:60" s="305" customFormat="1" ht="16.5" hidden="1" customHeight="1" x14ac:dyDescent="0.4">
      <c r="A431" s="285">
        <v>408</v>
      </c>
      <c r="B431" s="286"/>
      <c r="C431" s="286"/>
      <c r="D431" s="287" t="s">
        <v>92</v>
      </c>
      <c r="E431" s="287" t="s">
        <v>249</v>
      </c>
      <c r="F431" s="288" t="s">
        <v>92</v>
      </c>
      <c r="G431" s="289" t="s">
        <v>249</v>
      </c>
      <c r="H431" s="307"/>
      <c r="I431" s="290"/>
      <c r="J431" s="291" t="s">
        <v>510</v>
      </c>
      <c r="K431" s="287"/>
      <c r="L431" s="287"/>
      <c r="M431" s="287">
        <v>61682</v>
      </c>
      <c r="N431" s="287" t="s">
        <v>23</v>
      </c>
      <c r="O431" s="287" t="s">
        <v>43</v>
      </c>
      <c r="P431" s="287"/>
      <c r="Q431" s="287"/>
      <c r="R431" s="287" t="s">
        <v>29</v>
      </c>
      <c r="S431" s="292" t="s">
        <v>29</v>
      </c>
      <c r="T431" s="293" t="s">
        <v>798</v>
      </c>
      <c r="U431" s="294"/>
      <c r="V431" s="294">
        <v>0</v>
      </c>
      <c r="W431" s="295">
        <v>134497700</v>
      </c>
      <c r="X431" s="296"/>
      <c r="Y431" s="287" t="s">
        <v>28</v>
      </c>
      <c r="Z431" s="297" t="s">
        <v>28</v>
      </c>
      <c r="AA431" s="313"/>
      <c r="AB431" s="313"/>
      <c r="AC431" s="298">
        <f t="shared" si="16"/>
        <v>139543370</v>
      </c>
      <c r="AD431" s="298">
        <v>139543370</v>
      </c>
      <c r="AE431" s="298">
        <f t="shared" si="17"/>
        <v>0</v>
      </c>
      <c r="AF431" s="299">
        <v>19658750</v>
      </c>
      <c r="AG431" s="300">
        <v>19726750</v>
      </c>
      <c r="AH431" s="299"/>
      <c r="AI431" s="299">
        <v>8821060</v>
      </c>
      <c r="AJ431" s="300">
        <v>8934460</v>
      </c>
      <c r="AK431" s="299"/>
      <c r="AL431" s="301"/>
      <c r="AM431" s="314">
        <v>11882160</v>
      </c>
      <c r="AN431" s="301"/>
      <c r="AO431" s="302">
        <v>11000000</v>
      </c>
      <c r="AP431" s="301"/>
      <c r="AQ431" s="301">
        <v>11000000</v>
      </c>
      <c r="AR431" s="301"/>
      <c r="AS431" s="301">
        <v>11000000</v>
      </c>
      <c r="AT431" s="301"/>
      <c r="AU431" s="301">
        <v>11000000</v>
      </c>
      <c r="AV431" s="301"/>
      <c r="AW431" s="301">
        <v>11000000</v>
      </c>
      <c r="AX431" s="301"/>
      <c r="AY431" s="301">
        <v>11000000</v>
      </c>
      <c r="AZ431" s="301"/>
      <c r="BA431" s="301">
        <v>11000000</v>
      </c>
      <c r="BB431" s="301"/>
      <c r="BC431" s="301">
        <v>11000000</v>
      </c>
      <c r="BD431" s="301"/>
      <c r="BE431" s="301">
        <v>11000000</v>
      </c>
      <c r="BF431" s="301"/>
      <c r="BG431" s="303"/>
      <c r="BH431" s="304"/>
    </row>
    <row r="432" spans="1:60" s="305" customFormat="1" ht="16.5" hidden="1" customHeight="1" x14ac:dyDescent="0.4">
      <c r="A432" s="285">
        <v>409</v>
      </c>
      <c r="B432" s="286"/>
      <c r="C432" s="286"/>
      <c r="D432" s="287" t="s">
        <v>92</v>
      </c>
      <c r="E432" s="287" t="s">
        <v>249</v>
      </c>
      <c r="F432" s="288" t="s">
        <v>92</v>
      </c>
      <c r="G432" s="289" t="s">
        <v>249</v>
      </c>
      <c r="H432" s="307"/>
      <c r="I432" s="290"/>
      <c r="J432" s="291" t="s">
        <v>510</v>
      </c>
      <c r="K432" s="287"/>
      <c r="L432" s="287"/>
      <c r="M432" s="287">
        <v>61682</v>
      </c>
      <c r="N432" s="287" t="s">
        <v>23</v>
      </c>
      <c r="O432" s="287" t="s">
        <v>43</v>
      </c>
      <c r="P432" s="287" t="s">
        <v>44</v>
      </c>
      <c r="Q432" s="287" t="s">
        <v>30</v>
      </c>
      <c r="R432" s="287" t="s">
        <v>31</v>
      </c>
      <c r="S432" s="292" t="s">
        <v>31</v>
      </c>
      <c r="T432" s="293"/>
      <c r="U432" s="294">
        <v>200000</v>
      </c>
      <c r="V432" s="294">
        <v>0</v>
      </c>
      <c r="W432" s="295">
        <v>6625660</v>
      </c>
      <c r="X432" s="296"/>
      <c r="Y432" s="287" t="s">
        <v>28</v>
      </c>
      <c r="Z432" s="297" t="s">
        <v>618</v>
      </c>
      <c r="AA432" s="313"/>
      <c r="AB432" s="313"/>
      <c r="AC432" s="298">
        <f t="shared" si="16"/>
        <v>0</v>
      </c>
      <c r="AD432" s="298">
        <v>0</v>
      </c>
      <c r="AE432" s="298">
        <f t="shared" si="17"/>
        <v>0</v>
      </c>
      <c r="AF432" s="299"/>
      <c r="AG432" s="300"/>
      <c r="AH432" s="299"/>
      <c r="AI432" s="299"/>
      <c r="AJ432" s="300"/>
      <c r="AK432" s="299"/>
      <c r="AL432" s="301"/>
      <c r="AM432" s="314"/>
      <c r="AN432" s="301"/>
      <c r="AO432" s="302"/>
      <c r="AP432" s="301"/>
      <c r="AQ432" s="301"/>
      <c r="AR432" s="301"/>
      <c r="AS432" s="301"/>
      <c r="AT432" s="301"/>
      <c r="AU432" s="301"/>
      <c r="AV432" s="301"/>
      <c r="AW432" s="301"/>
      <c r="AX432" s="301"/>
      <c r="AY432" s="301"/>
      <c r="AZ432" s="301"/>
      <c r="BA432" s="301"/>
      <c r="BB432" s="301"/>
      <c r="BC432" s="301"/>
      <c r="BD432" s="301"/>
      <c r="BE432" s="301"/>
      <c r="BF432" s="301"/>
      <c r="BG432" s="303"/>
      <c r="BH432" s="304"/>
    </row>
    <row r="433" spans="1:60" s="305" customFormat="1" ht="16.5" hidden="1" customHeight="1" x14ac:dyDescent="0.4">
      <c r="A433" s="285">
        <v>410</v>
      </c>
      <c r="B433" s="286"/>
      <c r="C433" s="286"/>
      <c r="D433" s="287" t="s">
        <v>92</v>
      </c>
      <c r="E433" s="287" t="s">
        <v>249</v>
      </c>
      <c r="F433" s="288" t="s">
        <v>92</v>
      </c>
      <c r="G433" s="289" t="s">
        <v>249</v>
      </c>
      <c r="H433" s="307"/>
      <c r="I433" s="290"/>
      <c r="J433" s="291" t="s">
        <v>510</v>
      </c>
      <c r="K433" s="287"/>
      <c r="L433" s="287"/>
      <c r="M433" s="287">
        <v>61682</v>
      </c>
      <c r="N433" s="287" t="s">
        <v>23</v>
      </c>
      <c r="O433" s="287" t="s">
        <v>33</v>
      </c>
      <c r="P433" s="287"/>
      <c r="Q433" s="287"/>
      <c r="R433" s="287" t="s">
        <v>349</v>
      </c>
      <c r="S433" s="292" t="s">
        <v>349</v>
      </c>
      <c r="T433" s="293"/>
      <c r="U433" s="294"/>
      <c r="V433" s="294">
        <v>0</v>
      </c>
      <c r="W433" s="295"/>
      <c r="X433" s="296"/>
      <c r="Y433" s="287" t="s">
        <v>26</v>
      </c>
      <c r="Z433" s="297" t="s">
        <v>26</v>
      </c>
      <c r="AA433" s="313"/>
      <c r="AB433" s="313"/>
      <c r="AC433" s="298">
        <f t="shared" si="16"/>
        <v>10000000</v>
      </c>
      <c r="AD433" s="298">
        <v>10000000</v>
      </c>
      <c r="AE433" s="298">
        <f t="shared" si="17"/>
        <v>0</v>
      </c>
      <c r="AF433" s="299"/>
      <c r="AG433" s="300"/>
      <c r="AH433" s="299"/>
      <c r="AI433" s="299"/>
      <c r="AJ433" s="300"/>
      <c r="AK433" s="299"/>
      <c r="AL433" s="301"/>
      <c r="AM433" s="314"/>
      <c r="AN433" s="301"/>
      <c r="AO433" s="302"/>
      <c r="AP433" s="301"/>
      <c r="AQ433" s="301"/>
      <c r="AR433" s="301"/>
      <c r="AS433" s="301">
        <v>10000000</v>
      </c>
      <c r="AT433" s="301"/>
      <c r="AU433" s="301"/>
      <c r="AV433" s="301"/>
      <c r="AW433" s="301"/>
      <c r="AX433" s="301"/>
      <c r="AY433" s="301"/>
      <c r="AZ433" s="301"/>
      <c r="BA433" s="301"/>
      <c r="BB433" s="301"/>
      <c r="BC433" s="301"/>
      <c r="BD433" s="301"/>
      <c r="BE433" s="301"/>
      <c r="BF433" s="301"/>
      <c r="BG433" s="303"/>
      <c r="BH433" s="304"/>
    </row>
    <row r="434" spans="1:60" s="305" customFormat="1" ht="16.5" hidden="1" customHeight="1" x14ac:dyDescent="0.4">
      <c r="A434" s="285">
        <v>411</v>
      </c>
      <c r="B434" s="286"/>
      <c r="C434" s="286"/>
      <c r="D434" s="287" t="s">
        <v>92</v>
      </c>
      <c r="E434" s="287" t="s">
        <v>249</v>
      </c>
      <c r="F434" s="288" t="s">
        <v>92</v>
      </c>
      <c r="G434" s="289" t="s">
        <v>249</v>
      </c>
      <c r="H434" s="307"/>
      <c r="I434" s="290"/>
      <c r="J434" s="291" t="s">
        <v>510</v>
      </c>
      <c r="K434" s="287"/>
      <c r="L434" s="287"/>
      <c r="M434" s="287">
        <v>61682</v>
      </c>
      <c r="N434" s="287" t="s">
        <v>23</v>
      </c>
      <c r="O434" s="287" t="s">
        <v>33</v>
      </c>
      <c r="P434" s="287"/>
      <c r="Q434" s="287"/>
      <c r="R434" s="287" t="s">
        <v>346</v>
      </c>
      <c r="S434" s="292" t="s">
        <v>752</v>
      </c>
      <c r="T434" s="293"/>
      <c r="U434" s="294"/>
      <c r="V434" s="294">
        <v>0</v>
      </c>
      <c r="W434" s="295"/>
      <c r="X434" s="296"/>
      <c r="Y434" s="287" t="s">
        <v>25</v>
      </c>
      <c r="Z434" s="297" t="s">
        <v>26</v>
      </c>
      <c r="AA434" s="313"/>
      <c r="AB434" s="313"/>
      <c r="AC434" s="298">
        <f t="shared" si="16"/>
        <v>5000000</v>
      </c>
      <c r="AD434" s="298">
        <v>5000000</v>
      </c>
      <c r="AE434" s="298">
        <f t="shared" si="17"/>
        <v>0</v>
      </c>
      <c r="AF434" s="299"/>
      <c r="AG434" s="300"/>
      <c r="AH434" s="299"/>
      <c r="AI434" s="299"/>
      <c r="AJ434" s="300"/>
      <c r="AK434" s="299"/>
      <c r="AL434" s="301"/>
      <c r="AM434" s="314"/>
      <c r="AN434" s="301"/>
      <c r="AO434" s="302"/>
      <c r="AP434" s="301"/>
      <c r="AQ434" s="301"/>
      <c r="AR434" s="301"/>
      <c r="AS434" s="301"/>
      <c r="AT434" s="301"/>
      <c r="AU434" s="301"/>
      <c r="AV434" s="301"/>
      <c r="AW434" s="301"/>
      <c r="AX434" s="301"/>
      <c r="AY434" s="301"/>
      <c r="AZ434" s="301"/>
      <c r="BA434" s="301">
        <v>5000000</v>
      </c>
      <c r="BB434" s="301"/>
      <c r="BC434" s="301"/>
      <c r="BD434" s="301"/>
      <c r="BE434" s="301"/>
      <c r="BF434" s="301"/>
      <c r="BG434" s="303"/>
      <c r="BH434" s="304"/>
    </row>
    <row r="435" spans="1:60" s="305" customFormat="1" ht="16.5" hidden="1" customHeight="1" x14ac:dyDescent="0.4">
      <c r="A435" s="285">
        <v>412</v>
      </c>
      <c r="B435" s="286"/>
      <c r="C435" s="286"/>
      <c r="D435" s="287" t="s">
        <v>92</v>
      </c>
      <c r="E435" s="287" t="s">
        <v>249</v>
      </c>
      <c r="F435" s="288" t="s">
        <v>92</v>
      </c>
      <c r="G435" s="289" t="s">
        <v>249</v>
      </c>
      <c r="H435" s="307"/>
      <c r="I435" s="290"/>
      <c r="J435" s="291" t="s">
        <v>510</v>
      </c>
      <c r="K435" s="287"/>
      <c r="L435" s="287"/>
      <c r="M435" s="287">
        <v>61682</v>
      </c>
      <c r="N435" s="287" t="s">
        <v>23</v>
      </c>
      <c r="O435" s="287" t="s">
        <v>43</v>
      </c>
      <c r="P435" s="287" t="s">
        <v>44</v>
      </c>
      <c r="Q435" s="287"/>
      <c r="R435" s="287" t="s">
        <v>338</v>
      </c>
      <c r="S435" s="292" t="s">
        <v>753</v>
      </c>
      <c r="T435" s="293"/>
      <c r="U435" s="294"/>
      <c r="V435" s="294">
        <v>0</v>
      </c>
      <c r="W435" s="295">
        <v>10119070</v>
      </c>
      <c r="X435" s="296"/>
      <c r="Y435" s="287" t="s">
        <v>28</v>
      </c>
      <c r="Z435" s="297" t="s">
        <v>28</v>
      </c>
      <c r="AA435" s="313"/>
      <c r="AB435" s="313"/>
      <c r="AC435" s="298">
        <f t="shared" si="16"/>
        <v>6988695</v>
      </c>
      <c r="AD435" s="298">
        <v>6988695</v>
      </c>
      <c r="AE435" s="298">
        <f t="shared" si="17"/>
        <v>0</v>
      </c>
      <c r="AF435" s="299">
        <v>548550</v>
      </c>
      <c r="AG435" s="300">
        <v>548550</v>
      </c>
      <c r="AH435" s="299"/>
      <c r="AI435" s="299">
        <v>558090</v>
      </c>
      <c r="AJ435" s="300">
        <v>558090</v>
      </c>
      <c r="AK435" s="299"/>
      <c r="AL435" s="301"/>
      <c r="AM435" s="314">
        <v>398880</v>
      </c>
      <c r="AN435" s="301"/>
      <c r="AO435" s="302">
        <v>500000</v>
      </c>
      <c r="AP435" s="301"/>
      <c r="AQ435" s="301">
        <v>500000</v>
      </c>
      <c r="AR435" s="301"/>
      <c r="AS435" s="301">
        <v>500000</v>
      </c>
      <c r="AT435" s="301"/>
      <c r="AU435" s="301">
        <v>500000</v>
      </c>
      <c r="AV435" s="301"/>
      <c r="AW435" s="301">
        <v>500000</v>
      </c>
      <c r="AX435" s="301"/>
      <c r="AY435" s="301">
        <v>500000</v>
      </c>
      <c r="AZ435" s="301"/>
      <c r="BA435" s="301">
        <v>500000</v>
      </c>
      <c r="BB435" s="301"/>
      <c r="BC435" s="301">
        <v>983175</v>
      </c>
      <c r="BD435" s="301"/>
      <c r="BE435" s="301">
        <v>1000000</v>
      </c>
      <c r="BF435" s="301"/>
      <c r="BG435" s="303"/>
      <c r="BH435" s="304"/>
    </row>
    <row r="436" spans="1:60" s="305" customFormat="1" ht="16.5" hidden="1" customHeight="1" x14ac:dyDescent="0.4">
      <c r="A436" s="285">
        <v>413</v>
      </c>
      <c r="B436" s="286"/>
      <c r="C436" s="286"/>
      <c r="D436" s="287" t="s">
        <v>92</v>
      </c>
      <c r="E436" s="287" t="s">
        <v>249</v>
      </c>
      <c r="F436" s="288" t="s">
        <v>92</v>
      </c>
      <c r="G436" s="289" t="s">
        <v>249</v>
      </c>
      <c r="H436" s="307"/>
      <c r="I436" s="290"/>
      <c r="J436" s="291" t="s">
        <v>491</v>
      </c>
      <c r="K436" s="287"/>
      <c r="L436" s="287"/>
      <c r="M436" s="287">
        <v>28925</v>
      </c>
      <c r="N436" s="287" t="s">
        <v>23</v>
      </c>
      <c r="O436" s="287" t="s">
        <v>43</v>
      </c>
      <c r="P436" s="287" t="s">
        <v>44</v>
      </c>
      <c r="Q436" s="287" t="s">
        <v>30</v>
      </c>
      <c r="R436" s="287" t="s">
        <v>31</v>
      </c>
      <c r="S436" s="292" t="s">
        <v>31</v>
      </c>
      <c r="T436" s="293"/>
      <c r="U436" s="294">
        <v>740000</v>
      </c>
      <c r="V436" s="294">
        <v>2810000</v>
      </c>
      <c r="W436" s="295">
        <v>1760000</v>
      </c>
      <c r="X436" s="296"/>
      <c r="Y436" s="287" t="s">
        <v>25</v>
      </c>
      <c r="Z436" s="297" t="s">
        <v>28</v>
      </c>
      <c r="AA436" s="313"/>
      <c r="AB436" s="313"/>
      <c r="AC436" s="298">
        <f t="shared" si="16"/>
        <v>3000000</v>
      </c>
      <c r="AD436" s="298">
        <v>3000000</v>
      </c>
      <c r="AE436" s="298">
        <f t="shared" si="17"/>
        <v>0</v>
      </c>
      <c r="AF436" s="299"/>
      <c r="AG436" s="300"/>
      <c r="AH436" s="299"/>
      <c r="AI436" s="299"/>
      <c r="AJ436" s="300"/>
      <c r="AK436" s="299"/>
      <c r="AL436" s="301"/>
      <c r="AM436" s="314"/>
      <c r="AN436" s="301"/>
      <c r="AO436" s="302"/>
      <c r="AP436" s="301"/>
      <c r="AQ436" s="301"/>
      <c r="AR436" s="301"/>
      <c r="AS436" s="301"/>
      <c r="AT436" s="301"/>
      <c r="AU436" s="301"/>
      <c r="AV436" s="301"/>
      <c r="AW436" s="301"/>
      <c r="AX436" s="301"/>
      <c r="AY436" s="301">
        <v>3000000</v>
      </c>
      <c r="AZ436" s="301"/>
      <c r="BA436" s="301"/>
      <c r="BB436" s="301"/>
      <c r="BC436" s="301"/>
      <c r="BD436" s="301"/>
      <c r="BE436" s="301"/>
      <c r="BF436" s="301"/>
      <c r="BG436" s="303"/>
      <c r="BH436" s="304"/>
    </row>
    <row r="437" spans="1:60" s="305" customFormat="1" ht="16.5" hidden="1" customHeight="1" x14ac:dyDescent="0.4">
      <c r="A437" s="285">
        <v>414</v>
      </c>
      <c r="B437" s="286"/>
      <c r="C437" s="286"/>
      <c r="D437" s="287" t="s">
        <v>92</v>
      </c>
      <c r="E437" s="287" t="s">
        <v>249</v>
      </c>
      <c r="F437" s="288" t="s">
        <v>92</v>
      </c>
      <c r="G437" s="289" t="s">
        <v>249</v>
      </c>
      <c r="H437" s="307"/>
      <c r="I437" s="290"/>
      <c r="J437" s="291" t="s">
        <v>494</v>
      </c>
      <c r="K437" s="287"/>
      <c r="L437" s="287"/>
      <c r="M437" s="287">
        <v>30706</v>
      </c>
      <c r="N437" s="287" t="s">
        <v>40</v>
      </c>
      <c r="O437" s="287" t="s">
        <v>43</v>
      </c>
      <c r="P437" s="287" t="s">
        <v>44</v>
      </c>
      <c r="Q437" s="287" t="s">
        <v>19</v>
      </c>
      <c r="R437" s="287" t="s">
        <v>20</v>
      </c>
      <c r="S437" s="292" t="s">
        <v>20</v>
      </c>
      <c r="T437" s="293"/>
      <c r="U437" s="294">
        <v>3190000</v>
      </c>
      <c r="V437" s="294">
        <v>2686500</v>
      </c>
      <c r="W437" s="295">
        <v>2487500</v>
      </c>
      <c r="X437" s="296"/>
      <c r="Y437" s="287" t="s">
        <v>28</v>
      </c>
      <c r="Z437" s="297" t="s">
        <v>28</v>
      </c>
      <c r="AA437" s="313"/>
      <c r="AB437" s="313"/>
      <c r="AC437" s="298">
        <f t="shared" si="16"/>
        <v>3000000</v>
      </c>
      <c r="AD437" s="298">
        <v>3000000</v>
      </c>
      <c r="AE437" s="298">
        <f t="shared" si="17"/>
        <v>0</v>
      </c>
      <c r="AF437" s="299"/>
      <c r="AG437" s="300"/>
      <c r="AH437" s="299"/>
      <c r="AI437" s="299"/>
      <c r="AJ437" s="300"/>
      <c r="AK437" s="299"/>
      <c r="AL437" s="301"/>
      <c r="AM437" s="314"/>
      <c r="AN437" s="301"/>
      <c r="AO437" s="302"/>
      <c r="AP437" s="301"/>
      <c r="AQ437" s="301">
        <v>3000000</v>
      </c>
      <c r="AR437" s="301"/>
      <c r="AS437" s="301"/>
      <c r="AT437" s="301"/>
      <c r="AU437" s="301"/>
      <c r="AV437" s="301"/>
      <c r="AW437" s="301"/>
      <c r="AX437" s="301"/>
      <c r="AY437" s="301"/>
      <c r="AZ437" s="301"/>
      <c r="BA437" s="301"/>
      <c r="BB437" s="301"/>
      <c r="BC437" s="301"/>
      <c r="BD437" s="301"/>
      <c r="BE437" s="301"/>
      <c r="BF437" s="301"/>
      <c r="BG437" s="303"/>
      <c r="BH437" s="304"/>
    </row>
    <row r="438" spans="1:60" s="305" customFormat="1" ht="16.5" hidden="1" customHeight="1" x14ac:dyDescent="0.4">
      <c r="A438" s="285">
        <v>415</v>
      </c>
      <c r="B438" s="286"/>
      <c r="C438" s="286"/>
      <c r="D438" s="287" t="s">
        <v>92</v>
      </c>
      <c r="E438" s="287" t="s">
        <v>249</v>
      </c>
      <c r="F438" s="288" t="s">
        <v>92</v>
      </c>
      <c r="G438" s="289" t="s">
        <v>249</v>
      </c>
      <c r="H438" s="307"/>
      <c r="I438" s="290"/>
      <c r="J438" s="291" t="s">
        <v>494</v>
      </c>
      <c r="K438" s="287"/>
      <c r="L438" s="287"/>
      <c r="M438" s="287">
        <v>30706</v>
      </c>
      <c r="N438" s="287" t="s">
        <v>40</v>
      </c>
      <c r="O438" s="287" t="s">
        <v>43</v>
      </c>
      <c r="P438" s="287" t="s">
        <v>44</v>
      </c>
      <c r="Q438" s="287" t="s">
        <v>27</v>
      </c>
      <c r="R438" s="287" t="s">
        <v>340</v>
      </c>
      <c r="S438" s="292" t="s">
        <v>340</v>
      </c>
      <c r="T438" s="293"/>
      <c r="U438" s="294"/>
      <c r="V438" s="294">
        <v>3850000</v>
      </c>
      <c r="W438" s="295">
        <v>3500000</v>
      </c>
      <c r="X438" s="296"/>
      <c r="Y438" s="287" t="s">
        <v>28</v>
      </c>
      <c r="Z438" s="297" t="s">
        <v>25</v>
      </c>
      <c r="AA438" s="313"/>
      <c r="AB438" s="313"/>
      <c r="AC438" s="298">
        <f t="shared" si="16"/>
        <v>2000000</v>
      </c>
      <c r="AD438" s="298">
        <v>2000000</v>
      </c>
      <c r="AE438" s="298">
        <f t="shared" si="17"/>
        <v>0</v>
      </c>
      <c r="AF438" s="299"/>
      <c r="AG438" s="300"/>
      <c r="AH438" s="299"/>
      <c r="AI438" s="299">
        <v>2000000</v>
      </c>
      <c r="AJ438" s="300"/>
      <c r="AK438" s="299"/>
      <c r="AL438" s="301"/>
      <c r="AM438" s="314"/>
      <c r="AN438" s="301"/>
      <c r="AO438" s="302"/>
      <c r="AP438" s="301"/>
      <c r="AQ438" s="301"/>
      <c r="AR438" s="301"/>
      <c r="AS438" s="301"/>
      <c r="AT438" s="301"/>
      <c r="AU438" s="301"/>
      <c r="AV438" s="301"/>
      <c r="AW438" s="301">
        <v>2000000</v>
      </c>
      <c r="AX438" s="301"/>
      <c r="AY438" s="301"/>
      <c r="AZ438" s="301"/>
      <c r="BA438" s="301"/>
      <c r="BB438" s="301"/>
      <c r="BC438" s="301"/>
      <c r="BD438" s="301"/>
      <c r="BE438" s="301"/>
      <c r="BF438" s="301"/>
      <c r="BG438" s="303"/>
      <c r="BH438" s="304"/>
    </row>
    <row r="439" spans="1:60" s="305" customFormat="1" ht="16.5" hidden="1" customHeight="1" x14ac:dyDescent="0.4">
      <c r="A439" s="285">
        <v>416</v>
      </c>
      <c r="B439" s="286"/>
      <c r="C439" s="286"/>
      <c r="D439" s="287" t="s">
        <v>92</v>
      </c>
      <c r="E439" s="287" t="s">
        <v>249</v>
      </c>
      <c r="F439" s="288" t="s">
        <v>92</v>
      </c>
      <c r="G439" s="289" t="s">
        <v>249</v>
      </c>
      <c r="H439" s="307"/>
      <c r="I439" s="290"/>
      <c r="J439" s="291" t="s">
        <v>253</v>
      </c>
      <c r="K439" s="287"/>
      <c r="L439" s="287"/>
      <c r="M439" s="287">
        <v>60189</v>
      </c>
      <c r="N439" s="287" t="s">
        <v>40</v>
      </c>
      <c r="O439" s="287" t="s">
        <v>43</v>
      </c>
      <c r="P439" s="287"/>
      <c r="Q439" s="287" t="s">
        <v>48</v>
      </c>
      <c r="R439" s="287" t="s">
        <v>685</v>
      </c>
      <c r="S439" s="292" t="s">
        <v>739</v>
      </c>
      <c r="T439" s="293"/>
      <c r="U439" s="294"/>
      <c r="V439" s="294">
        <v>0</v>
      </c>
      <c r="W439" s="295"/>
      <c r="X439" s="296"/>
      <c r="Y439" s="287" t="s">
        <v>21</v>
      </c>
      <c r="Z439" s="297" t="s">
        <v>618</v>
      </c>
      <c r="AA439" s="313"/>
      <c r="AB439" s="313"/>
      <c r="AC439" s="298">
        <f t="shared" si="16"/>
        <v>0</v>
      </c>
      <c r="AD439" s="298">
        <v>0</v>
      </c>
      <c r="AE439" s="298">
        <f t="shared" si="17"/>
        <v>0</v>
      </c>
      <c r="AF439" s="299"/>
      <c r="AG439" s="300"/>
      <c r="AH439" s="299"/>
      <c r="AI439" s="299"/>
      <c r="AJ439" s="300"/>
      <c r="AK439" s="299"/>
      <c r="AL439" s="301"/>
      <c r="AM439" s="314"/>
      <c r="AN439" s="301"/>
      <c r="AO439" s="302"/>
      <c r="AP439" s="301"/>
      <c r="AQ439" s="301"/>
      <c r="AR439" s="301"/>
      <c r="AS439" s="301"/>
      <c r="AT439" s="301"/>
      <c r="AU439" s="301"/>
      <c r="AV439" s="301"/>
      <c r="AW439" s="301"/>
      <c r="AX439" s="301"/>
      <c r="AY439" s="301"/>
      <c r="AZ439" s="301"/>
      <c r="BA439" s="301"/>
      <c r="BB439" s="301"/>
      <c r="BC439" s="301"/>
      <c r="BD439" s="301"/>
      <c r="BE439" s="301"/>
      <c r="BF439" s="301"/>
      <c r="BG439" s="303"/>
      <c r="BH439" s="304"/>
    </row>
    <row r="440" spans="1:60" s="305" customFormat="1" ht="16.5" hidden="1" customHeight="1" x14ac:dyDescent="0.4">
      <c r="A440" s="285">
        <v>417</v>
      </c>
      <c r="B440" s="286"/>
      <c r="C440" s="286"/>
      <c r="D440" s="287" t="s">
        <v>92</v>
      </c>
      <c r="E440" s="287" t="s">
        <v>249</v>
      </c>
      <c r="F440" s="288" t="s">
        <v>92</v>
      </c>
      <c r="G440" s="289" t="s">
        <v>249</v>
      </c>
      <c r="H440" s="307"/>
      <c r="I440" s="290"/>
      <c r="J440" s="291" t="s">
        <v>77</v>
      </c>
      <c r="K440" s="287"/>
      <c r="L440" s="287"/>
      <c r="M440" s="287">
        <v>10065</v>
      </c>
      <c r="N440" s="287" t="s">
        <v>35</v>
      </c>
      <c r="O440" s="287" t="s">
        <v>43</v>
      </c>
      <c r="P440" s="287"/>
      <c r="Q440" s="287" t="s">
        <v>49</v>
      </c>
      <c r="R440" s="287" t="s">
        <v>29</v>
      </c>
      <c r="S440" s="292" t="s">
        <v>29</v>
      </c>
      <c r="T440" s="293"/>
      <c r="U440" s="294">
        <v>220143958</v>
      </c>
      <c r="V440" s="294">
        <v>216620206</v>
      </c>
      <c r="W440" s="295">
        <v>216673200</v>
      </c>
      <c r="X440" s="296"/>
      <c r="Y440" s="287" t="s">
        <v>28</v>
      </c>
      <c r="Z440" s="297" t="s">
        <v>28</v>
      </c>
      <c r="AA440" s="313"/>
      <c r="AB440" s="313"/>
      <c r="AC440" s="298">
        <f t="shared" si="16"/>
        <v>220817236</v>
      </c>
      <c r="AD440" s="298">
        <v>220817236</v>
      </c>
      <c r="AE440" s="298">
        <f t="shared" si="17"/>
        <v>0</v>
      </c>
      <c r="AF440" s="299">
        <v>23359800</v>
      </c>
      <c r="AG440" s="300">
        <v>23359800</v>
      </c>
      <c r="AH440" s="299" t="s">
        <v>762</v>
      </c>
      <c r="AI440" s="299">
        <v>18068000</v>
      </c>
      <c r="AJ440" s="300">
        <v>17251818</v>
      </c>
      <c r="AK440" s="299"/>
      <c r="AL440" s="301"/>
      <c r="AM440" s="314">
        <v>18205618</v>
      </c>
      <c r="AN440" s="301"/>
      <c r="AO440" s="302">
        <v>18000000</v>
      </c>
      <c r="AP440" s="301"/>
      <c r="AQ440" s="301">
        <v>18000000</v>
      </c>
      <c r="AR440" s="301"/>
      <c r="AS440" s="301">
        <v>18000000</v>
      </c>
      <c r="AT440" s="301"/>
      <c r="AU440" s="301">
        <v>18000000</v>
      </c>
      <c r="AV440" s="301"/>
      <c r="AW440" s="301">
        <v>18000000</v>
      </c>
      <c r="AX440" s="301"/>
      <c r="AY440" s="301">
        <v>18000000</v>
      </c>
      <c r="AZ440" s="301"/>
      <c r="BA440" s="301">
        <v>18000000</v>
      </c>
      <c r="BB440" s="301"/>
      <c r="BC440" s="301">
        <v>18000000</v>
      </c>
      <c r="BD440" s="301"/>
      <c r="BE440" s="301">
        <v>18000000</v>
      </c>
      <c r="BF440" s="301"/>
      <c r="BG440" s="303"/>
      <c r="BH440" s="304"/>
    </row>
    <row r="441" spans="1:60" s="305" customFormat="1" ht="16.5" hidden="1" customHeight="1" x14ac:dyDescent="0.4">
      <c r="A441" s="285">
        <v>418</v>
      </c>
      <c r="B441" s="286"/>
      <c r="C441" s="286"/>
      <c r="D441" s="287" t="s">
        <v>92</v>
      </c>
      <c r="E441" s="287" t="s">
        <v>249</v>
      </c>
      <c r="F441" s="288" t="s">
        <v>92</v>
      </c>
      <c r="G441" s="289" t="s">
        <v>249</v>
      </c>
      <c r="H441" s="307"/>
      <c r="I441" s="290"/>
      <c r="J441" s="291" t="s">
        <v>77</v>
      </c>
      <c r="K441" s="287"/>
      <c r="L441" s="287"/>
      <c r="M441" s="287">
        <v>10065</v>
      </c>
      <c r="N441" s="287" t="s">
        <v>35</v>
      </c>
      <c r="O441" s="287" t="s">
        <v>33</v>
      </c>
      <c r="P441" s="287"/>
      <c r="Q441" s="287"/>
      <c r="R441" s="287"/>
      <c r="S441" s="292" t="s">
        <v>31</v>
      </c>
      <c r="T441" s="293"/>
      <c r="U441" s="294"/>
      <c r="V441" s="294"/>
      <c r="W441" s="295"/>
      <c r="X441" s="296"/>
      <c r="Y441" s="287"/>
      <c r="Z441" s="297" t="s">
        <v>544</v>
      </c>
      <c r="AA441" s="313"/>
      <c r="AB441" s="313"/>
      <c r="AC441" s="298">
        <f t="shared" si="16"/>
        <v>15000000</v>
      </c>
      <c r="AD441" s="298">
        <v>15000000</v>
      </c>
      <c r="AE441" s="298">
        <f t="shared" si="17"/>
        <v>0</v>
      </c>
      <c r="AF441" s="299"/>
      <c r="AG441" s="300"/>
      <c r="AH441" s="299"/>
      <c r="AI441" s="299">
        <v>15000000</v>
      </c>
      <c r="AJ441" s="300"/>
      <c r="AK441" s="299"/>
      <c r="AL441" s="301"/>
      <c r="AM441" s="314"/>
      <c r="AN441" s="301"/>
      <c r="AO441" s="302"/>
      <c r="AP441" s="301"/>
      <c r="AQ441" s="301"/>
      <c r="AR441" s="301"/>
      <c r="AS441" s="301"/>
      <c r="AT441" s="301"/>
      <c r="AU441" s="301"/>
      <c r="AV441" s="301"/>
      <c r="AW441" s="301">
        <v>15000000</v>
      </c>
      <c r="AX441" s="301"/>
      <c r="AY441" s="301"/>
      <c r="AZ441" s="301"/>
      <c r="BA441" s="301"/>
      <c r="BB441" s="301"/>
      <c r="BC441" s="301"/>
      <c r="BD441" s="301"/>
      <c r="BE441" s="301"/>
      <c r="BF441" s="301"/>
      <c r="BG441" s="303"/>
      <c r="BH441" s="304"/>
    </row>
    <row r="442" spans="1:60" s="305" customFormat="1" ht="16.5" hidden="1" customHeight="1" x14ac:dyDescent="0.4">
      <c r="A442" s="285">
        <v>419</v>
      </c>
      <c r="B442" s="286"/>
      <c r="C442" s="286"/>
      <c r="D442" s="287" t="s">
        <v>92</v>
      </c>
      <c r="E442" s="287" t="s">
        <v>249</v>
      </c>
      <c r="F442" s="288" t="s">
        <v>92</v>
      </c>
      <c r="G442" s="289" t="s">
        <v>249</v>
      </c>
      <c r="H442" s="307"/>
      <c r="I442" s="290"/>
      <c r="J442" s="291" t="s">
        <v>77</v>
      </c>
      <c r="K442" s="287"/>
      <c r="L442" s="287"/>
      <c r="M442" s="287">
        <v>10065</v>
      </c>
      <c r="N442" s="287" t="s">
        <v>35</v>
      </c>
      <c r="O442" s="287" t="s">
        <v>33</v>
      </c>
      <c r="P442" s="287"/>
      <c r="Q442" s="287"/>
      <c r="R442" s="287"/>
      <c r="S442" s="292" t="s">
        <v>340</v>
      </c>
      <c r="T442" s="293"/>
      <c r="U442" s="294"/>
      <c r="V442" s="294"/>
      <c r="W442" s="295"/>
      <c r="X442" s="296"/>
      <c r="Y442" s="287"/>
      <c r="Z442" s="297" t="s">
        <v>56</v>
      </c>
      <c r="AA442" s="313"/>
      <c r="AB442" s="313"/>
      <c r="AC442" s="298">
        <f t="shared" si="16"/>
        <v>150000000</v>
      </c>
      <c r="AD442" s="298">
        <v>150000000</v>
      </c>
      <c r="AE442" s="298">
        <f t="shared" si="17"/>
        <v>0</v>
      </c>
      <c r="AF442" s="299"/>
      <c r="AG442" s="300"/>
      <c r="AH442" s="299"/>
      <c r="AI442" s="299"/>
      <c r="AJ442" s="300"/>
      <c r="AK442" s="299"/>
      <c r="AL442" s="301"/>
      <c r="AM442" s="314"/>
      <c r="AN442" s="301"/>
      <c r="AO442" s="302">
        <v>75000000</v>
      </c>
      <c r="AP442" s="301"/>
      <c r="AQ442" s="301"/>
      <c r="AR442" s="301"/>
      <c r="AS442" s="301"/>
      <c r="AT442" s="301"/>
      <c r="AU442" s="301"/>
      <c r="AV442" s="301"/>
      <c r="AW442" s="301"/>
      <c r="AX442" s="301"/>
      <c r="AY442" s="301"/>
      <c r="AZ442" s="301"/>
      <c r="BA442" s="301"/>
      <c r="BB442" s="301"/>
      <c r="BC442" s="301"/>
      <c r="BD442" s="301"/>
      <c r="BE442" s="301">
        <v>75000000</v>
      </c>
      <c r="BF442" s="301"/>
      <c r="BG442" s="303"/>
      <c r="BH442" s="304"/>
    </row>
    <row r="443" spans="1:60" s="305" customFormat="1" ht="16.5" hidden="1" customHeight="1" x14ac:dyDescent="0.4">
      <c r="A443" s="285">
        <v>420</v>
      </c>
      <c r="B443" s="286"/>
      <c r="C443" s="286"/>
      <c r="D443" s="287" t="s">
        <v>92</v>
      </c>
      <c r="E443" s="287" t="s">
        <v>249</v>
      </c>
      <c r="F443" s="288" t="s">
        <v>92</v>
      </c>
      <c r="G443" s="289" t="s">
        <v>249</v>
      </c>
      <c r="H443" s="307"/>
      <c r="I443" s="290"/>
      <c r="J443" s="291" t="s">
        <v>77</v>
      </c>
      <c r="K443" s="287"/>
      <c r="L443" s="287"/>
      <c r="M443" s="287">
        <v>10065</v>
      </c>
      <c r="N443" s="287" t="s">
        <v>35</v>
      </c>
      <c r="O443" s="287" t="s">
        <v>43</v>
      </c>
      <c r="P443" s="287"/>
      <c r="Q443" s="287" t="s">
        <v>24</v>
      </c>
      <c r="R443" s="287" t="s">
        <v>221</v>
      </c>
      <c r="S443" s="292" t="s">
        <v>745</v>
      </c>
      <c r="T443" s="293"/>
      <c r="U443" s="294">
        <v>20650000</v>
      </c>
      <c r="V443" s="294">
        <v>14020364</v>
      </c>
      <c r="W443" s="295">
        <v>10000000</v>
      </c>
      <c r="X443" s="296"/>
      <c r="Y443" s="287" t="s">
        <v>28</v>
      </c>
      <c r="Z443" s="297" t="s">
        <v>26</v>
      </c>
      <c r="AA443" s="313"/>
      <c r="AB443" s="313"/>
      <c r="AC443" s="298">
        <f t="shared" si="16"/>
        <v>10000000</v>
      </c>
      <c r="AD443" s="298">
        <v>10000000</v>
      </c>
      <c r="AE443" s="298">
        <f t="shared" si="17"/>
        <v>0</v>
      </c>
      <c r="AF443" s="299"/>
      <c r="AG443" s="300"/>
      <c r="AH443" s="299"/>
      <c r="AI443" s="299"/>
      <c r="AJ443" s="300"/>
      <c r="AK443" s="299"/>
      <c r="AL443" s="301"/>
      <c r="AM443" s="314"/>
      <c r="AN443" s="301"/>
      <c r="AO443" s="302"/>
      <c r="AP443" s="301"/>
      <c r="AQ443" s="316">
        <v>7000000</v>
      </c>
      <c r="AR443" s="301"/>
      <c r="AS443" s="301"/>
      <c r="AT443" s="301"/>
      <c r="AU443" s="301"/>
      <c r="AV443" s="301"/>
      <c r="AW443" s="301"/>
      <c r="AX443" s="301"/>
      <c r="AY443" s="301"/>
      <c r="AZ443" s="301"/>
      <c r="BA443" s="301"/>
      <c r="BB443" s="301"/>
      <c r="BC443" s="301"/>
      <c r="BD443" s="301"/>
      <c r="BE443" s="301">
        <v>3000000</v>
      </c>
      <c r="BF443" s="301"/>
      <c r="BG443" s="303"/>
      <c r="BH443" s="304"/>
    </row>
    <row r="444" spans="1:60" s="305" customFormat="1" ht="16.5" hidden="1" customHeight="1" x14ac:dyDescent="0.4">
      <c r="A444" s="285">
        <v>421</v>
      </c>
      <c r="B444" s="286"/>
      <c r="C444" s="286"/>
      <c r="D444" s="287"/>
      <c r="E444" s="287"/>
      <c r="F444" s="288" t="s">
        <v>92</v>
      </c>
      <c r="G444" s="289" t="s">
        <v>249</v>
      </c>
      <c r="H444" s="307"/>
      <c r="I444" s="290"/>
      <c r="J444" s="291" t="s">
        <v>77</v>
      </c>
      <c r="K444" s="287"/>
      <c r="L444" s="287"/>
      <c r="M444" s="287">
        <v>10065</v>
      </c>
      <c r="N444" s="287" t="s">
        <v>35</v>
      </c>
      <c r="O444" s="287" t="s">
        <v>43</v>
      </c>
      <c r="P444" s="287"/>
      <c r="Q444" s="287"/>
      <c r="R444" s="287"/>
      <c r="S444" s="292" t="s">
        <v>750</v>
      </c>
      <c r="T444" s="293"/>
      <c r="U444" s="294"/>
      <c r="V444" s="294"/>
      <c r="W444" s="295">
        <v>2252000</v>
      </c>
      <c r="X444" s="296"/>
      <c r="Y444" s="287"/>
      <c r="Z444" s="297" t="s">
        <v>656</v>
      </c>
      <c r="AA444" s="313"/>
      <c r="AB444" s="313"/>
      <c r="AC444" s="298">
        <f t="shared" si="16"/>
        <v>0</v>
      </c>
      <c r="AD444" s="298">
        <v>0</v>
      </c>
      <c r="AE444" s="298">
        <f t="shared" si="17"/>
        <v>0</v>
      </c>
      <c r="AF444" s="299"/>
      <c r="AG444" s="300"/>
      <c r="AH444" s="299"/>
      <c r="AI444" s="299"/>
      <c r="AJ444" s="300"/>
      <c r="AK444" s="299"/>
      <c r="AL444" s="301"/>
      <c r="AM444" s="314"/>
      <c r="AN444" s="301"/>
      <c r="AO444" s="302"/>
      <c r="AP444" s="301"/>
      <c r="AQ444" s="301"/>
      <c r="AR444" s="301"/>
      <c r="AS444" s="301"/>
      <c r="AT444" s="301"/>
      <c r="AU444" s="301"/>
      <c r="AV444" s="301"/>
      <c r="AW444" s="301"/>
      <c r="AX444" s="301"/>
      <c r="AY444" s="301"/>
      <c r="AZ444" s="301"/>
      <c r="BA444" s="301"/>
      <c r="BB444" s="301"/>
      <c r="BC444" s="301"/>
      <c r="BD444" s="301"/>
      <c r="BE444" s="301"/>
      <c r="BF444" s="301"/>
      <c r="BG444" s="303"/>
      <c r="BH444" s="304"/>
    </row>
    <row r="445" spans="1:60" s="305" customFormat="1" ht="16.5" hidden="1" customHeight="1" x14ac:dyDescent="0.4">
      <c r="A445" s="285">
        <v>422</v>
      </c>
      <c r="B445" s="286"/>
      <c r="C445" s="286"/>
      <c r="D445" s="287" t="s">
        <v>92</v>
      </c>
      <c r="E445" s="287" t="s">
        <v>249</v>
      </c>
      <c r="F445" s="288" t="s">
        <v>92</v>
      </c>
      <c r="G445" s="289" t="s">
        <v>249</v>
      </c>
      <c r="H445" s="307"/>
      <c r="I445" s="290"/>
      <c r="J445" s="291" t="s">
        <v>761</v>
      </c>
      <c r="K445" s="287"/>
      <c r="L445" s="287"/>
      <c r="M445" s="287">
        <v>59325</v>
      </c>
      <c r="N445" s="287" t="s">
        <v>35</v>
      </c>
      <c r="O445" s="287" t="s">
        <v>43</v>
      </c>
      <c r="P445" s="287"/>
      <c r="Q445" s="287"/>
      <c r="R445" s="287"/>
      <c r="S445" s="292" t="s">
        <v>20</v>
      </c>
      <c r="T445" s="293"/>
      <c r="U445" s="294"/>
      <c r="V445" s="294"/>
      <c r="W445" s="295"/>
      <c r="X445" s="296"/>
      <c r="Y445" s="287"/>
      <c r="Z445" s="297" t="s">
        <v>28</v>
      </c>
      <c r="AA445" s="313"/>
      <c r="AB445" s="313"/>
      <c r="AC445" s="298">
        <f t="shared" si="16"/>
        <v>66000</v>
      </c>
      <c r="AD445" s="298">
        <v>66000</v>
      </c>
      <c r="AE445" s="298">
        <f t="shared" si="17"/>
        <v>0</v>
      </c>
      <c r="AF445" s="299">
        <v>66000</v>
      </c>
      <c r="AG445" s="300">
        <v>66000</v>
      </c>
      <c r="AH445" s="299"/>
      <c r="AI445" s="299"/>
      <c r="AJ445" s="300"/>
      <c r="AK445" s="299"/>
      <c r="AL445" s="301"/>
      <c r="AM445" s="314"/>
      <c r="AN445" s="301"/>
      <c r="AO445" s="302"/>
      <c r="AP445" s="301"/>
      <c r="AQ445" s="301"/>
      <c r="AR445" s="301"/>
      <c r="AS445" s="301"/>
      <c r="AT445" s="301"/>
      <c r="AU445" s="301"/>
      <c r="AV445" s="301"/>
      <c r="AW445" s="301"/>
      <c r="AX445" s="301"/>
      <c r="AY445" s="301"/>
      <c r="AZ445" s="301"/>
      <c r="BA445" s="301"/>
      <c r="BB445" s="301"/>
      <c r="BC445" s="301"/>
      <c r="BD445" s="301"/>
      <c r="BE445" s="301"/>
      <c r="BF445" s="301"/>
      <c r="BG445" s="303"/>
      <c r="BH445" s="304"/>
    </row>
    <row r="446" spans="1:60" s="305" customFormat="1" ht="16.5" hidden="1" customHeight="1" x14ac:dyDescent="0.4">
      <c r="A446" s="285">
        <v>423</v>
      </c>
      <c r="B446" s="286"/>
      <c r="C446" s="286"/>
      <c r="D446" s="287" t="s">
        <v>92</v>
      </c>
      <c r="E446" s="287" t="s">
        <v>249</v>
      </c>
      <c r="F446" s="288" t="s">
        <v>92</v>
      </c>
      <c r="G446" s="289" t="s">
        <v>249</v>
      </c>
      <c r="H446" s="307"/>
      <c r="I446" s="290"/>
      <c r="J446" s="291" t="s">
        <v>171</v>
      </c>
      <c r="K446" s="287"/>
      <c r="L446" s="287"/>
      <c r="M446" s="287">
        <v>16145</v>
      </c>
      <c r="N446" s="287" t="s">
        <v>23</v>
      </c>
      <c r="O446" s="287" t="s">
        <v>43</v>
      </c>
      <c r="P446" s="287" t="s">
        <v>43</v>
      </c>
      <c r="Q446" s="287" t="s">
        <v>19</v>
      </c>
      <c r="R446" s="287" t="s">
        <v>20</v>
      </c>
      <c r="S446" s="292" t="s">
        <v>20</v>
      </c>
      <c r="T446" s="293"/>
      <c r="U446" s="294">
        <v>7646000</v>
      </c>
      <c r="V446" s="294">
        <v>7646000</v>
      </c>
      <c r="W446" s="295">
        <v>8394000</v>
      </c>
      <c r="X446" s="296"/>
      <c r="Y446" s="287" t="s">
        <v>28</v>
      </c>
      <c r="Z446" s="297" t="s">
        <v>25</v>
      </c>
      <c r="AA446" s="313"/>
      <c r="AB446" s="313"/>
      <c r="AC446" s="298">
        <f t="shared" si="16"/>
        <v>10000000</v>
      </c>
      <c r="AD446" s="298">
        <v>10000000</v>
      </c>
      <c r="AE446" s="298">
        <f t="shared" si="17"/>
        <v>0</v>
      </c>
      <c r="AF446" s="299"/>
      <c r="AG446" s="300"/>
      <c r="AH446" s="299"/>
      <c r="AI446" s="299"/>
      <c r="AJ446" s="300"/>
      <c r="AK446" s="299"/>
      <c r="AL446" s="301"/>
      <c r="AM446" s="314"/>
      <c r="AN446" s="301"/>
      <c r="AO446" s="302"/>
      <c r="AP446" s="301"/>
      <c r="AQ446" s="301"/>
      <c r="AR446" s="301"/>
      <c r="AS446" s="301"/>
      <c r="AT446" s="301"/>
      <c r="AU446" s="301"/>
      <c r="AV446" s="301"/>
      <c r="AW446" s="301"/>
      <c r="AX446" s="301"/>
      <c r="AY446" s="301"/>
      <c r="AZ446" s="301"/>
      <c r="BA446" s="301">
        <v>10000000</v>
      </c>
      <c r="BB446" s="301"/>
      <c r="BC446" s="301"/>
      <c r="BD446" s="301"/>
      <c r="BE446" s="301"/>
      <c r="BF446" s="301"/>
      <c r="BG446" s="303"/>
      <c r="BH446" s="304"/>
    </row>
    <row r="447" spans="1:60" s="305" customFormat="1" ht="16.5" hidden="1" customHeight="1" x14ac:dyDescent="0.4">
      <c r="A447" s="285">
        <v>424</v>
      </c>
      <c r="B447" s="286"/>
      <c r="C447" s="286"/>
      <c r="D447" s="287" t="s">
        <v>92</v>
      </c>
      <c r="E447" s="287" t="s">
        <v>249</v>
      </c>
      <c r="F447" s="288" t="s">
        <v>92</v>
      </c>
      <c r="G447" s="289" t="s">
        <v>249</v>
      </c>
      <c r="H447" s="307"/>
      <c r="I447" s="290"/>
      <c r="J447" s="291" t="s">
        <v>474</v>
      </c>
      <c r="K447" s="287"/>
      <c r="L447" s="287"/>
      <c r="M447" s="287">
        <v>19769</v>
      </c>
      <c r="N447" s="287" t="s">
        <v>40</v>
      </c>
      <c r="O447" s="287" t="s">
        <v>43</v>
      </c>
      <c r="P447" s="287" t="s">
        <v>44</v>
      </c>
      <c r="Q447" s="287" t="s">
        <v>30</v>
      </c>
      <c r="R447" s="287" t="s">
        <v>20</v>
      </c>
      <c r="S447" s="292" t="s">
        <v>20</v>
      </c>
      <c r="T447" s="293"/>
      <c r="U447" s="294">
        <v>11680000</v>
      </c>
      <c r="V447" s="294">
        <v>12655000</v>
      </c>
      <c r="W447" s="295">
        <v>19682500</v>
      </c>
      <c r="X447" s="296"/>
      <c r="Y447" s="287" t="s">
        <v>28</v>
      </c>
      <c r="Z447" s="297" t="s">
        <v>25</v>
      </c>
      <c r="AA447" s="313"/>
      <c r="AB447" s="313"/>
      <c r="AC447" s="298">
        <f t="shared" si="16"/>
        <v>12000000</v>
      </c>
      <c r="AD447" s="298">
        <v>12000000</v>
      </c>
      <c r="AE447" s="298">
        <f t="shared" si="17"/>
        <v>0</v>
      </c>
      <c r="AF447" s="299"/>
      <c r="AG447" s="300"/>
      <c r="AH447" s="299"/>
      <c r="AI447" s="299"/>
      <c r="AJ447" s="300"/>
      <c r="AK447" s="299"/>
      <c r="AL447" s="301"/>
      <c r="AM447" s="314"/>
      <c r="AN447" s="301"/>
      <c r="AO447" s="302"/>
      <c r="AP447" s="301"/>
      <c r="AQ447" s="301"/>
      <c r="AR447" s="301"/>
      <c r="AS447" s="301"/>
      <c r="AT447" s="301"/>
      <c r="AU447" s="301"/>
      <c r="AV447" s="301"/>
      <c r="AW447" s="301"/>
      <c r="AX447" s="301"/>
      <c r="AY447" s="301"/>
      <c r="AZ447" s="301"/>
      <c r="BA447" s="301"/>
      <c r="BB447" s="301"/>
      <c r="BC447" s="301"/>
      <c r="BD447" s="301"/>
      <c r="BE447" s="301">
        <v>12000000</v>
      </c>
      <c r="BF447" s="301"/>
      <c r="BG447" s="303"/>
      <c r="BH447" s="304"/>
    </row>
    <row r="448" spans="1:60" s="305" customFormat="1" ht="16.5" hidden="1" customHeight="1" x14ac:dyDescent="0.4">
      <c r="A448" s="285">
        <v>425</v>
      </c>
      <c r="B448" s="286"/>
      <c r="C448" s="286"/>
      <c r="D448" s="287" t="s">
        <v>92</v>
      </c>
      <c r="E448" s="287" t="s">
        <v>249</v>
      </c>
      <c r="F448" s="288" t="s">
        <v>92</v>
      </c>
      <c r="G448" s="289" t="s">
        <v>249</v>
      </c>
      <c r="H448" s="307"/>
      <c r="I448" s="290"/>
      <c r="J448" s="291" t="s">
        <v>255</v>
      </c>
      <c r="K448" s="287"/>
      <c r="L448" s="287"/>
      <c r="M448" s="287">
        <v>62036</v>
      </c>
      <c r="N448" s="287" t="s">
        <v>23</v>
      </c>
      <c r="O448" s="287" t="s">
        <v>43</v>
      </c>
      <c r="P448" s="287"/>
      <c r="Q448" s="287" t="s">
        <v>19</v>
      </c>
      <c r="R448" s="287" t="s">
        <v>29</v>
      </c>
      <c r="S448" s="292" t="s">
        <v>29</v>
      </c>
      <c r="T448" s="293" t="s">
        <v>798</v>
      </c>
      <c r="U448" s="294"/>
      <c r="V448" s="294">
        <v>0</v>
      </c>
      <c r="W448" s="295">
        <v>121463500</v>
      </c>
      <c r="X448" s="296"/>
      <c r="Y448" s="287" t="s">
        <v>28</v>
      </c>
      <c r="Z448" s="297" t="s">
        <v>28</v>
      </c>
      <c r="AA448" s="313"/>
      <c r="AB448" s="313"/>
      <c r="AC448" s="298">
        <f t="shared" si="16"/>
        <v>150298900</v>
      </c>
      <c r="AD448" s="298">
        <v>150298900</v>
      </c>
      <c r="AE448" s="298">
        <f t="shared" si="17"/>
        <v>0</v>
      </c>
      <c r="AF448" s="299">
        <v>11239700</v>
      </c>
      <c r="AG448" s="300">
        <v>11239700</v>
      </c>
      <c r="AH448" s="299"/>
      <c r="AI448" s="299">
        <v>7365400</v>
      </c>
      <c r="AJ448" s="300">
        <v>7365400</v>
      </c>
      <c r="AK448" s="299" t="s">
        <v>790</v>
      </c>
      <c r="AL448" s="301"/>
      <c r="AM448" s="314">
        <v>8393800</v>
      </c>
      <c r="AN448" s="301"/>
      <c r="AO448" s="302">
        <v>12300000</v>
      </c>
      <c r="AP448" s="301"/>
      <c r="AQ448" s="301">
        <v>13000000</v>
      </c>
      <c r="AR448" s="301"/>
      <c r="AS448" s="301">
        <v>14000000</v>
      </c>
      <c r="AT448" s="301"/>
      <c r="AU448" s="301">
        <v>14000000</v>
      </c>
      <c r="AV448" s="301"/>
      <c r="AW448" s="301">
        <v>14000000</v>
      </c>
      <c r="AX448" s="301"/>
      <c r="AY448" s="301">
        <v>14000000</v>
      </c>
      <c r="AZ448" s="301"/>
      <c r="BA448" s="301">
        <v>14000000</v>
      </c>
      <c r="BB448" s="301"/>
      <c r="BC448" s="301">
        <v>14000000</v>
      </c>
      <c r="BD448" s="301"/>
      <c r="BE448" s="301">
        <v>14000000</v>
      </c>
      <c r="BF448" s="301"/>
      <c r="BG448" s="303"/>
      <c r="BH448" s="304"/>
    </row>
    <row r="449" spans="1:60" s="305" customFormat="1" ht="16.5" hidden="1" customHeight="1" x14ac:dyDescent="0.4">
      <c r="A449" s="285">
        <v>426</v>
      </c>
      <c r="B449" s="286"/>
      <c r="C449" s="286"/>
      <c r="D449" s="287" t="s">
        <v>92</v>
      </c>
      <c r="E449" s="287" t="s">
        <v>249</v>
      </c>
      <c r="F449" s="288" t="s">
        <v>92</v>
      </c>
      <c r="G449" s="289" t="s">
        <v>249</v>
      </c>
      <c r="H449" s="307"/>
      <c r="I449" s="290"/>
      <c r="J449" s="291" t="s">
        <v>255</v>
      </c>
      <c r="K449" s="287"/>
      <c r="L449" s="287"/>
      <c r="M449" s="287">
        <v>62036</v>
      </c>
      <c r="N449" s="287" t="s">
        <v>23</v>
      </c>
      <c r="O449" s="287" t="s">
        <v>33</v>
      </c>
      <c r="P449" s="287"/>
      <c r="Q449" s="287" t="s">
        <v>19</v>
      </c>
      <c r="R449" s="287" t="s">
        <v>20</v>
      </c>
      <c r="S449" s="292" t="s">
        <v>20</v>
      </c>
      <c r="T449" s="293"/>
      <c r="U449" s="294" t="s">
        <v>97</v>
      </c>
      <c r="V449" s="294"/>
      <c r="W449" s="295"/>
      <c r="X449" s="296"/>
      <c r="Y449" s="287" t="s">
        <v>28</v>
      </c>
      <c r="Z449" s="297" t="s">
        <v>25</v>
      </c>
      <c r="AA449" s="313"/>
      <c r="AB449" s="313"/>
      <c r="AC449" s="298">
        <f t="shared" si="16"/>
        <v>9000000</v>
      </c>
      <c r="AD449" s="298">
        <v>9000000</v>
      </c>
      <c r="AE449" s="298">
        <f t="shared" si="17"/>
        <v>0</v>
      </c>
      <c r="AF449" s="299"/>
      <c r="AG449" s="300"/>
      <c r="AH449" s="299"/>
      <c r="AI449" s="299"/>
      <c r="AJ449" s="300"/>
      <c r="AK449" s="299"/>
      <c r="AL449" s="301"/>
      <c r="AM449" s="314"/>
      <c r="AN449" s="301"/>
      <c r="AO449" s="302"/>
      <c r="AP449" s="301"/>
      <c r="AQ449" s="301">
        <v>9000000</v>
      </c>
      <c r="AR449" s="301"/>
      <c r="AS449" s="301"/>
      <c r="AT449" s="301"/>
      <c r="AU449" s="301"/>
      <c r="AV449" s="301"/>
      <c r="AW449" s="301"/>
      <c r="AX449" s="301"/>
      <c r="AY449" s="301"/>
      <c r="AZ449" s="301"/>
      <c r="BA449" s="301"/>
      <c r="BB449" s="301"/>
      <c r="BC449" s="301"/>
      <c r="BD449" s="301"/>
      <c r="BE449" s="301"/>
      <c r="BF449" s="301"/>
      <c r="BG449" s="303"/>
      <c r="BH449" s="304"/>
    </row>
    <row r="450" spans="1:60" s="305" customFormat="1" ht="16.5" hidden="1" customHeight="1" x14ac:dyDescent="0.4">
      <c r="A450" s="285">
        <v>427</v>
      </c>
      <c r="B450" s="286"/>
      <c r="C450" s="286"/>
      <c r="D450" s="287"/>
      <c r="E450" s="287"/>
      <c r="F450" s="288" t="s">
        <v>92</v>
      </c>
      <c r="G450" s="289" t="s">
        <v>249</v>
      </c>
      <c r="H450" s="307"/>
      <c r="I450" s="290"/>
      <c r="J450" s="291" t="s">
        <v>255</v>
      </c>
      <c r="K450" s="287"/>
      <c r="L450" s="287"/>
      <c r="M450" s="287">
        <v>62036</v>
      </c>
      <c r="N450" s="287" t="s">
        <v>23</v>
      </c>
      <c r="O450" s="287" t="s">
        <v>43</v>
      </c>
      <c r="P450" s="287"/>
      <c r="Q450" s="287"/>
      <c r="R450" s="287"/>
      <c r="S450" s="292" t="s">
        <v>349</v>
      </c>
      <c r="T450" s="293"/>
      <c r="U450" s="294"/>
      <c r="V450" s="294"/>
      <c r="W450" s="295">
        <v>1500000</v>
      </c>
      <c r="X450" s="296"/>
      <c r="Y450" s="287"/>
      <c r="Z450" s="297" t="s">
        <v>28</v>
      </c>
      <c r="AA450" s="313"/>
      <c r="AB450" s="313"/>
      <c r="AC450" s="298">
        <f t="shared" si="16"/>
        <v>12000000</v>
      </c>
      <c r="AD450" s="298">
        <v>12000000</v>
      </c>
      <c r="AE450" s="298">
        <f t="shared" si="17"/>
        <v>0</v>
      </c>
      <c r="AF450" s="299"/>
      <c r="AG450" s="300"/>
      <c r="AH450" s="299"/>
      <c r="AI450" s="299"/>
      <c r="AJ450" s="300"/>
      <c r="AK450" s="299"/>
      <c r="AL450" s="301"/>
      <c r="AM450" s="314"/>
      <c r="AN450" s="301"/>
      <c r="AO450" s="302"/>
      <c r="AP450" s="301"/>
      <c r="AQ450" s="301">
        <v>7000000</v>
      </c>
      <c r="AR450" s="301"/>
      <c r="AS450" s="301">
        <v>5000000</v>
      </c>
      <c r="AT450" s="301"/>
      <c r="AU450" s="301"/>
      <c r="AV450" s="301"/>
      <c r="AW450" s="301"/>
      <c r="AX450" s="301"/>
      <c r="AY450" s="301"/>
      <c r="AZ450" s="301"/>
      <c r="BA450" s="301"/>
      <c r="BB450" s="301"/>
      <c r="BC450" s="301"/>
      <c r="BD450" s="301"/>
      <c r="BE450" s="301"/>
      <c r="BF450" s="301"/>
      <c r="BG450" s="303"/>
      <c r="BH450" s="304"/>
    </row>
    <row r="451" spans="1:60" s="305" customFormat="1" ht="16.5" hidden="1" customHeight="1" x14ac:dyDescent="0.4">
      <c r="A451" s="285">
        <v>428</v>
      </c>
      <c r="B451" s="286"/>
      <c r="C451" s="286"/>
      <c r="D451" s="287" t="s">
        <v>92</v>
      </c>
      <c r="E451" s="287" t="s">
        <v>249</v>
      </c>
      <c r="F451" s="288" t="s">
        <v>92</v>
      </c>
      <c r="G451" s="289" t="s">
        <v>249</v>
      </c>
      <c r="H451" s="307"/>
      <c r="I451" s="290"/>
      <c r="J451" s="291" t="s">
        <v>255</v>
      </c>
      <c r="K451" s="287"/>
      <c r="L451" s="287"/>
      <c r="M451" s="287">
        <v>62036</v>
      </c>
      <c r="N451" s="287" t="s">
        <v>23</v>
      </c>
      <c r="O451" s="287" t="s">
        <v>33</v>
      </c>
      <c r="P451" s="287"/>
      <c r="Q451" s="287" t="s">
        <v>45</v>
      </c>
      <c r="R451" s="287" t="s">
        <v>342</v>
      </c>
      <c r="S451" s="292" t="s">
        <v>741</v>
      </c>
      <c r="T451" s="293"/>
      <c r="U451" s="294"/>
      <c r="V451" s="294">
        <v>1200000</v>
      </c>
      <c r="W451" s="295"/>
      <c r="X451" s="296"/>
      <c r="Y451" s="287" t="s">
        <v>26</v>
      </c>
      <c r="Z451" s="297" t="s">
        <v>544</v>
      </c>
      <c r="AA451" s="313"/>
      <c r="AB451" s="313"/>
      <c r="AC451" s="298">
        <f t="shared" si="16"/>
        <v>0</v>
      </c>
      <c r="AD451" s="298">
        <v>0</v>
      </c>
      <c r="AE451" s="298">
        <f t="shared" si="17"/>
        <v>0</v>
      </c>
      <c r="AF451" s="299"/>
      <c r="AG451" s="300"/>
      <c r="AH451" s="299"/>
      <c r="AI451" s="299">
        <v>10000000</v>
      </c>
      <c r="AJ451" s="300"/>
      <c r="AK451" s="299"/>
      <c r="AL451" s="301"/>
      <c r="AM451" s="314"/>
      <c r="AN451" s="301"/>
      <c r="AO451" s="302"/>
      <c r="AP451" s="301"/>
      <c r="AQ451" s="301"/>
      <c r="AR451" s="301"/>
      <c r="AS451" s="301"/>
      <c r="AT451" s="301"/>
      <c r="AU451" s="301"/>
      <c r="AV451" s="301"/>
      <c r="AW451" s="301"/>
      <c r="AX451" s="301"/>
      <c r="AY451" s="301"/>
      <c r="AZ451" s="301"/>
      <c r="BA451" s="301"/>
      <c r="BB451" s="301"/>
      <c r="BC451" s="301"/>
      <c r="BD451" s="301"/>
      <c r="BE451" s="301"/>
      <c r="BF451" s="301"/>
      <c r="BG451" s="303"/>
      <c r="BH451" s="304"/>
    </row>
    <row r="452" spans="1:60" s="305" customFormat="1" ht="16.5" hidden="1" customHeight="1" x14ac:dyDescent="0.4">
      <c r="A452" s="285">
        <v>429</v>
      </c>
      <c r="B452" s="286"/>
      <c r="C452" s="286"/>
      <c r="D452" s="287" t="s">
        <v>92</v>
      </c>
      <c r="E452" s="287" t="s">
        <v>184</v>
      </c>
      <c r="F452" s="288" t="s">
        <v>92</v>
      </c>
      <c r="G452" s="289" t="s">
        <v>249</v>
      </c>
      <c r="H452" s="307"/>
      <c r="I452" s="290"/>
      <c r="J452" s="291" t="s">
        <v>527</v>
      </c>
      <c r="K452" s="287"/>
      <c r="L452" s="287"/>
      <c r="M452" s="287">
        <v>9287</v>
      </c>
      <c r="N452" s="287" t="s">
        <v>40</v>
      </c>
      <c r="O452" s="287" t="s">
        <v>33</v>
      </c>
      <c r="P452" s="287" t="s">
        <v>44</v>
      </c>
      <c r="Q452" s="287" t="s">
        <v>49</v>
      </c>
      <c r="R452" s="287" t="s">
        <v>29</v>
      </c>
      <c r="S452" s="292" t="s">
        <v>29</v>
      </c>
      <c r="T452" s="293"/>
      <c r="U452" s="294">
        <v>1018000</v>
      </c>
      <c r="V452" s="294">
        <v>0</v>
      </c>
      <c r="W452" s="295"/>
      <c r="X452" s="296"/>
      <c r="Y452" s="287" t="s">
        <v>22</v>
      </c>
      <c r="Z452" s="297" t="s">
        <v>618</v>
      </c>
      <c r="AA452" s="313"/>
      <c r="AB452" s="313"/>
      <c r="AC452" s="298">
        <f t="shared" si="16"/>
        <v>0</v>
      </c>
      <c r="AD452" s="298">
        <v>0</v>
      </c>
      <c r="AE452" s="298">
        <f t="shared" si="17"/>
        <v>0</v>
      </c>
      <c r="AF452" s="299"/>
      <c r="AG452" s="300"/>
      <c r="AH452" s="299"/>
      <c r="AI452" s="299"/>
      <c r="AJ452" s="300"/>
      <c r="AK452" s="299"/>
      <c r="AL452" s="301"/>
      <c r="AM452" s="314"/>
      <c r="AN452" s="301"/>
      <c r="AO452" s="302"/>
      <c r="AP452" s="301"/>
      <c r="AQ452" s="301"/>
      <c r="AR452" s="301"/>
      <c r="AS452" s="301"/>
      <c r="AT452" s="301"/>
      <c r="AU452" s="301"/>
      <c r="AV452" s="301"/>
      <c r="AW452" s="301"/>
      <c r="AX452" s="301"/>
      <c r="AY452" s="301"/>
      <c r="AZ452" s="301"/>
      <c r="BA452" s="301"/>
      <c r="BB452" s="301"/>
      <c r="BC452" s="301"/>
      <c r="BD452" s="301"/>
      <c r="BE452" s="301"/>
      <c r="BF452" s="301"/>
      <c r="BG452" s="303"/>
      <c r="BH452" s="304"/>
    </row>
    <row r="453" spans="1:60" s="305" customFormat="1" ht="16.5" hidden="1" customHeight="1" x14ac:dyDescent="0.4">
      <c r="A453" s="285">
        <v>430</v>
      </c>
      <c r="B453" s="286"/>
      <c r="C453" s="286"/>
      <c r="D453" s="287" t="s">
        <v>92</v>
      </c>
      <c r="E453" s="287" t="s">
        <v>193</v>
      </c>
      <c r="F453" s="288" t="s">
        <v>92</v>
      </c>
      <c r="G453" s="289" t="s">
        <v>249</v>
      </c>
      <c r="H453" s="307"/>
      <c r="I453" s="290"/>
      <c r="J453" s="291" t="s">
        <v>575</v>
      </c>
      <c r="K453" s="287"/>
      <c r="L453" s="287"/>
      <c r="M453" s="287">
        <v>16029</v>
      </c>
      <c r="N453" s="287" t="s">
        <v>40</v>
      </c>
      <c r="O453" s="287" t="s">
        <v>43</v>
      </c>
      <c r="P453" s="287"/>
      <c r="Q453" s="287"/>
      <c r="R453" s="287" t="s">
        <v>31</v>
      </c>
      <c r="S453" s="292" t="s">
        <v>31</v>
      </c>
      <c r="T453" s="293"/>
      <c r="U453" s="294"/>
      <c r="V453" s="294">
        <v>5505000</v>
      </c>
      <c r="W453" s="295">
        <v>5734000</v>
      </c>
      <c r="X453" s="296"/>
      <c r="Y453" s="287" t="s">
        <v>28</v>
      </c>
      <c r="Z453" s="297" t="s">
        <v>28</v>
      </c>
      <c r="AA453" s="313"/>
      <c r="AB453" s="313"/>
      <c r="AC453" s="298">
        <f t="shared" si="16"/>
        <v>5000000</v>
      </c>
      <c r="AD453" s="298">
        <v>5000000</v>
      </c>
      <c r="AE453" s="298">
        <f t="shared" si="17"/>
        <v>0</v>
      </c>
      <c r="AF453" s="299"/>
      <c r="AG453" s="300"/>
      <c r="AH453" s="299"/>
      <c r="AI453" s="299"/>
      <c r="AJ453" s="300"/>
      <c r="AK453" s="299"/>
      <c r="AL453" s="301"/>
      <c r="AM453" s="314"/>
      <c r="AN453" s="301"/>
      <c r="AO453" s="302"/>
      <c r="AP453" s="301"/>
      <c r="AQ453" s="301"/>
      <c r="AR453" s="301"/>
      <c r="AS453" s="301"/>
      <c r="AT453" s="301"/>
      <c r="AU453" s="301"/>
      <c r="AV453" s="301"/>
      <c r="AW453" s="301"/>
      <c r="AX453" s="301"/>
      <c r="AY453" s="301"/>
      <c r="AZ453" s="301"/>
      <c r="BA453" s="301"/>
      <c r="BB453" s="301"/>
      <c r="BC453" s="301"/>
      <c r="BD453" s="301"/>
      <c r="BE453" s="301">
        <v>5000000</v>
      </c>
      <c r="BF453" s="301"/>
      <c r="BG453" s="303"/>
      <c r="BH453" s="304"/>
    </row>
    <row r="454" spans="1:60" s="305" customFormat="1" ht="16.5" hidden="1" customHeight="1" x14ac:dyDescent="0.4">
      <c r="A454" s="285">
        <v>431</v>
      </c>
      <c r="B454" s="286"/>
      <c r="C454" s="286"/>
      <c r="D454" s="287" t="s">
        <v>92</v>
      </c>
      <c r="E454" s="287" t="s">
        <v>193</v>
      </c>
      <c r="F454" s="288" t="s">
        <v>92</v>
      </c>
      <c r="G454" s="289" t="s">
        <v>249</v>
      </c>
      <c r="H454" s="307"/>
      <c r="I454" s="290"/>
      <c r="J454" s="291" t="s">
        <v>575</v>
      </c>
      <c r="K454" s="287"/>
      <c r="L454" s="287"/>
      <c r="M454" s="287">
        <v>16029</v>
      </c>
      <c r="N454" s="287" t="s">
        <v>40</v>
      </c>
      <c r="O454" s="287" t="s">
        <v>43</v>
      </c>
      <c r="P454" s="287"/>
      <c r="Q454" s="287" t="s">
        <v>27</v>
      </c>
      <c r="R454" s="287" t="s">
        <v>349</v>
      </c>
      <c r="S454" s="292" t="s">
        <v>349</v>
      </c>
      <c r="T454" s="293"/>
      <c r="U454" s="294"/>
      <c r="V454" s="294">
        <v>40650000</v>
      </c>
      <c r="W454" s="295">
        <v>62282000</v>
      </c>
      <c r="X454" s="296"/>
      <c r="Y454" s="287" t="s">
        <v>28</v>
      </c>
      <c r="Z454" s="297" t="s">
        <v>28</v>
      </c>
      <c r="AA454" s="313"/>
      <c r="AB454" s="313"/>
      <c r="AC454" s="298">
        <f t="shared" si="16"/>
        <v>20000000</v>
      </c>
      <c r="AD454" s="298">
        <v>20000000</v>
      </c>
      <c r="AE454" s="298">
        <f t="shared" si="17"/>
        <v>0</v>
      </c>
      <c r="AF454" s="299"/>
      <c r="AG454" s="300"/>
      <c r="AH454" s="299"/>
      <c r="AI454" s="299"/>
      <c r="AJ454" s="300"/>
      <c r="AK454" s="299"/>
      <c r="AL454" s="301"/>
      <c r="AM454" s="314"/>
      <c r="AN454" s="301"/>
      <c r="AO454" s="302">
        <v>8000000</v>
      </c>
      <c r="AP454" s="301"/>
      <c r="AQ454" s="301">
        <v>7000000</v>
      </c>
      <c r="AR454" s="301"/>
      <c r="AS454" s="301">
        <v>5000000</v>
      </c>
      <c r="AT454" s="301"/>
      <c r="AU454" s="301"/>
      <c r="AV454" s="301"/>
      <c r="AW454" s="301"/>
      <c r="AX454" s="301"/>
      <c r="AY454" s="301"/>
      <c r="AZ454" s="301"/>
      <c r="BA454" s="301"/>
      <c r="BB454" s="301"/>
      <c r="BC454" s="301"/>
      <c r="BD454" s="301"/>
      <c r="BE454" s="301"/>
      <c r="BF454" s="301"/>
      <c r="BG454" s="303"/>
      <c r="BH454" s="304"/>
    </row>
    <row r="455" spans="1:60" s="305" customFormat="1" ht="16.5" hidden="1" customHeight="1" x14ac:dyDescent="0.4">
      <c r="A455" s="285">
        <v>432</v>
      </c>
      <c r="B455" s="286"/>
      <c r="C455" s="286"/>
      <c r="D455" s="287" t="s">
        <v>92</v>
      </c>
      <c r="E455" s="287" t="s">
        <v>249</v>
      </c>
      <c r="F455" s="288" t="s">
        <v>92</v>
      </c>
      <c r="G455" s="289" t="s">
        <v>249</v>
      </c>
      <c r="H455" s="307"/>
      <c r="I455" s="290"/>
      <c r="J455" s="291" t="s">
        <v>256</v>
      </c>
      <c r="K455" s="287"/>
      <c r="L455" s="287"/>
      <c r="M455" s="287">
        <v>4643</v>
      </c>
      <c r="N455" s="287" t="s">
        <v>23</v>
      </c>
      <c r="O455" s="287" t="s">
        <v>43</v>
      </c>
      <c r="P455" s="287"/>
      <c r="Q455" s="287"/>
      <c r="R455" s="287" t="s">
        <v>20</v>
      </c>
      <c r="S455" s="292" t="s">
        <v>20</v>
      </c>
      <c r="T455" s="293"/>
      <c r="U455" s="294"/>
      <c r="V455" s="294"/>
      <c r="W455" s="295">
        <v>548000</v>
      </c>
      <c r="X455" s="296"/>
      <c r="Y455" s="287" t="s">
        <v>28</v>
      </c>
      <c r="Z455" s="297" t="s">
        <v>25</v>
      </c>
      <c r="AA455" s="313"/>
      <c r="AB455" s="313"/>
      <c r="AC455" s="298">
        <f t="shared" si="16"/>
        <v>2000000</v>
      </c>
      <c r="AD455" s="298">
        <v>2000000</v>
      </c>
      <c r="AE455" s="298">
        <f t="shared" si="17"/>
        <v>0</v>
      </c>
      <c r="AF455" s="299"/>
      <c r="AG455" s="300"/>
      <c r="AH455" s="299"/>
      <c r="AI455" s="299"/>
      <c r="AJ455" s="300"/>
      <c r="AK455" s="299"/>
      <c r="AL455" s="301"/>
      <c r="AM455" s="314"/>
      <c r="AN455" s="301"/>
      <c r="AO455" s="302"/>
      <c r="AP455" s="301"/>
      <c r="AQ455" s="301"/>
      <c r="AR455" s="301"/>
      <c r="AS455" s="301"/>
      <c r="AT455" s="301"/>
      <c r="AU455" s="301"/>
      <c r="AV455" s="301"/>
      <c r="AW455" s="301">
        <v>2000000</v>
      </c>
      <c r="AX455" s="301"/>
      <c r="AY455" s="301"/>
      <c r="AZ455" s="301"/>
      <c r="BA455" s="301"/>
      <c r="BB455" s="301"/>
      <c r="BC455" s="301"/>
      <c r="BD455" s="301"/>
      <c r="BE455" s="301"/>
      <c r="BF455" s="301"/>
      <c r="BG455" s="303"/>
      <c r="BH455" s="304"/>
    </row>
    <row r="456" spans="1:60" s="305" customFormat="1" ht="16.5" hidden="1" customHeight="1" x14ac:dyDescent="0.4">
      <c r="A456" s="285">
        <v>433</v>
      </c>
      <c r="B456" s="286"/>
      <c r="C456" s="286"/>
      <c r="D456" s="287" t="s">
        <v>92</v>
      </c>
      <c r="E456" s="287" t="s">
        <v>249</v>
      </c>
      <c r="F456" s="288" t="s">
        <v>92</v>
      </c>
      <c r="G456" s="289" t="s">
        <v>249</v>
      </c>
      <c r="H456" s="307"/>
      <c r="I456" s="290"/>
      <c r="J456" s="291" t="s">
        <v>256</v>
      </c>
      <c r="K456" s="287"/>
      <c r="L456" s="287"/>
      <c r="M456" s="287">
        <v>4643</v>
      </c>
      <c r="N456" s="287" t="s">
        <v>23</v>
      </c>
      <c r="O456" s="287" t="s">
        <v>33</v>
      </c>
      <c r="P456" s="287"/>
      <c r="Q456" s="287" t="s">
        <v>36</v>
      </c>
      <c r="R456" s="287" t="s">
        <v>341</v>
      </c>
      <c r="S456" s="292" t="s">
        <v>341</v>
      </c>
      <c r="T456" s="293"/>
      <c r="U456" s="294"/>
      <c r="V456" s="294">
        <v>6490029</v>
      </c>
      <c r="W456" s="295"/>
      <c r="X456" s="296"/>
      <c r="Y456" s="287" t="s">
        <v>21</v>
      </c>
      <c r="Z456" s="297" t="s">
        <v>618</v>
      </c>
      <c r="AA456" s="313"/>
      <c r="AB456" s="313"/>
      <c r="AC456" s="298">
        <f t="shared" si="16"/>
        <v>0</v>
      </c>
      <c r="AD456" s="298">
        <v>0</v>
      </c>
      <c r="AE456" s="298">
        <f t="shared" si="17"/>
        <v>0</v>
      </c>
      <c r="AF456" s="299"/>
      <c r="AG456" s="300"/>
      <c r="AH456" s="299"/>
      <c r="AI456" s="299"/>
      <c r="AJ456" s="300"/>
      <c r="AK456" s="299"/>
      <c r="AL456" s="301"/>
      <c r="AM456" s="314"/>
      <c r="AN456" s="301"/>
      <c r="AO456" s="302"/>
      <c r="AP456" s="301"/>
      <c r="AQ456" s="301"/>
      <c r="AR456" s="301"/>
      <c r="AS456" s="301"/>
      <c r="AT456" s="301"/>
      <c r="AU456" s="301"/>
      <c r="AV456" s="301"/>
      <c r="AW456" s="301"/>
      <c r="AX456" s="301"/>
      <c r="AY456" s="301"/>
      <c r="AZ456" s="301"/>
      <c r="BA456" s="301"/>
      <c r="BB456" s="301"/>
      <c r="BC456" s="301"/>
      <c r="BD456" s="301"/>
      <c r="BE456" s="301"/>
      <c r="BF456" s="301"/>
      <c r="BG456" s="303"/>
      <c r="BH456" s="304"/>
    </row>
    <row r="457" spans="1:60" s="305" customFormat="1" ht="16.5" hidden="1" customHeight="1" x14ac:dyDescent="0.4">
      <c r="A457" s="285">
        <v>434</v>
      </c>
      <c r="B457" s="286"/>
      <c r="C457" s="286"/>
      <c r="D457" s="287" t="s">
        <v>92</v>
      </c>
      <c r="E457" s="287" t="s">
        <v>235</v>
      </c>
      <c r="F457" s="288" t="s">
        <v>92</v>
      </c>
      <c r="G457" s="289" t="s">
        <v>249</v>
      </c>
      <c r="H457" s="307"/>
      <c r="I457" s="290"/>
      <c r="J457" s="291" t="s">
        <v>557</v>
      </c>
      <c r="K457" s="287"/>
      <c r="L457" s="287"/>
      <c r="M457" s="287">
        <v>10806</v>
      </c>
      <c r="N457" s="287" t="s">
        <v>32</v>
      </c>
      <c r="O457" s="287" t="s">
        <v>43</v>
      </c>
      <c r="P457" s="287"/>
      <c r="Q457" s="287"/>
      <c r="R457" s="287" t="s">
        <v>29</v>
      </c>
      <c r="S457" s="292" t="s">
        <v>29</v>
      </c>
      <c r="T457" s="293" t="s">
        <v>798</v>
      </c>
      <c r="U457" s="294"/>
      <c r="V457" s="294">
        <v>0</v>
      </c>
      <c r="W457" s="295">
        <v>297616430</v>
      </c>
      <c r="X457" s="296"/>
      <c r="Y457" s="287" t="s">
        <v>28</v>
      </c>
      <c r="Z457" s="297" t="s">
        <v>28</v>
      </c>
      <c r="AA457" s="313"/>
      <c r="AB457" s="313"/>
      <c r="AC457" s="298">
        <f t="shared" si="16"/>
        <v>355000000</v>
      </c>
      <c r="AD457" s="298">
        <v>355000000</v>
      </c>
      <c r="AE457" s="298">
        <f t="shared" si="17"/>
        <v>0</v>
      </c>
      <c r="AF457" s="299"/>
      <c r="AG457" s="300"/>
      <c r="AH457" s="299"/>
      <c r="AI457" s="299"/>
      <c r="AJ457" s="300"/>
      <c r="AK457" s="299"/>
      <c r="AL457" s="301"/>
      <c r="AM457" s="314"/>
      <c r="AN457" s="301"/>
      <c r="AO457" s="302">
        <v>88750000</v>
      </c>
      <c r="AP457" s="301"/>
      <c r="AQ457" s="301"/>
      <c r="AR457" s="301"/>
      <c r="AS457" s="301"/>
      <c r="AT457" s="301"/>
      <c r="AU457" s="301">
        <v>88750000</v>
      </c>
      <c r="AV457" s="301"/>
      <c r="AW457" s="301"/>
      <c r="AX457" s="301"/>
      <c r="AY457" s="301"/>
      <c r="AZ457" s="301"/>
      <c r="BA457" s="301">
        <v>88750000</v>
      </c>
      <c r="BB457" s="301"/>
      <c r="BC457" s="301"/>
      <c r="BD457" s="301"/>
      <c r="BE457" s="301">
        <v>88750000</v>
      </c>
      <c r="BF457" s="301"/>
      <c r="BG457" s="303"/>
      <c r="BH457" s="304"/>
    </row>
    <row r="458" spans="1:60" s="305" customFormat="1" ht="16.5" hidden="1" customHeight="1" x14ac:dyDescent="0.4">
      <c r="A458" s="285">
        <v>435</v>
      </c>
      <c r="B458" s="286"/>
      <c r="C458" s="286"/>
      <c r="D458" s="287" t="s">
        <v>92</v>
      </c>
      <c r="E458" s="287" t="s">
        <v>235</v>
      </c>
      <c r="F458" s="288" t="s">
        <v>92</v>
      </c>
      <c r="G458" s="289" t="s">
        <v>249</v>
      </c>
      <c r="H458" s="307"/>
      <c r="I458" s="290"/>
      <c r="J458" s="291" t="s">
        <v>557</v>
      </c>
      <c r="K458" s="287"/>
      <c r="L458" s="287"/>
      <c r="M458" s="287">
        <v>62942</v>
      </c>
      <c r="N458" s="287" t="s">
        <v>32</v>
      </c>
      <c r="O458" s="287" t="s">
        <v>33</v>
      </c>
      <c r="P458" s="287"/>
      <c r="Q458" s="287"/>
      <c r="R458" s="287"/>
      <c r="S458" s="292" t="s">
        <v>349</v>
      </c>
      <c r="T458" s="293"/>
      <c r="U458" s="294"/>
      <c r="V458" s="294"/>
      <c r="W458" s="295"/>
      <c r="X458" s="296"/>
      <c r="Y458" s="287"/>
      <c r="Z458" s="297" t="s">
        <v>618</v>
      </c>
      <c r="AA458" s="313"/>
      <c r="AB458" s="313"/>
      <c r="AC458" s="298">
        <f t="shared" si="16"/>
        <v>150000000</v>
      </c>
      <c r="AD458" s="298">
        <v>150000000</v>
      </c>
      <c r="AE458" s="298">
        <f t="shared" si="17"/>
        <v>0</v>
      </c>
      <c r="AF458" s="299"/>
      <c r="AG458" s="300"/>
      <c r="AH458" s="299"/>
      <c r="AI458" s="299"/>
      <c r="AJ458" s="300"/>
      <c r="AK458" s="299"/>
      <c r="AL458" s="301"/>
      <c r="AM458" s="314"/>
      <c r="AN458" s="301"/>
      <c r="AO458" s="302">
        <v>150000000</v>
      </c>
      <c r="AP458" s="301"/>
      <c r="AQ458" s="301"/>
      <c r="AR458" s="301"/>
      <c r="AS458" s="301"/>
      <c r="AT458" s="301"/>
      <c r="AU458" s="301"/>
      <c r="AV458" s="301"/>
      <c r="AW458" s="301"/>
      <c r="AX458" s="301"/>
      <c r="AY458" s="301"/>
      <c r="AZ458" s="301"/>
      <c r="BA458" s="301"/>
      <c r="BB458" s="301"/>
      <c r="BC458" s="301"/>
      <c r="BD458" s="301"/>
      <c r="BE458" s="301"/>
      <c r="BF458" s="301"/>
      <c r="BG458" s="303"/>
      <c r="BH458" s="304"/>
    </row>
    <row r="459" spans="1:60" s="305" customFormat="1" ht="16.5" hidden="1" customHeight="1" x14ac:dyDescent="0.4">
      <c r="A459" s="285">
        <v>436</v>
      </c>
      <c r="B459" s="286"/>
      <c r="C459" s="286"/>
      <c r="D459" s="287" t="s">
        <v>92</v>
      </c>
      <c r="E459" s="287" t="s">
        <v>102</v>
      </c>
      <c r="F459" s="288" t="s">
        <v>92</v>
      </c>
      <c r="G459" s="289" t="s">
        <v>249</v>
      </c>
      <c r="H459" s="307"/>
      <c r="I459" s="290"/>
      <c r="J459" s="291" t="s">
        <v>115</v>
      </c>
      <c r="K459" s="287"/>
      <c r="L459" s="287"/>
      <c r="M459" s="287">
        <v>45918</v>
      </c>
      <c r="N459" s="287" t="s">
        <v>23</v>
      </c>
      <c r="O459" s="287" t="s">
        <v>43</v>
      </c>
      <c r="P459" s="287" t="s">
        <v>98</v>
      </c>
      <c r="Q459" s="287" t="s">
        <v>27</v>
      </c>
      <c r="R459" s="287" t="s">
        <v>340</v>
      </c>
      <c r="S459" s="292" t="s">
        <v>340</v>
      </c>
      <c r="T459" s="293"/>
      <c r="U459" s="294">
        <v>4465000</v>
      </c>
      <c r="V459" s="294">
        <v>0</v>
      </c>
      <c r="W459" s="295"/>
      <c r="X459" s="296"/>
      <c r="Y459" s="287" t="s">
        <v>26</v>
      </c>
      <c r="Z459" s="297" t="s">
        <v>26</v>
      </c>
      <c r="AA459" s="313"/>
      <c r="AB459" s="313"/>
      <c r="AC459" s="298">
        <f t="shared" si="16"/>
        <v>10000000</v>
      </c>
      <c r="AD459" s="298">
        <v>10000000</v>
      </c>
      <c r="AE459" s="298">
        <f t="shared" si="17"/>
        <v>0</v>
      </c>
      <c r="AF459" s="299"/>
      <c r="AG459" s="300"/>
      <c r="AH459" s="299"/>
      <c r="AI459" s="299"/>
      <c r="AJ459" s="300"/>
      <c r="AK459" s="299"/>
      <c r="AL459" s="301"/>
      <c r="AM459" s="314"/>
      <c r="AN459" s="301"/>
      <c r="AO459" s="302"/>
      <c r="AP459" s="301"/>
      <c r="AQ459" s="301">
        <v>5000000</v>
      </c>
      <c r="AR459" s="301"/>
      <c r="AS459" s="301"/>
      <c r="AT459" s="301"/>
      <c r="AU459" s="301"/>
      <c r="AV459" s="301"/>
      <c r="AW459" s="301"/>
      <c r="AX459" s="301"/>
      <c r="AY459" s="301"/>
      <c r="AZ459" s="301"/>
      <c r="BA459" s="301">
        <v>5000000</v>
      </c>
      <c r="BB459" s="301"/>
      <c r="BC459" s="301"/>
      <c r="BD459" s="301"/>
      <c r="BE459" s="301"/>
      <c r="BF459" s="301"/>
      <c r="BG459" s="303"/>
      <c r="BH459" s="304"/>
    </row>
    <row r="460" spans="1:60" s="305" customFormat="1" ht="16.5" hidden="1" customHeight="1" x14ac:dyDescent="0.4">
      <c r="A460" s="285">
        <v>437</v>
      </c>
      <c r="B460" s="286"/>
      <c r="C460" s="286"/>
      <c r="D460" s="287" t="s">
        <v>92</v>
      </c>
      <c r="E460" s="287" t="s">
        <v>249</v>
      </c>
      <c r="F460" s="288" t="s">
        <v>92</v>
      </c>
      <c r="G460" s="289" t="s">
        <v>249</v>
      </c>
      <c r="H460" s="307"/>
      <c r="I460" s="290"/>
      <c r="J460" s="291" t="s">
        <v>258</v>
      </c>
      <c r="K460" s="287"/>
      <c r="L460" s="287"/>
      <c r="M460" s="287">
        <v>3813</v>
      </c>
      <c r="N460" s="287" t="s">
        <v>23</v>
      </c>
      <c r="O460" s="287" t="s">
        <v>33</v>
      </c>
      <c r="P460" s="287"/>
      <c r="Q460" s="287" t="s">
        <v>19</v>
      </c>
      <c r="R460" s="287" t="s">
        <v>340</v>
      </c>
      <c r="S460" s="292" t="s">
        <v>340</v>
      </c>
      <c r="T460" s="293"/>
      <c r="U460" s="294"/>
      <c r="V460" s="294">
        <v>0</v>
      </c>
      <c r="W460" s="295"/>
      <c r="X460" s="296"/>
      <c r="Y460" s="287" t="s">
        <v>25</v>
      </c>
      <c r="Z460" s="297" t="s">
        <v>26</v>
      </c>
      <c r="AA460" s="313"/>
      <c r="AB460" s="313"/>
      <c r="AC460" s="298">
        <f t="shared" si="16"/>
        <v>40000000</v>
      </c>
      <c r="AD460" s="298">
        <v>40000000</v>
      </c>
      <c r="AE460" s="298">
        <f t="shared" si="17"/>
        <v>0</v>
      </c>
      <c r="AF460" s="299"/>
      <c r="AG460" s="300"/>
      <c r="AH460" s="299"/>
      <c r="AI460" s="299"/>
      <c r="AJ460" s="300"/>
      <c r="AK460" s="299"/>
      <c r="AL460" s="301"/>
      <c r="AM460" s="314"/>
      <c r="AN460" s="301"/>
      <c r="AO460" s="302"/>
      <c r="AP460" s="301"/>
      <c r="AQ460" s="316">
        <v>20000000</v>
      </c>
      <c r="AR460" s="301"/>
      <c r="AS460" s="301"/>
      <c r="AT460" s="301"/>
      <c r="AU460" s="301"/>
      <c r="AV460" s="301"/>
      <c r="AW460" s="301"/>
      <c r="AX460" s="301"/>
      <c r="AY460" s="301"/>
      <c r="AZ460" s="301"/>
      <c r="BA460" s="301">
        <v>20000000</v>
      </c>
      <c r="BB460" s="301"/>
      <c r="BC460" s="301"/>
      <c r="BD460" s="301"/>
      <c r="BE460" s="301"/>
      <c r="BF460" s="301"/>
      <c r="BG460" s="303"/>
      <c r="BH460" s="304"/>
    </row>
    <row r="461" spans="1:60" s="305" customFormat="1" ht="16.5" hidden="1" customHeight="1" x14ac:dyDescent="0.4">
      <c r="A461" s="285">
        <v>438</v>
      </c>
      <c r="B461" s="286"/>
      <c r="C461" s="286"/>
      <c r="D461" s="287" t="s">
        <v>92</v>
      </c>
      <c r="E461" s="287" t="s">
        <v>249</v>
      </c>
      <c r="F461" s="288" t="s">
        <v>92</v>
      </c>
      <c r="G461" s="289" t="s">
        <v>249</v>
      </c>
      <c r="H461" s="307"/>
      <c r="I461" s="290"/>
      <c r="J461" s="291" t="s">
        <v>259</v>
      </c>
      <c r="K461" s="287"/>
      <c r="L461" s="287"/>
      <c r="M461" s="287">
        <v>1524</v>
      </c>
      <c r="N461" s="287" t="s">
        <v>32</v>
      </c>
      <c r="O461" s="287" t="s">
        <v>33</v>
      </c>
      <c r="P461" s="287"/>
      <c r="Q461" s="287"/>
      <c r="R461" s="287"/>
      <c r="S461" s="292" t="s">
        <v>29</v>
      </c>
      <c r="T461" s="293"/>
      <c r="U461" s="294"/>
      <c r="V461" s="294">
        <v>0</v>
      </c>
      <c r="W461" s="295"/>
      <c r="X461" s="296"/>
      <c r="Y461" s="287" t="s">
        <v>26</v>
      </c>
      <c r="Z461" s="297" t="s">
        <v>618</v>
      </c>
      <c r="AA461" s="313"/>
      <c r="AB461" s="313"/>
      <c r="AC461" s="298">
        <f t="shared" si="16"/>
        <v>150000000</v>
      </c>
      <c r="AD461" s="298">
        <v>150000000</v>
      </c>
      <c r="AE461" s="298">
        <f t="shared" si="17"/>
        <v>0</v>
      </c>
      <c r="AF461" s="299"/>
      <c r="AG461" s="300"/>
      <c r="AH461" s="299"/>
      <c r="AI461" s="299"/>
      <c r="AJ461" s="300"/>
      <c r="AK461" s="299"/>
      <c r="AL461" s="301"/>
      <c r="AM461" s="314"/>
      <c r="AN461" s="301"/>
      <c r="AO461" s="302"/>
      <c r="AP461" s="301"/>
      <c r="AQ461" s="301">
        <v>100000000</v>
      </c>
      <c r="AR461" s="301"/>
      <c r="AS461" s="301"/>
      <c r="AT461" s="301"/>
      <c r="AU461" s="301"/>
      <c r="AV461" s="301"/>
      <c r="AW461" s="301"/>
      <c r="AX461" s="301"/>
      <c r="AY461" s="301"/>
      <c r="AZ461" s="301"/>
      <c r="BA461" s="301"/>
      <c r="BB461" s="301"/>
      <c r="BC461" s="301"/>
      <c r="BD461" s="301"/>
      <c r="BE461" s="301">
        <v>50000000</v>
      </c>
      <c r="BF461" s="301"/>
      <c r="BG461" s="303"/>
      <c r="BH461" s="304"/>
    </row>
    <row r="462" spans="1:60" s="305" customFormat="1" ht="16.5" hidden="1" customHeight="1" x14ac:dyDescent="0.4">
      <c r="A462" s="285">
        <v>439</v>
      </c>
      <c r="B462" s="286"/>
      <c r="C462" s="286"/>
      <c r="D462" s="287" t="s">
        <v>92</v>
      </c>
      <c r="E462" s="287" t="s">
        <v>249</v>
      </c>
      <c r="F462" s="288" t="s">
        <v>92</v>
      </c>
      <c r="G462" s="289" t="s">
        <v>249</v>
      </c>
      <c r="H462" s="307"/>
      <c r="I462" s="290"/>
      <c r="J462" s="291" t="s">
        <v>259</v>
      </c>
      <c r="K462" s="287"/>
      <c r="L462" s="287"/>
      <c r="M462" s="287">
        <v>1524</v>
      </c>
      <c r="N462" s="287" t="s">
        <v>32</v>
      </c>
      <c r="O462" s="287" t="s">
        <v>33</v>
      </c>
      <c r="P462" s="287"/>
      <c r="Q462" s="287" t="s">
        <v>19</v>
      </c>
      <c r="R462" s="287" t="s">
        <v>31</v>
      </c>
      <c r="S462" s="292" t="s">
        <v>31</v>
      </c>
      <c r="T462" s="293"/>
      <c r="U462" s="294"/>
      <c r="V462" s="294">
        <v>0</v>
      </c>
      <c r="W462" s="295"/>
      <c r="X462" s="296"/>
      <c r="Y462" s="287" t="s">
        <v>26</v>
      </c>
      <c r="Z462" s="297" t="s">
        <v>618</v>
      </c>
      <c r="AA462" s="313"/>
      <c r="AB462" s="313"/>
      <c r="AC462" s="298">
        <f t="shared" si="16"/>
        <v>0</v>
      </c>
      <c r="AD462" s="298">
        <v>0</v>
      </c>
      <c r="AE462" s="298">
        <f t="shared" si="17"/>
        <v>0</v>
      </c>
      <c r="AF462" s="299"/>
      <c r="AG462" s="300"/>
      <c r="AH462" s="299"/>
      <c r="AI462" s="299"/>
      <c r="AJ462" s="300"/>
      <c r="AK462" s="299"/>
      <c r="AL462" s="301"/>
      <c r="AM462" s="314"/>
      <c r="AN462" s="301"/>
      <c r="AO462" s="302"/>
      <c r="AP462" s="301"/>
      <c r="AQ462" s="301"/>
      <c r="AR462" s="301"/>
      <c r="AS462" s="301"/>
      <c r="AT462" s="301"/>
      <c r="AU462" s="301"/>
      <c r="AV462" s="301"/>
      <c r="AW462" s="301"/>
      <c r="AX462" s="301"/>
      <c r="AY462" s="301"/>
      <c r="AZ462" s="301"/>
      <c r="BA462" s="301"/>
      <c r="BB462" s="301"/>
      <c r="BC462" s="301"/>
      <c r="BD462" s="301"/>
      <c r="BE462" s="301"/>
      <c r="BF462" s="301"/>
      <c r="BG462" s="303"/>
      <c r="BH462" s="304"/>
    </row>
    <row r="463" spans="1:60" s="305" customFormat="1" ht="16.5" hidden="1" customHeight="1" x14ac:dyDescent="0.4">
      <c r="A463" s="285">
        <v>440</v>
      </c>
      <c r="B463" s="286"/>
      <c r="C463" s="286"/>
      <c r="D463" s="287" t="s">
        <v>92</v>
      </c>
      <c r="E463" s="287" t="s">
        <v>249</v>
      </c>
      <c r="F463" s="288" t="s">
        <v>92</v>
      </c>
      <c r="G463" s="289" t="s">
        <v>249</v>
      </c>
      <c r="H463" s="307"/>
      <c r="I463" s="290"/>
      <c r="J463" s="291" t="s">
        <v>328</v>
      </c>
      <c r="K463" s="287"/>
      <c r="L463" s="287"/>
      <c r="M463" s="287">
        <v>43133</v>
      </c>
      <c r="N463" s="287" t="s">
        <v>32</v>
      </c>
      <c r="O463" s="287" t="s">
        <v>33</v>
      </c>
      <c r="P463" s="287" t="s">
        <v>44</v>
      </c>
      <c r="Q463" s="287" t="s">
        <v>30</v>
      </c>
      <c r="R463" s="287" t="s">
        <v>31</v>
      </c>
      <c r="S463" s="292" t="s">
        <v>31</v>
      </c>
      <c r="T463" s="293"/>
      <c r="U463" s="294">
        <v>5696000</v>
      </c>
      <c r="V463" s="294">
        <v>5180000</v>
      </c>
      <c r="W463" s="295"/>
      <c r="X463" s="296"/>
      <c r="Y463" s="287" t="s">
        <v>25</v>
      </c>
      <c r="Z463" s="297" t="s">
        <v>26</v>
      </c>
      <c r="AA463" s="313"/>
      <c r="AB463" s="313"/>
      <c r="AC463" s="298">
        <f t="shared" si="16"/>
        <v>5000000</v>
      </c>
      <c r="AD463" s="298">
        <v>5000000</v>
      </c>
      <c r="AE463" s="298">
        <f t="shared" si="17"/>
        <v>0</v>
      </c>
      <c r="AF463" s="299"/>
      <c r="AG463" s="300"/>
      <c r="AH463" s="299"/>
      <c r="AI463" s="299"/>
      <c r="AJ463" s="300"/>
      <c r="AK463" s="299"/>
      <c r="AL463" s="301"/>
      <c r="AM463" s="314"/>
      <c r="AN463" s="301"/>
      <c r="AO463" s="302"/>
      <c r="AP463" s="301"/>
      <c r="AQ463" s="301"/>
      <c r="AR463" s="301"/>
      <c r="AS463" s="301"/>
      <c r="AT463" s="301"/>
      <c r="AU463" s="301"/>
      <c r="AV463" s="301"/>
      <c r="AW463" s="301"/>
      <c r="AX463" s="301"/>
      <c r="AY463" s="301"/>
      <c r="AZ463" s="301"/>
      <c r="BA463" s="301"/>
      <c r="BB463" s="301"/>
      <c r="BC463" s="301">
        <v>5000000</v>
      </c>
      <c r="BD463" s="301"/>
      <c r="BE463" s="301"/>
      <c r="BF463" s="301"/>
      <c r="BG463" s="303"/>
      <c r="BH463" s="304"/>
    </row>
    <row r="464" spans="1:60" s="305" customFormat="1" ht="16.5" hidden="1" customHeight="1" x14ac:dyDescent="0.4">
      <c r="A464" s="285">
        <v>441</v>
      </c>
      <c r="B464" s="286"/>
      <c r="C464" s="286"/>
      <c r="D464" s="287" t="s">
        <v>92</v>
      </c>
      <c r="E464" s="287" t="s">
        <v>249</v>
      </c>
      <c r="F464" s="288" t="s">
        <v>92</v>
      </c>
      <c r="G464" s="289" t="s">
        <v>249</v>
      </c>
      <c r="H464" s="307"/>
      <c r="I464" s="290"/>
      <c r="J464" s="291" t="s">
        <v>328</v>
      </c>
      <c r="K464" s="287"/>
      <c r="L464" s="287"/>
      <c r="M464" s="287">
        <v>43133</v>
      </c>
      <c r="N464" s="287" t="s">
        <v>32</v>
      </c>
      <c r="O464" s="287" t="s">
        <v>33</v>
      </c>
      <c r="P464" s="287" t="s">
        <v>93</v>
      </c>
      <c r="Q464" s="287" t="s">
        <v>24</v>
      </c>
      <c r="R464" s="287" t="s">
        <v>221</v>
      </c>
      <c r="S464" s="292" t="s">
        <v>745</v>
      </c>
      <c r="T464" s="293"/>
      <c r="U464" s="294">
        <v>58000000</v>
      </c>
      <c r="V464" s="294">
        <v>93000000</v>
      </c>
      <c r="W464" s="295">
        <v>71000000</v>
      </c>
      <c r="X464" s="296"/>
      <c r="Y464" s="287" t="s">
        <v>28</v>
      </c>
      <c r="Z464" s="297" t="s">
        <v>25</v>
      </c>
      <c r="AA464" s="313"/>
      <c r="AB464" s="313"/>
      <c r="AC464" s="298">
        <f t="shared" si="16"/>
        <v>60000000</v>
      </c>
      <c r="AD464" s="298">
        <v>60000000</v>
      </c>
      <c r="AE464" s="298">
        <f t="shared" si="17"/>
        <v>0</v>
      </c>
      <c r="AF464" s="299"/>
      <c r="AG464" s="300"/>
      <c r="AH464" s="299"/>
      <c r="AI464" s="299"/>
      <c r="AJ464" s="300"/>
      <c r="AK464" s="299"/>
      <c r="AL464" s="301"/>
      <c r="AM464" s="314"/>
      <c r="AN464" s="301"/>
      <c r="AO464" s="302"/>
      <c r="AP464" s="301"/>
      <c r="AQ464" s="316">
        <v>60000000</v>
      </c>
      <c r="AR464" s="301"/>
      <c r="AS464" s="301"/>
      <c r="AT464" s="301"/>
      <c r="AU464" s="301"/>
      <c r="AV464" s="301"/>
      <c r="AW464" s="301"/>
      <c r="AX464" s="301"/>
      <c r="AY464" s="301"/>
      <c r="AZ464" s="301"/>
      <c r="BA464" s="301"/>
      <c r="BB464" s="301"/>
      <c r="BC464" s="301"/>
      <c r="BD464" s="301"/>
      <c r="BE464" s="301"/>
      <c r="BF464" s="301"/>
      <c r="BG464" s="303"/>
      <c r="BH464" s="304"/>
    </row>
    <row r="465" spans="1:60" s="305" customFormat="1" ht="16.5" hidden="1" customHeight="1" x14ac:dyDescent="0.4">
      <c r="A465" s="285">
        <v>442</v>
      </c>
      <c r="B465" s="286"/>
      <c r="C465" s="286"/>
      <c r="D465" s="287" t="s">
        <v>92</v>
      </c>
      <c r="E465" s="287" t="s">
        <v>249</v>
      </c>
      <c r="F465" s="288" t="s">
        <v>92</v>
      </c>
      <c r="G465" s="289" t="s">
        <v>249</v>
      </c>
      <c r="H465" s="307"/>
      <c r="I465" s="290"/>
      <c r="J465" s="291" t="s">
        <v>328</v>
      </c>
      <c r="K465" s="287"/>
      <c r="L465" s="287"/>
      <c r="M465" s="287">
        <v>43133</v>
      </c>
      <c r="N465" s="287" t="s">
        <v>32</v>
      </c>
      <c r="O465" s="287" t="s">
        <v>33</v>
      </c>
      <c r="P465" s="287"/>
      <c r="Q465" s="287" t="s">
        <v>24</v>
      </c>
      <c r="R465" s="287" t="s">
        <v>221</v>
      </c>
      <c r="S465" s="292" t="s">
        <v>745</v>
      </c>
      <c r="T465" s="293"/>
      <c r="U465" s="294"/>
      <c r="V465" s="294">
        <v>0</v>
      </c>
      <c r="W465" s="295">
        <v>0</v>
      </c>
      <c r="X465" s="296"/>
      <c r="Y465" s="287" t="s">
        <v>25</v>
      </c>
      <c r="Z465" s="297" t="s">
        <v>25</v>
      </c>
      <c r="AA465" s="313"/>
      <c r="AB465" s="313"/>
      <c r="AC465" s="298">
        <f t="shared" si="16"/>
        <v>60000000</v>
      </c>
      <c r="AD465" s="298">
        <v>60000000</v>
      </c>
      <c r="AE465" s="298">
        <f t="shared" si="17"/>
        <v>0</v>
      </c>
      <c r="AF465" s="299"/>
      <c r="AG465" s="300"/>
      <c r="AH465" s="299"/>
      <c r="AI465" s="299"/>
      <c r="AJ465" s="300"/>
      <c r="AK465" s="299"/>
      <c r="AL465" s="301"/>
      <c r="AM465" s="314"/>
      <c r="AN465" s="301"/>
      <c r="AO465" s="302"/>
      <c r="AP465" s="301"/>
      <c r="AQ465" s="301"/>
      <c r="AR465" s="301"/>
      <c r="AS465" s="301"/>
      <c r="AT465" s="301"/>
      <c r="AU465" s="301"/>
      <c r="AV465" s="301"/>
      <c r="AW465" s="301"/>
      <c r="AX465" s="301"/>
      <c r="AY465" s="301"/>
      <c r="AZ465" s="301"/>
      <c r="BA465" s="301"/>
      <c r="BB465" s="301"/>
      <c r="BC465" s="301"/>
      <c r="BD465" s="301"/>
      <c r="BE465" s="301">
        <v>60000000</v>
      </c>
      <c r="BF465" s="301"/>
      <c r="BG465" s="303"/>
      <c r="BH465" s="304"/>
    </row>
    <row r="466" spans="1:60" s="305" customFormat="1" ht="16.5" hidden="1" customHeight="1" x14ac:dyDescent="0.4">
      <c r="A466" s="285">
        <v>443</v>
      </c>
      <c r="B466" s="286"/>
      <c r="C466" s="286"/>
      <c r="D466" s="287" t="s">
        <v>92</v>
      </c>
      <c r="E466" s="287" t="s">
        <v>249</v>
      </c>
      <c r="F466" s="288" t="s">
        <v>92</v>
      </c>
      <c r="G466" s="289" t="s">
        <v>249</v>
      </c>
      <c r="H466" s="307"/>
      <c r="I466" s="290"/>
      <c r="J466" s="291" t="s">
        <v>817</v>
      </c>
      <c r="K466" s="287"/>
      <c r="L466" s="287"/>
      <c r="M466" s="287">
        <v>43610</v>
      </c>
      <c r="N466" s="287" t="s">
        <v>32</v>
      </c>
      <c r="O466" s="287" t="s">
        <v>43</v>
      </c>
      <c r="P466" s="287"/>
      <c r="Q466" s="287" t="s">
        <v>27</v>
      </c>
      <c r="R466" s="287" t="s">
        <v>221</v>
      </c>
      <c r="S466" s="292" t="s">
        <v>745</v>
      </c>
      <c r="T466" s="293"/>
      <c r="U466" s="294" t="s">
        <v>97</v>
      </c>
      <c r="V466" s="294">
        <v>5895455</v>
      </c>
      <c r="W466" s="295"/>
      <c r="X466" s="296"/>
      <c r="Y466" s="287"/>
      <c r="Z466" s="297" t="s">
        <v>28</v>
      </c>
      <c r="AA466" s="313"/>
      <c r="AB466" s="313"/>
      <c r="AC466" s="298">
        <f t="shared" si="16"/>
        <v>13636634</v>
      </c>
      <c r="AD466" s="298">
        <v>13636634</v>
      </c>
      <c r="AE466" s="298">
        <f t="shared" si="17"/>
        <v>0</v>
      </c>
      <c r="AF466" s="299"/>
      <c r="AG466" s="300"/>
      <c r="AH466" s="299"/>
      <c r="AI466" s="299"/>
      <c r="AJ466" s="300"/>
      <c r="AK466" s="299"/>
      <c r="AL466" s="301"/>
      <c r="AM466" s="314"/>
      <c r="AN466" s="301" t="s">
        <v>806</v>
      </c>
      <c r="AO466" s="302">
        <v>13636634</v>
      </c>
      <c r="AP466" s="301"/>
      <c r="AQ466" s="301"/>
      <c r="AR466" s="301"/>
      <c r="AS466" s="301"/>
      <c r="AT466" s="301"/>
      <c r="AU466" s="301"/>
      <c r="AV466" s="301"/>
      <c r="AW466" s="301"/>
      <c r="AX466" s="301"/>
      <c r="AY466" s="301"/>
      <c r="AZ466" s="301"/>
      <c r="BA466" s="301"/>
      <c r="BB466" s="301"/>
      <c r="BC466" s="301"/>
      <c r="BD466" s="301"/>
      <c r="BE466" s="301"/>
      <c r="BF466" s="301"/>
      <c r="BG466" s="303"/>
      <c r="BH466" s="304"/>
    </row>
    <row r="467" spans="1:60" s="305" customFormat="1" ht="16.5" hidden="1" customHeight="1" x14ac:dyDescent="0.4">
      <c r="A467" s="285">
        <v>444</v>
      </c>
      <c r="B467" s="286"/>
      <c r="C467" s="286"/>
      <c r="D467" s="287" t="s">
        <v>92</v>
      </c>
      <c r="E467" s="287" t="s">
        <v>249</v>
      </c>
      <c r="F467" s="288" t="s">
        <v>92</v>
      </c>
      <c r="G467" s="289" t="s">
        <v>249</v>
      </c>
      <c r="H467" s="307"/>
      <c r="I467" s="290"/>
      <c r="J467" s="291" t="s">
        <v>90</v>
      </c>
      <c r="K467" s="287"/>
      <c r="L467" s="287"/>
      <c r="M467" s="287">
        <v>4352</v>
      </c>
      <c r="N467" s="287" t="s">
        <v>32</v>
      </c>
      <c r="O467" s="287" t="s">
        <v>43</v>
      </c>
      <c r="P467" s="287"/>
      <c r="Q467" s="287" t="s">
        <v>49</v>
      </c>
      <c r="R467" s="287" t="s">
        <v>29</v>
      </c>
      <c r="S467" s="292" t="s">
        <v>29</v>
      </c>
      <c r="T467" s="293"/>
      <c r="U467" s="294">
        <v>158400000</v>
      </c>
      <c r="V467" s="294">
        <v>119555000</v>
      </c>
      <c r="W467" s="295">
        <v>119555000</v>
      </c>
      <c r="X467" s="296"/>
      <c r="Y467" s="287" t="s">
        <v>28</v>
      </c>
      <c r="Z467" s="297" t="s">
        <v>28</v>
      </c>
      <c r="AA467" s="313"/>
      <c r="AB467" s="313"/>
      <c r="AC467" s="298">
        <f t="shared" si="16"/>
        <v>123500000</v>
      </c>
      <c r="AD467" s="298">
        <v>123500000</v>
      </c>
      <c r="AE467" s="298">
        <f t="shared" si="17"/>
        <v>0</v>
      </c>
      <c r="AF467" s="299"/>
      <c r="AG467" s="300"/>
      <c r="AH467" s="299"/>
      <c r="AI467" s="299"/>
      <c r="AJ467" s="300"/>
      <c r="AK467" s="299"/>
      <c r="AL467" s="301"/>
      <c r="AM467" s="314"/>
      <c r="AN467" s="301" t="s">
        <v>807</v>
      </c>
      <c r="AO467" s="302">
        <v>61750000</v>
      </c>
      <c r="AP467" s="301" t="s">
        <v>868</v>
      </c>
      <c r="AQ467" s="301"/>
      <c r="AR467" s="301"/>
      <c r="AS467" s="301"/>
      <c r="AT467" s="301"/>
      <c r="AU467" s="301"/>
      <c r="AV467" s="301"/>
      <c r="AW467" s="301"/>
      <c r="AX467" s="301"/>
      <c r="AY467" s="301"/>
      <c r="AZ467" s="301"/>
      <c r="BA467" s="301"/>
      <c r="BB467" s="301"/>
      <c r="BC467" s="301"/>
      <c r="BD467" s="301"/>
      <c r="BE467" s="301">
        <v>61750000</v>
      </c>
      <c r="BF467" s="301" t="s">
        <v>869</v>
      </c>
      <c r="BG467" s="303"/>
      <c r="BH467" s="304"/>
    </row>
    <row r="468" spans="1:60" s="305" customFormat="1" ht="16.5" hidden="1" customHeight="1" x14ac:dyDescent="0.4">
      <c r="A468" s="285">
        <v>445</v>
      </c>
      <c r="B468" s="286"/>
      <c r="C468" s="286"/>
      <c r="D468" s="287" t="s">
        <v>92</v>
      </c>
      <c r="E468" s="287" t="s">
        <v>249</v>
      </c>
      <c r="F468" s="288" t="s">
        <v>92</v>
      </c>
      <c r="G468" s="289" t="s">
        <v>249</v>
      </c>
      <c r="H468" s="307"/>
      <c r="I468" s="290"/>
      <c r="J468" s="291" t="s">
        <v>90</v>
      </c>
      <c r="K468" s="287"/>
      <c r="L468" s="287"/>
      <c r="M468" s="287">
        <v>4352</v>
      </c>
      <c r="N468" s="287" t="s">
        <v>32</v>
      </c>
      <c r="O468" s="287" t="s">
        <v>43</v>
      </c>
      <c r="P468" s="287"/>
      <c r="Q468" s="287" t="s">
        <v>24</v>
      </c>
      <c r="R468" s="287" t="s">
        <v>221</v>
      </c>
      <c r="S468" s="292" t="s">
        <v>745</v>
      </c>
      <c r="T468" s="293"/>
      <c r="U468" s="294">
        <v>7800000</v>
      </c>
      <c r="V468" s="294">
        <v>0</v>
      </c>
      <c r="W468" s="295"/>
      <c r="X468" s="296"/>
      <c r="Y468" s="287" t="s">
        <v>22</v>
      </c>
      <c r="Z468" s="297" t="s">
        <v>22</v>
      </c>
      <c r="AA468" s="313"/>
      <c r="AB468" s="313"/>
      <c r="AC468" s="298">
        <f t="shared" si="16"/>
        <v>0</v>
      </c>
      <c r="AD468" s="298">
        <v>0</v>
      </c>
      <c r="AE468" s="298">
        <f t="shared" si="17"/>
        <v>0</v>
      </c>
      <c r="AF468" s="299"/>
      <c r="AG468" s="300"/>
      <c r="AH468" s="299"/>
      <c r="AI468" s="299"/>
      <c r="AJ468" s="300"/>
      <c r="AK468" s="299"/>
      <c r="AL468" s="301"/>
      <c r="AM468" s="314"/>
      <c r="AN468" s="301"/>
      <c r="AO468" s="302"/>
      <c r="AP468" s="301"/>
      <c r="AQ468" s="301"/>
      <c r="AR468" s="301"/>
      <c r="AS468" s="301"/>
      <c r="AT468" s="301"/>
      <c r="AU468" s="301"/>
      <c r="AV468" s="301"/>
      <c r="AW468" s="301"/>
      <c r="AX468" s="301"/>
      <c r="AY468" s="301"/>
      <c r="AZ468" s="301"/>
      <c r="BA468" s="301"/>
      <c r="BB468" s="301"/>
      <c r="BC468" s="301"/>
      <c r="BD468" s="301"/>
      <c r="BE468" s="301"/>
      <c r="BF468" s="301"/>
      <c r="BG468" s="303"/>
      <c r="BH468" s="304"/>
    </row>
    <row r="469" spans="1:60" s="305" customFormat="1" ht="16.5" hidden="1" customHeight="1" x14ac:dyDescent="0.4">
      <c r="A469" s="285">
        <v>446</v>
      </c>
      <c r="B469" s="286"/>
      <c r="C469" s="286"/>
      <c r="D469" s="287" t="s">
        <v>92</v>
      </c>
      <c r="E469" s="287" t="s">
        <v>249</v>
      </c>
      <c r="F469" s="288" t="s">
        <v>92</v>
      </c>
      <c r="G469" s="289" t="s">
        <v>249</v>
      </c>
      <c r="H469" s="307"/>
      <c r="I469" s="290"/>
      <c r="J469" s="291" t="s">
        <v>260</v>
      </c>
      <c r="K469" s="287"/>
      <c r="L469" s="287"/>
      <c r="M469" s="287">
        <v>45607</v>
      </c>
      <c r="N469" s="287" t="s">
        <v>32</v>
      </c>
      <c r="O469" s="287" t="s">
        <v>43</v>
      </c>
      <c r="P469" s="287"/>
      <c r="Q469" s="287"/>
      <c r="R469" s="287" t="s">
        <v>221</v>
      </c>
      <c r="S469" s="292" t="s">
        <v>745</v>
      </c>
      <c r="T469" s="293"/>
      <c r="U469" s="294"/>
      <c r="V469" s="294">
        <v>0</v>
      </c>
      <c r="W469" s="295">
        <v>125409091</v>
      </c>
      <c r="X469" s="296"/>
      <c r="Y469" s="287" t="s">
        <v>28</v>
      </c>
      <c r="Z469" s="297" t="s">
        <v>28</v>
      </c>
      <c r="AA469" s="313"/>
      <c r="AB469" s="313"/>
      <c r="AC469" s="298">
        <f t="shared" si="16"/>
        <v>4000000</v>
      </c>
      <c r="AD469" s="298">
        <v>4000000</v>
      </c>
      <c r="AE469" s="298">
        <f t="shared" si="17"/>
        <v>0</v>
      </c>
      <c r="AF469" s="299"/>
      <c r="AG469" s="300"/>
      <c r="AH469" s="299"/>
      <c r="AI469" s="299"/>
      <c r="AJ469" s="300"/>
      <c r="AK469" s="299"/>
      <c r="AL469" s="301"/>
      <c r="AM469" s="314"/>
      <c r="AN469" s="301"/>
      <c r="AO469" s="302"/>
      <c r="AP469" s="301"/>
      <c r="AQ469" s="301"/>
      <c r="AR469" s="301"/>
      <c r="AS469" s="301">
        <v>4000000</v>
      </c>
      <c r="AT469" s="301"/>
      <c r="AU469" s="301"/>
      <c r="AV469" s="301"/>
      <c r="AW469" s="301"/>
      <c r="AX469" s="301"/>
      <c r="AY469" s="301"/>
      <c r="AZ469" s="301"/>
      <c r="BA469" s="301"/>
      <c r="BB469" s="301"/>
      <c r="BC469" s="301"/>
      <c r="BD469" s="301"/>
      <c r="BE469" s="301"/>
      <c r="BF469" s="301"/>
      <c r="BG469" s="303"/>
      <c r="BH469" s="304"/>
    </row>
    <row r="470" spans="1:60" s="305" customFormat="1" ht="16.5" hidden="1" customHeight="1" x14ac:dyDescent="0.4">
      <c r="A470" s="285">
        <v>447</v>
      </c>
      <c r="B470" s="286"/>
      <c r="C470" s="286"/>
      <c r="D470" s="287" t="s">
        <v>92</v>
      </c>
      <c r="E470" s="287" t="s">
        <v>249</v>
      </c>
      <c r="F470" s="288" t="s">
        <v>92</v>
      </c>
      <c r="G470" s="289" t="s">
        <v>249</v>
      </c>
      <c r="H470" s="307"/>
      <c r="I470" s="290"/>
      <c r="J470" s="291" t="s">
        <v>260</v>
      </c>
      <c r="K470" s="287"/>
      <c r="L470" s="287"/>
      <c r="M470" s="287">
        <v>45607</v>
      </c>
      <c r="N470" s="287" t="s">
        <v>32</v>
      </c>
      <c r="O470" s="287" t="s">
        <v>43</v>
      </c>
      <c r="P470" s="287" t="s">
        <v>44</v>
      </c>
      <c r="Q470" s="287" t="s">
        <v>46</v>
      </c>
      <c r="R470" s="287" t="s">
        <v>347</v>
      </c>
      <c r="S470" s="292" t="s">
        <v>750</v>
      </c>
      <c r="T470" s="293"/>
      <c r="U470" s="294"/>
      <c r="V470" s="294">
        <v>43454545</v>
      </c>
      <c r="W470" s="295">
        <v>11700000</v>
      </c>
      <c r="X470" s="296"/>
      <c r="Y470" s="287" t="s">
        <v>28</v>
      </c>
      <c r="Z470" s="297" t="s">
        <v>28</v>
      </c>
      <c r="AA470" s="313"/>
      <c r="AB470" s="313"/>
      <c r="AC470" s="298">
        <f t="shared" si="16"/>
        <v>15600000</v>
      </c>
      <c r="AD470" s="298">
        <v>15600000</v>
      </c>
      <c r="AE470" s="298">
        <f t="shared" si="17"/>
        <v>0</v>
      </c>
      <c r="AF470" s="299"/>
      <c r="AG470" s="300"/>
      <c r="AH470" s="299"/>
      <c r="AI470" s="299">
        <v>1300000</v>
      </c>
      <c r="AJ470" s="300">
        <v>1300000</v>
      </c>
      <c r="AK470" s="299"/>
      <c r="AL470" s="301"/>
      <c r="AM470" s="314">
        <v>1300000</v>
      </c>
      <c r="AN470" s="301"/>
      <c r="AO470" s="302">
        <v>1300000</v>
      </c>
      <c r="AP470" s="301"/>
      <c r="AQ470" s="301">
        <v>1300000</v>
      </c>
      <c r="AR470" s="301"/>
      <c r="AS470" s="301">
        <v>1300000</v>
      </c>
      <c r="AT470" s="301"/>
      <c r="AU470" s="301">
        <v>1300000</v>
      </c>
      <c r="AV470" s="301"/>
      <c r="AW470" s="301">
        <v>1300000</v>
      </c>
      <c r="AX470" s="301"/>
      <c r="AY470" s="301">
        <v>1300000</v>
      </c>
      <c r="AZ470" s="301"/>
      <c r="BA470" s="301">
        <v>1300000</v>
      </c>
      <c r="BB470" s="301"/>
      <c r="BC470" s="301">
        <v>1300000</v>
      </c>
      <c r="BD470" s="301"/>
      <c r="BE470" s="301">
        <v>2600000</v>
      </c>
      <c r="BF470" s="301"/>
      <c r="BG470" s="303"/>
      <c r="BH470" s="304"/>
    </row>
    <row r="471" spans="1:60" s="305" customFormat="1" ht="16.5" hidden="1" customHeight="1" x14ac:dyDescent="0.4">
      <c r="A471" s="285">
        <v>448</v>
      </c>
      <c r="B471" s="286"/>
      <c r="C471" s="286"/>
      <c r="D471" s="287" t="s">
        <v>92</v>
      </c>
      <c r="E471" s="287" t="s">
        <v>249</v>
      </c>
      <c r="F471" s="288" t="s">
        <v>92</v>
      </c>
      <c r="G471" s="289" t="s">
        <v>249</v>
      </c>
      <c r="H471" s="307"/>
      <c r="I471" s="290"/>
      <c r="J471" s="291" t="s">
        <v>261</v>
      </c>
      <c r="K471" s="287"/>
      <c r="L471" s="287"/>
      <c r="M471" s="287">
        <v>3872</v>
      </c>
      <c r="N471" s="287" t="s">
        <v>32</v>
      </c>
      <c r="O471" s="287" t="s">
        <v>43</v>
      </c>
      <c r="P471" s="287" t="s">
        <v>98</v>
      </c>
      <c r="Q471" s="287" t="s">
        <v>19</v>
      </c>
      <c r="R471" s="287" t="s">
        <v>29</v>
      </c>
      <c r="S471" s="292" t="s">
        <v>29</v>
      </c>
      <c r="T471" s="293" t="s">
        <v>798</v>
      </c>
      <c r="U471" s="294"/>
      <c r="V471" s="294">
        <v>0</v>
      </c>
      <c r="W471" s="295">
        <v>48984820</v>
      </c>
      <c r="X471" s="296"/>
      <c r="Y471" s="287" t="s">
        <v>28</v>
      </c>
      <c r="Z471" s="297" t="s">
        <v>28</v>
      </c>
      <c r="AA471" s="313"/>
      <c r="AB471" s="313"/>
      <c r="AC471" s="298">
        <f t="shared" si="16"/>
        <v>135389816</v>
      </c>
      <c r="AD471" s="298">
        <v>135389816</v>
      </c>
      <c r="AE471" s="298">
        <f t="shared" si="17"/>
        <v>0</v>
      </c>
      <c r="AF471" s="299"/>
      <c r="AG471" s="300"/>
      <c r="AH471" s="299"/>
      <c r="AI471" s="299"/>
      <c r="AJ471" s="300"/>
      <c r="AK471" s="299"/>
      <c r="AL471" s="301"/>
      <c r="AM471" s="314"/>
      <c r="AN471" s="301" t="s">
        <v>808</v>
      </c>
      <c r="AO471" s="302">
        <v>30389816</v>
      </c>
      <c r="AP471" s="301"/>
      <c r="AQ471" s="301"/>
      <c r="AR471" s="301"/>
      <c r="AS471" s="301">
        <v>30000000</v>
      </c>
      <c r="AT471" s="301"/>
      <c r="AU471" s="301"/>
      <c r="AV471" s="301"/>
      <c r="AW471" s="301"/>
      <c r="AX471" s="301"/>
      <c r="AY471" s="301">
        <v>36000000</v>
      </c>
      <c r="AZ471" s="301"/>
      <c r="BA471" s="301"/>
      <c r="BB471" s="301"/>
      <c r="BC471" s="301"/>
      <c r="BD471" s="301"/>
      <c r="BE471" s="301">
        <v>39000000</v>
      </c>
      <c r="BF471" s="301"/>
      <c r="BG471" s="303"/>
      <c r="BH471" s="304"/>
    </row>
    <row r="472" spans="1:60" s="305" customFormat="1" ht="16.5" hidden="1" customHeight="1" x14ac:dyDescent="0.4">
      <c r="A472" s="285">
        <v>449</v>
      </c>
      <c r="B472" s="286"/>
      <c r="C472" s="286"/>
      <c r="D472" s="287" t="s">
        <v>92</v>
      </c>
      <c r="E472" s="287" t="s">
        <v>249</v>
      </c>
      <c r="F472" s="288" t="s">
        <v>92</v>
      </c>
      <c r="G472" s="289" t="s">
        <v>249</v>
      </c>
      <c r="H472" s="307"/>
      <c r="I472" s="290"/>
      <c r="J472" s="291" t="s">
        <v>261</v>
      </c>
      <c r="K472" s="287"/>
      <c r="L472" s="287"/>
      <c r="M472" s="287">
        <v>3872</v>
      </c>
      <c r="N472" s="287" t="s">
        <v>32</v>
      </c>
      <c r="O472" s="287" t="s">
        <v>43</v>
      </c>
      <c r="P472" s="287"/>
      <c r="Q472" s="287" t="s">
        <v>19</v>
      </c>
      <c r="R472" s="287" t="s">
        <v>20</v>
      </c>
      <c r="S472" s="292" t="s">
        <v>20</v>
      </c>
      <c r="T472" s="293"/>
      <c r="U472" s="294">
        <v>3398500</v>
      </c>
      <c r="V472" s="294">
        <v>3189000</v>
      </c>
      <c r="W472" s="295">
        <v>6447000</v>
      </c>
      <c r="X472" s="296"/>
      <c r="Y472" s="287" t="s">
        <v>22</v>
      </c>
      <c r="Z472" s="297" t="s">
        <v>618</v>
      </c>
      <c r="AA472" s="313"/>
      <c r="AB472" s="313"/>
      <c r="AC472" s="298">
        <f t="shared" ref="AC472:AC535" si="18">AG472+AJ472+AM472+AO472+AQ472+AS472+AU472+AW472+AY472+BA472+BC472+BE472</f>
        <v>0</v>
      </c>
      <c r="AD472" s="298">
        <v>0</v>
      </c>
      <c r="AE472" s="298">
        <f t="shared" ref="AE472:AE535" si="19">AC472-AD472</f>
        <v>0</v>
      </c>
      <c r="AF472" s="299"/>
      <c r="AG472" s="300"/>
      <c r="AH472" s="299"/>
      <c r="AI472" s="299"/>
      <c r="AJ472" s="300"/>
      <c r="AK472" s="299"/>
      <c r="AL472" s="301"/>
      <c r="AM472" s="314"/>
      <c r="AN472" s="301"/>
      <c r="AO472" s="302"/>
      <c r="AP472" s="301"/>
      <c r="AQ472" s="301"/>
      <c r="AR472" s="301"/>
      <c r="AS472" s="301"/>
      <c r="AT472" s="301"/>
      <c r="AU472" s="301"/>
      <c r="AV472" s="301"/>
      <c r="AW472" s="301"/>
      <c r="AX472" s="301"/>
      <c r="AY472" s="301"/>
      <c r="AZ472" s="301"/>
      <c r="BA472" s="301"/>
      <c r="BB472" s="301"/>
      <c r="BC472" s="301"/>
      <c r="BD472" s="301"/>
      <c r="BE472" s="301"/>
      <c r="BF472" s="301"/>
      <c r="BG472" s="303"/>
      <c r="BH472" s="304"/>
    </row>
    <row r="473" spans="1:60" s="305" customFormat="1" ht="16.5" hidden="1" customHeight="1" x14ac:dyDescent="0.4">
      <c r="A473" s="285">
        <v>450</v>
      </c>
      <c r="B473" s="286"/>
      <c r="C473" s="286"/>
      <c r="D473" s="287" t="s">
        <v>92</v>
      </c>
      <c r="E473" s="287" t="s">
        <v>249</v>
      </c>
      <c r="F473" s="288" t="s">
        <v>92</v>
      </c>
      <c r="G473" s="289" t="s">
        <v>249</v>
      </c>
      <c r="H473" s="307"/>
      <c r="I473" s="290"/>
      <c r="J473" s="291" t="s">
        <v>261</v>
      </c>
      <c r="K473" s="287"/>
      <c r="L473" s="287"/>
      <c r="M473" s="287">
        <v>3872</v>
      </c>
      <c r="N473" s="287" t="s">
        <v>32</v>
      </c>
      <c r="O473" s="287" t="s">
        <v>43</v>
      </c>
      <c r="P473" s="287" t="s">
        <v>98</v>
      </c>
      <c r="Q473" s="287" t="s">
        <v>19</v>
      </c>
      <c r="R473" s="287" t="s">
        <v>31</v>
      </c>
      <c r="S473" s="292" t="s">
        <v>31</v>
      </c>
      <c r="T473" s="293"/>
      <c r="U473" s="294">
        <v>14432440</v>
      </c>
      <c r="V473" s="294">
        <v>0</v>
      </c>
      <c r="W473" s="295">
        <v>13772000</v>
      </c>
      <c r="X473" s="296"/>
      <c r="Y473" s="287" t="s">
        <v>28</v>
      </c>
      <c r="Z473" s="297" t="s">
        <v>618</v>
      </c>
      <c r="AA473" s="313"/>
      <c r="AB473" s="313"/>
      <c r="AC473" s="298">
        <f t="shared" si="18"/>
        <v>0</v>
      </c>
      <c r="AD473" s="298">
        <v>0</v>
      </c>
      <c r="AE473" s="298">
        <f t="shared" si="19"/>
        <v>0</v>
      </c>
      <c r="AF473" s="299"/>
      <c r="AG473" s="300"/>
      <c r="AH473" s="299"/>
      <c r="AI473" s="299"/>
      <c r="AJ473" s="300"/>
      <c r="AK473" s="299"/>
      <c r="AL473" s="301"/>
      <c r="AM473" s="314"/>
      <c r="AN473" s="301"/>
      <c r="AO473" s="302"/>
      <c r="AP473" s="301"/>
      <c r="AQ473" s="301"/>
      <c r="AR473" s="301"/>
      <c r="AS473" s="301"/>
      <c r="AT473" s="301"/>
      <c r="AU473" s="301"/>
      <c r="AV473" s="301"/>
      <c r="AW473" s="301"/>
      <c r="AX473" s="301"/>
      <c r="AY473" s="301"/>
      <c r="AZ473" s="301"/>
      <c r="BA473" s="301"/>
      <c r="BB473" s="301"/>
      <c r="BC473" s="301"/>
      <c r="BD473" s="301"/>
      <c r="BE473" s="301"/>
      <c r="BF473" s="301"/>
      <c r="BG473" s="303"/>
      <c r="BH473" s="304"/>
    </row>
    <row r="474" spans="1:60" s="305" customFormat="1" ht="16.5" hidden="1" customHeight="1" x14ac:dyDescent="0.4">
      <c r="A474" s="285">
        <v>451</v>
      </c>
      <c r="B474" s="286"/>
      <c r="C474" s="286"/>
      <c r="D474" s="287" t="s">
        <v>92</v>
      </c>
      <c r="E474" s="287" t="s">
        <v>249</v>
      </c>
      <c r="F474" s="288" t="s">
        <v>92</v>
      </c>
      <c r="G474" s="289" t="s">
        <v>249</v>
      </c>
      <c r="H474" s="307"/>
      <c r="I474" s="290"/>
      <c r="J474" s="291" t="s">
        <v>261</v>
      </c>
      <c r="K474" s="287"/>
      <c r="L474" s="287"/>
      <c r="M474" s="287">
        <v>3872</v>
      </c>
      <c r="N474" s="287" t="s">
        <v>32</v>
      </c>
      <c r="O474" s="287" t="s">
        <v>43</v>
      </c>
      <c r="P474" s="287"/>
      <c r="Q474" s="287"/>
      <c r="R474" s="287"/>
      <c r="S474" s="292" t="s">
        <v>340</v>
      </c>
      <c r="T474" s="293"/>
      <c r="U474" s="294"/>
      <c r="V474" s="294"/>
      <c r="W474" s="295"/>
      <c r="X474" s="296"/>
      <c r="Y474" s="287" t="s">
        <v>28</v>
      </c>
      <c r="Z474" s="297" t="s">
        <v>28</v>
      </c>
      <c r="AA474" s="313"/>
      <c r="AB474" s="313"/>
      <c r="AC474" s="298">
        <f t="shared" si="18"/>
        <v>50000000</v>
      </c>
      <c r="AD474" s="298">
        <v>50000000</v>
      </c>
      <c r="AE474" s="298">
        <f t="shared" si="19"/>
        <v>0</v>
      </c>
      <c r="AF474" s="299"/>
      <c r="AG474" s="300"/>
      <c r="AH474" s="299"/>
      <c r="AI474" s="299"/>
      <c r="AJ474" s="300"/>
      <c r="AK474" s="299"/>
      <c r="AL474" s="301"/>
      <c r="AM474" s="314"/>
      <c r="AN474" s="301"/>
      <c r="AO474" s="302"/>
      <c r="AP474" s="301"/>
      <c r="AQ474" s="301"/>
      <c r="AR474" s="301"/>
      <c r="AS474" s="301"/>
      <c r="AT474" s="301"/>
      <c r="AU474" s="301"/>
      <c r="AV474" s="301"/>
      <c r="AW474" s="301"/>
      <c r="AX474" s="301"/>
      <c r="AY474" s="301"/>
      <c r="AZ474" s="301"/>
      <c r="BA474" s="301">
        <v>50000000</v>
      </c>
      <c r="BB474" s="301"/>
      <c r="BC474" s="301"/>
      <c r="BD474" s="301"/>
      <c r="BE474" s="301"/>
      <c r="BF474" s="301"/>
      <c r="BG474" s="303"/>
      <c r="BH474" s="304"/>
    </row>
    <row r="475" spans="1:60" s="305" customFormat="1" ht="16.5" hidden="1" customHeight="1" x14ac:dyDescent="0.4">
      <c r="A475" s="285">
        <v>452</v>
      </c>
      <c r="B475" s="286"/>
      <c r="C475" s="286"/>
      <c r="D475" s="287" t="s">
        <v>92</v>
      </c>
      <c r="E475" s="287" t="s">
        <v>249</v>
      </c>
      <c r="F475" s="288" t="s">
        <v>92</v>
      </c>
      <c r="G475" s="289" t="s">
        <v>249</v>
      </c>
      <c r="H475" s="307"/>
      <c r="I475" s="290"/>
      <c r="J475" s="291" t="s">
        <v>261</v>
      </c>
      <c r="K475" s="287"/>
      <c r="L475" s="287"/>
      <c r="M475" s="287">
        <v>3872</v>
      </c>
      <c r="N475" s="287" t="s">
        <v>32</v>
      </c>
      <c r="O475" s="287" t="s">
        <v>33</v>
      </c>
      <c r="P475" s="287"/>
      <c r="Q475" s="287"/>
      <c r="R475" s="287"/>
      <c r="S475" s="292" t="s">
        <v>340</v>
      </c>
      <c r="T475" s="293"/>
      <c r="U475" s="294"/>
      <c r="V475" s="294"/>
      <c r="W475" s="295"/>
      <c r="X475" s="296"/>
      <c r="Y475" s="287"/>
      <c r="Z475" s="297" t="s">
        <v>56</v>
      </c>
      <c r="AA475" s="313"/>
      <c r="AB475" s="313"/>
      <c r="AC475" s="298">
        <f t="shared" si="18"/>
        <v>190000000</v>
      </c>
      <c r="AD475" s="298">
        <v>190000000</v>
      </c>
      <c r="AE475" s="298">
        <f t="shared" si="19"/>
        <v>0</v>
      </c>
      <c r="AF475" s="299"/>
      <c r="AG475" s="300"/>
      <c r="AH475" s="299"/>
      <c r="AI475" s="299"/>
      <c r="AJ475" s="300"/>
      <c r="AK475" s="299"/>
      <c r="AL475" s="301"/>
      <c r="AM475" s="314"/>
      <c r="AN475" s="301"/>
      <c r="AO475" s="302">
        <v>160000000</v>
      </c>
      <c r="AP475" s="301"/>
      <c r="AQ475" s="301"/>
      <c r="AR475" s="301"/>
      <c r="AS475" s="301"/>
      <c r="AT475" s="301"/>
      <c r="AU475" s="301"/>
      <c r="AV475" s="301"/>
      <c r="AW475" s="301"/>
      <c r="AX475" s="301"/>
      <c r="AY475" s="301"/>
      <c r="AZ475" s="301"/>
      <c r="BA475" s="301">
        <v>30000000</v>
      </c>
      <c r="BB475" s="301"/>
      <c r="BC475" s="301"/>
      <c r="BD475" s="301"/>
      <c r="BE475" s="301"/>
      <c r="BF475" s="301"/>
      <c r="BG475" s="303"/>
      <c r="BH475" s="304"/>
    </row>
    <row r="476" spans="1:60" s="305" customFormat="1" ht="16.5" hidden="1" customHeight="1" x14ac:dyDescent="0.4">
      <c r="A476" s="285">
        <v>453</v>
      </c>
      <c r="B476" s="286"/>
      <c r="C476" s="286"/>
      <c r="D476" s="287" t="s">
        <v>92</v>
      </c>
      <c r="E476" s="287" t="s">
        <v>249</v>
      </c>
      <c r="F476" s="288" t="s">
        <v>92</v>
      </c>
      <c r="G476" s="289" t="s">
        <v>249</v>
      </c>
      <c r="H476" s="307"/>
      <c r="I476" s="290"/>
      <c r="J476" s="291" t="s">
        <v>261</v>
      </c>
      <c r="K476" s="287"/>
      <c r="L476" s="287"/>
      <c r="M476" s="287">
        <v>3872</v>
      </c>
      <c r="N476" s="287" t="s">
        <v>32</v>
      </c>
      <c r="O476" s="287" t="s">
        <v>43</v>
      </c>
      <c r="P476" s="287"/>
      <c r="Q476" s="287"/>
      <c r="R476" s="287"/>
      <c r="S476" s="292" t="s">
        <v>349</v>
      </c>
      <c r="T476" s="293"/>
      <c r="U476" s="294"/>
      <c r="V476" s="294"/>
      <c r="W476" s="295">
        <v>143080000</v>
      </c>
      <c r="X476" s="296"/>
      <c r="Y476" s="287"/>
      <c r="Z476" s="297" t="s">
        <v>656</v>
      </c>
      <c r="AA476" s="313"/>
      <c r="AB476" s="313"/>
      <c r="AC476" s="298">
        <f t="shared" si="18"/>
        <v>0</v>
      </c>
      <c r="AD476" s="298">
        <v>0</v>
      </c>
      <c r="AE476" s="298">
        <f t="shared" si="19"/>
        <v>0</v>
      </c>
      <c r="AF476" s="299"/>
      <c r="AG476" s="300"/>
      <c r="AH476" s="299"/>
      <c r="AI476" s="299"/>
      <c r="AJ476" s="300"/>
      <c r="AK476" s="299"/>
      <c r="AL476" s="301"/>
      <c r="AM476" s="314"/>
      <c r="AN476" s="301"/>
      <c r="AO476" s="302"/>
      <c r="AP476" s="301"/>
      <c r="AQ476" s="301"/>
      <c r="AR476" s="301"/>
      <c r="AS476" s="301"/>
      <c r="AT476" s="301"/>
      <c r="AU476" s="301"/>
      <c r="AV476" s="301"/>
      <c r="AW476" s="301"/>
      <c r="AX476" s="301"/>
      <c r="AY476" s="301"/>
      <c r="AZ476" s="301"/>
      <c r="BA476" s="301"/>
      <c r="BB476" s="301"/>
      <c r="BC476" s="301"/>
      <c r="BD476" s="301"/>
      <c r="BE476" s="301"/>
      <c r="BF476" s="301"/>
      <c r="BG476" s="303"/>
      <c r="BH476" s="304"/>
    </row>
    <row r="477" spans="1:60" s="305" customFormat="1" ht="16.5" hidden="1" customHeight="1" x14ac:dyDescent="0.4">
      <c r="A477" s="285">
        <v>454</v>
      </c>
      <c r="B477" s="286"/>
      <c r="C477" s="286"/>
      <c r="D477" s="287" t="s">
        <v>92</v>
      </c>
      <c r="E477" s="287" t="s">
        <v>249</v>
      </c>
      <c r="F477" s="288" t="s">
        <v>92</v>
      </c>
      <c r="G477" s="289" t="s">
        <v>249</v>
      </c>
      <c r="H477" s="307"/>
      <c r="I477" s="290"/>
      <c r="J477" s="291" t="s">
        <v>121</v>
      </c>
      <c r="K477" s="287"/>
      <c r="L477" s="287"/>
      <c r="M477" s="287">
        <v>9618</v>
      </c>
      <c r="N477" s="287" t="s">
        <v>32</v>
      </c>
      <c r="O477" s="287" t="s">
        <v>43</v>
      </c>
      <c r="P477" s="287"/>
      <c r="Q477" s="287"/>
      <c r="R477" s="287" t="s">
        <v>340</v>
      </c>
      <c r="S477" s="292" t="s">
        <v>340</v>
      </c>
      <c r="T477" s="293"/>
      <c r="U477" s="294"/>
      <c r="V477" s="294">
        <v>0</v>
      </c>
      <c r="W477" s="295">
        <v>217090909</v>
      </c>
      <c r="X477" s="296"/>
      <c r="Y477" s="287" t="s">
        <v>28</v>
      </c>
      <c r="Z477" s="297" t="s">
        <v>25</v>
      </c>
      <c r="AA477" s="313"/>
      <c r="AB477" s="313"/>
      <c r="AC477" s="298">
        <f t="shared" si="18"/>
        <v>215000000</v>
      </c>
      <c r="AD477" s="298">
        <v>215000000</v>
      </c>
      <c r="AE477" s="298">
        <f t="shared" si="19"/>
        <v>0</v>
      </c>
      <c r="AF477" s="299"/>
      <c r="AG477" s="300"/>
      <c r="AH477" s="299"/>
      <c r="AI477" s="299"/>
      <c r="AJ477" s="300"/>
      <c r="AK477" s="299"/>
      <c r="AL477" s="301"/>
      <c r="AM477" s="314"/>
      <c r="AN477" s="301"/>
      <c r="AO477" s="302"/>
      <c r="AP477" s="301"/>
      <c r="AQ477" s="301"/>
      <c r="AR477" s="301"/>
      <c r="AS477" s="301">
        <v>150000000</v>
      </c>
      <c r="AT477" s="301"/>
      <c r="AU477" s="301"/>
      <c r="AV477" s="301"/>
      <c r="AW477" s="301"/>
      <c r="AX477" s="301"/>
      <c r="AY477" s="301"/>
      <c r="AZ477" s="301"/>
      <c r="BA477" s="301"/>
      <c r="BB477" s="301"/>
      <c r="BC477" s="301"/>
      <c r="BD477" s="301"/>
      <c r="BE477" s="301">
        <v>65000000</v>
      </c>
      <c r="BF477" s="301"/>
      <c r="BG477" s="303"/>
      <c r="BH477" s="304"/>
    </row>
    <row r="478" spans="1:60" s="305" customFormat="1" ht="16.5" hidden="1" customHeight="1" x14ac:dyDescent="0.4">
      <c r="A478" s="285">
        <v>455</v>
      </c>
      <c r="B478" s="286"/>
      <c r="C478" s="286"/>
      <c r="D478" s="287" t="s">
        <v>92</v>
      </c>
      <c r="E478" s="287" t="s">
        <v>235</v>
      </c>
      <c r="F478" s="288" t="s">
        <v>92</v>
      </c>
      <c r="G478" s="289" t="s">
        <v>689</v>
      </c>
      <c r="H478" s="307"/>
      <c r="I478" s="290"/>
      <c r="J478" s="291" t="s">
        <v>236</v>
      </c>
      <c r="K478" s="287"/>
      <c r="L478" s="287"/>
      <c r="M478" s="287">
        <v>40962</v>
      </c>
      <c r="N478" s="287" t="s">
        <v>23</v>
      </c>
      <c r="O478" s="287" t="s">
        <v>43</v>
      </c>
      <c r="P478" s="287" t="s">
        <v>98</v>
      </c>
      <c r="Q478" s="287" t="s">
        <v>37</v>
      </c>
      <c r="R478" s="287" t="s">
        <v>38</v>
      </c>
      <c r="S478" s="292" t="s">
        <v>31</v>
      </c>
      <c r="T478" s="293"/>
      <c r="U478" s="294"/>
      <c r="V478" s="294"/>
      <c r="W478" s="295"/>
      <c r="X478" s="296"/>
      <c r="Y478" s="287" t="s">
        <v>28</v>
      </c>
      <c r="Z478" s="297" t="s">
        <v>28</v>
      </c>
      <c r="AA478" s="313"/>
      <c r="AB478" s="313"/>
      <c r="AC478" s="298">
        <f t="shared" si="18"/>
        <v>2000000</v>
      </c>
      <c r="AD478" s="298">
        <v>2000000</v>
      </c>
      <c r="AE478" s="298">
        <f t="shared" si="19"/>
        <v>0</v>
      </c>
      <c r="AF478" s="299"/>
      <c r="AG478" s="300"/>
      <c r="AH478" s="299"/>
      <c r="AI478" s="299"/>
      <c r="AJ478" s="300"/>
      <c r="AK478" s="299"/>
      <c r="AL478" s="301"/>
      <c r="AM478" s="314"/>
      <c r="AN478" s="301"/>
      <c r="AO478" s="302">
        <v>2000000</v>
      </c>
      <c r="AP478" s="301"/>
      <c r="AQ478" s="301"/>
      <c r="AR478" s="301"/>
      <c r="AS478" s="301"/>
      <c r="AT478" s="301"/>
      <c r="AU478" s="301"/>
      <c r="AV478" s="301"/>
      <c r="AW478" s="301"/>
      <c r="AX478" s="301"/>
      <c r="AY478" s="301"/>
      <c r="AZ478" s="301"/>
      <c r="BA478" s="301"/>
      <c r="BB478" s="301"/>
      <c r="BC478" s="301"/>
      <c r="BD478" s="301"/>
      <c r="BE478" s="301"/>
      <c r="BF478" s="301"/>
      <c r="BG478" s="303"/>
      <c r="BH478" s="304"/>
    </row>
    <row r="479" spans="1:60" s="305" customFormat="1" ht="16.5" hidden="1" customHeight="1" x14ac:dyDescent="0.4">
      <c r="A479" s="285">
        <v>456</v>
      </c>
      <c r="B479" s="286"/>
      <c r="C479" s="286"/>
      <c r="D479" s="287" t="s">
        <v>92</v>
      </c>
      <c r="E479" s="287" t="s">
        <v>235</v>
      </c>
      <c r="F479" s="288" t="s">
        <v>92</v>
      </c>
      <c r="G479" s="289" t="s">
        <v>689</v>
      </c>
      <c r="H479" s="307"/>
      <c r="I479" s="290"/>
      <c r="J479" s="291" t="s">
        <v>236</v>
      </c>
      <c r="K479" s="287"/>
      <c r="L479" s="287"/>
      <c r="M479" s="287">
        <v>40962</v>
      </c>
      <c r="N479" s="287" t="s">
        <v>23</v>
      </c>
      <c r="O479" s="287" t="s">
        <v>33</v>
      </c>
      <c r="P479" s="287" t="s">
        <v>44</v>
      </c>
      <c r="Q479" s="287" t="s">
        <v>37</v>
      </c>
      <c r="R479" s="287" t="s">
        <v>38</v>
      </c>
      <c r="S479" s="292" t="s">
        <v>38</v>
      </c>
      <c r="T479" s="293"/>
      <c r="U479" s="294">
        <v>2160500</v>
      </c>
      <c r="V479" s="294">
        <v>2610000</v>
      </c>
      <c r="W479" s="295">
        <v>2088000</v>
      </c>
      <c r="X479" s="296"/>
      <c r="Y479" s="287" t="s">
        <v>28</v>
      </c>
      <c r="Z479" s="297" t="s">
        <v>26</v>
      </c>
      <c r="AA479" s="313"/>
      <c r="AB479" s="313"/>
      <c r="AC479" s="298">
        <f t="shared" si="18"/>
        <v>0</v>
      </c>
      <c r="AD479" s="298">
        <v>0</v>
      </c>
      <c r="AE479" s="298">
        <f t="shared" si="19"/>
        <v>0</v>
      </c>
      <c r="AF479" s="299"/>
      <c r="AG479" s="300"/>
      <c r="AH479" s="299"/>
      <c r="AI479" s="299"/>
      <c r="AJ479" s="300"/>
      <c r="AK479" s="299"/>
      <c r="AL479" s="301"/>
      <c r="AM479" s="314"/>
      <c r="AN479" s="301"/>
      <c r="AO479" s="302"/>
      <c r="AP479" s="301"/>
      <c r="AQ479" s="301"/>
      <c r="AR479" s="301"/>
      <c r="AS479" s="301"/>
      <c r="AT479" s="301"/>
      <c r="AU479" s="301"/>
      <c r="AV479" s="301"/>
      <c r="AW479" s="301"/>
      <c r="AX479" s="301"/>
      <c r="AY479" s="301"/>
      <c r="AZ479" s="301"/>
      <c r="BA479" s="301"/>
      <c r="BB479" s="301"/>
      <c r="BC479" s="301"/>
      <c r="BD479" s="301"/>
      <c r="BE479" s="301"/>
      <c r="BF479" s="301"/>
      <c r="BG479" s="303"/>
      <c r="BH479" s="304"/>
    </row>
    <row r="480" spans="1:60" s="305" customFormat="1" ht="16.5" hidden="1" customHeight="1" x14ac:dyDescent="0.4">
      <c r="A480" s="285">
        <v>457</v>
      </c>
      <c r="B480" s="286"/>
      <c r="C480" s="286"/>
      <c r="D480" s="287" t="s">
        <v>92</v>
      </c>
      <c r="E480" s="287" t="s">
        <v>235</v>
      </c>
      <c r="F480" s="288" t="s">
        <v>92</v>
      </c>
      <c r="G480" s="289" t="s">
        <v>689</v>
      </c>
      <c r="H480" s="307"/>
      <c r="I480" s="290"/>
      <c r="J480" s="291" t="s">
        <v>236</v>
      </c>
      <c r="K480" s="287"/>
      <c r="L480" s="287"/>
      <c r="M480" s="287">
        <v>40962</v>
      </c>
      <c r="N480" s="287" t="s">
        <v>23</v>
      </c>
      <c r="O480" s="287" t="s">
        <v>33</v>
      </c>
      <c r="P480" s="287" t="s">
        <v>44</v>
      </c>
      <c r="Q480" s="287" t="s">
        <v>48</v>
      </c>
      <c r="R480" s="287" t="s">
        <v>685</v>
      </c>
      <c r="S480" s="292" t="s">
        <v>743</v>
      </c>
      <c r="T480" s="293"/>
      <c r="U480" s="294">
        <v>2800000</v>
      </c>
      <c r="V480" s="294">
        <v>0</v>
      </c>
      <c r="W480" s="295"/>
      <c r="X480" s="296"/>
      <c r="Y480" s="287" t="s">
        <v>22</v>
      </c>
      <c r="Z480" s="297" t="s">
        <v>618</v>
      </c>
      <c r="AA480" s="313"/>
      <c r="AB480" s="313"/>
      <c r="AC480" s="298">
        <f t="shared" si="18"/>
        <v>0</v>
      </c>
      <c r="AD480" s="298">
        <v>0</v>
      </c>
      <c r="AE480" s="298">
        <f t="shared" si="19"/>
        <v>0</v>
      </c>
      <c r="AF480" s="299"/>
      <c r="AG480" s="300"/>
      <c r="AH480" s="299"/>
      <c r="AI480" s="299"/>
      <c r="AJ480" s="300"/>
      <c r="AK480" s="299"/>
      <c r="AL480" s="301"/>
      <c r="AM480" s="314"/>
      <c r="AN480" s="301"/>
      <c r="AO480" s="302"/>
      <c r="AP480" s="301"/>
      <c r="AQ480" s="301"/>
      <c r="AR480" s="301"/>
      <c r="AS480" s="301"/>
      <c r="AT480" s="301"/>
      <c r="AU480" s="301"/>
      <c r="AV480" s="301"/>
      <c r="AW480" s="301"/>
      <c r="AX480" s="301"/>
      <c r="AY480" s="301"/>
      <c r="AZ480" s="301"/>
      <c r="BA480" s="301"/>
      <c r="BB480" s="301"/>
      <c r="BC480" s="301"/>
      <c r="BD480" s="301"/>
      <c r="BE480" s="301"/>
      <c r="BF480" s="301"/>
      <c r="BG480" s="303"/>
      <c r="BH480" s="304"/>
    </row>
    <row r="481" spans="1:60" s="305" customFormat="1" ht="16.5" hidden="1" customHeight="1" x14ac:dyDescent="0.4">
      <c r="A481" s="285">
        <v>458</v>
      </c>
      <c r="B481" s="286"/>
      <c r="C481" s="286"/>
      <c r="D481" s="287" t="s">
        <v>92</v>
      </c>
      <c r="E481" s="287" t="s">
        <v>235</v>
      </c>
      <c r="F481" s="288" t="s">
        <v>92</v>
      </c>
      <c r="G481" s="289" t="s">
        <v>689</v>
      </c>
      <c r="H481" s="307"/>
      <c r="I481" s="290"/>
      <c r="J481" s="291" t="s">
        <v>237</v>
      </c>
      <c r="K481" s="287"/>
      <c r="L481" s="287"/>
      <c r="M481" s="287">
        <v>3728</v>
      </c>
      <c r="N481" s="287" t="s">
        <v>23</v>
      </c>
      <c r="O481" s="287" t="s">
        <v>43</v>
      </c>
      <c r="P481" s="287" t="s">
        <v>44</v>
      </c>
      <c r="Q481" s="287" t="s">
        <v>37</v>
      </c>
      <c r="R481" s="287" t="s">
        <v>38</v>
      </c>
      <c r="S481" s="292" t="s">
        <v>38</v>
      </c>
      <c r="T481" s="293"/>
      <c r="U481" s="294">
        <v>133320500</v>
      </c>
      <c r="V481" s="294">
        <v>134776000</v>
      </c>
      <c r="W481" s="295">
        <v>135880000</v>
      </c>
      <c r="X481" s="296"/>
      <c r="Y481" s="287" t="s">
        <v>28</v>
      </c>
      <c r="Z481" s="297" t="s">
        <v>28</v>
      </c>
      <c r="AA481" s="313"/>
      <c r="AB481" s="313"/>
      <c r="AC481" s="298">
        <f t="shared" si="18"/>
        <v>134500000</v>
      </c>
      <c r="AD481" s="298">
        <v>134500000</v>
      </c>
      <c r="AE481" s="298">
        <f t="shared" si="19"/>
        <v>0</v>
      </c>
      <c r="AF481" s="299"/>
      <c r="AG481" s="300"/>
      <c r="AH481" s="299"/>
      <c r="AI481" s="299">
        <v>32500000</v>
      </c>
      <c r="AJ481" s="300">
        <v>32500000</v>
      </c>
      <c r="AK481" s="299"/>
      <c r="AL481" s="301">
        <v>50000</v>
      </c>
      <c r="AM481" s="314"/>
      <c r="AN481" s="301"/>
      <c r="AO481" s="302"/>
      <c r="AP481" s="301"/>
      <c r="AQ481" s="301">
        <v>32500000</v>
      </c>
      <c r="AR481" s="301"/>
      <c r="AS481" s="301">
        <v>2500000</v>
      </c>
      <c r="AT481" s="301"/>
      <c r="AU481" s="301"/>
      <c r="AV481" s="301"/>
      <c r="AW481" s="301">
        <v>32500000</v>
      </c>
      <c r="AX481" s="301"/>
      <c r="AY481" s="301"/>
      <c r="AZ481" s="301"/>
      <c r="BA481" s="301"/>
      <c r="BB481" s="301"/>
      <c r="BC481" s="301">
        <v>32500000</v>
      </c>
      <c r="BD481" s="301"/>
      <c r="BE481" s="301">
        <v>2000000</v>
      </c>
      <c r="BF481" s="301"/>
      <c r="BG481" s="303"/>
      <c r="BH481" s="304"/>
    </row>
    <row r="482" spans="1:60" s="305" customFormat="1" ht="16.5" hidden="1" customHeight="1" x14ac:dyDescent="0.4">
      <c r="A482" s="285">
        <v>459</v>
      </c>
      <c r="B482" s="286"/>
      <c r="C482" s="286"/>
      <c r="D482" s="287" t="s">
        <v>92</v>
      </c>
      <c r="E482" s="287" t="s">
        <v>235</v>
      </c>
      <c r="F482" s="288" t="s">
        <v>92</v>
      </c>
      <c r="G482" s="289" t="s">
        <v>689</v>
      </c>
      <c r="H482" s="307"/>
      <c r="I482" s="290"/>
      <c r="J482" s="291" t="s">
        <v>237</v>
      </c>
      <c r="K482" s="287"/>
      <c r="L482" s="287"/>
      <c r="M482" s="287">
        <v>3728</v>
      </c>
      <c r="N482" s="287" t="s">
        <v>23</v>
      </c>
      <c r="O482" s="287" t="s">
        <v>33</v>
      </c>
      <c r="P482" s="287" t="s">
        <v>44</v>
      </c>
      <c r="Q482" s="287" t="s">
        <v>36</v>
      </c>
      <c r="R482" s="287" t="s">
        <v>341</v>
      </c>
      <c r="S482" s="292" t="s">
        <v>341</v>
      </c>
      <c r="T482" s="293"/>
      <c r="U482" s="294">
        <v>3500000</v>
      </c>
      <c r="V482" s="294">
        <v>0</v>
      </c>
      <c r="W482" s="295"/>
      <c r="X482" s="296"/>
      <c r="Y482" s="287" t="s">
        <v>22</v>
      </c>
      <c r="Z482" s="297" t="s">
        <v>618</v>
      </c>
      <c r="AA482" s="313"/>
      <c r="AB482" s="313"/>
      <c r="AC482" s="298">
        <f t="shared" si="18"/>
        <v>0</v>
      </c>
      <c r="AD482" s="298">
        <v>0</v>
      </c>
      <c r="AE482" s="298">
        <f t="shared" si="19"/>
        <v>0</v>
      </c>
      <c r="AF482" s="299"/>
      <c r="AG482" s="300"/>
      <c r="AH482" s="299"/>
      <c r="AI482" s="299"/>
      <c r="AJ482" s="300"/>
      <c r="AK482" s="299"/>
      <c r="AL482" s="301"/>
      <c r="AM482" s="314"/>
      <c r="AN482" s="301"/>
      <c r="AO482" s="302"/>
      <c r="AP482" s="301"/>
      <c r="AQ482" s="301"/>
      <c r="AR482" s="301"/>
      <c r="AS482" s="301"/>
      <c r="AT482" s="301"/>
      <c r="AU482" s="301"/>
      <c r="AV482" s="301"/>
      <c r="AW482" s="301"/>
      <c r="AX482" s="301"/>
      <c r="AY482" s="301"/>
      <c r="AZ482" s="301"/>
      <c r="BA482" s="301"/>
      <c r="BB482" s="301"/>
      <c r="BC482" s="301"/>
      <c r="BD482" s="301"/>
      <c r="BE482" s="301"/>
      <c r="BF482" s="301"/>
      <c r="BG482" s="303"/>
      <c r="BH482" s="304"/>
    </row>
    <row r="483" spans="1:60" s="305" customFormat="1" ht="16.5" hidden="1" customHeight="1" x14ac:dyDescent="0.4">
      <c r="A483" s="285">
        <v>460</v>
      </c>
      <c r="B483" s="286"/>
      <c r="C483" s="286"/>
      <c r="D483" s="287" t="s">
        <v>92</v>
      </c>
      <c r="E483" s="287" t="s">
        <v>235</v>
      </c>
      <c r="F483" s="288" t="s">
        <v>92</v>
      </c>
      <c r="G483" s="289" t="s">
        <v>689</v>
      </c>
      <c r="H483" s="307"/>
      <c r="I483" s="290"/>
      <c r="J483" s="291" t="s">
        <v>238</v>
      </c>
      <c r="K483" s="287"/>
      <c r="L483" s="287"/>
      <c r="M483" s="287">
        <v>16184</v>
      </c>
      <c r="N483" s="287" t="s">
        <v>23</v>
      </c>
      <c r="O483" s="287" t="s">
        <v>43</v>
      </c>
      <c r="P483" s="287" t="s">
        <v>44</v>
      </c>
      <c r="Q483" s="287" t="s">
        <v>19</v>
      </c>
      <c r="R483" s="287" t="s">
        <v>20</v>
      </c>
      <c r="S483" s="292" t="s">
        <v>29</v>
      </c>
      <c r="T483" s="293" t="s">
        <v>798</v>
      </c>
      <c r="U483" s="294">
        <v>30167000</v>
      </c>
      <c r="V483" s="294">
        <v>48861400</v>
      </c>
      <c r="W483" s="295">
        <v>40733770</v>
      </c>
      <c r="X483" s="296"/>
      <c r="Y483" s="287" t="s">
        <v>28</v>
      </c>
      <c r="Z483" s="297" t="s">
        <v>28</v>
      </c>
      <c r="AA483" s="313"/>
      <c r="AB483" s="313"/>
      <c r="AC483" s="298">
        <f t="shared" si="18"/>
        <v>27318600</v>
      </c>
      <c r="AD483" s="298">
        <v>27318600</v>
      </c>
      <c r="AE483" s="298">
        <f t="shared" si="19"/>
        <v>0</v>
      </c>
      <c r="AF483" s="299"/>
      <c r="AG483" s="300"/>
      <c r="AH483" s="299"/>
      <c r="AI483" s="299"/>
      <c r="AJ483" s="300"/>
      <c r="AK483" s="299"/>
      <c r="AL483" s="301">
        <v>4818600</v>
      </c>
      <c r="AM483" s="314">
        <v>4818600</v>
      </c>
      <c r="AN483" s="301" t="s">
        <v>809</v>
      </c>
      <c r="AO483" s="302"/>
      <c r="AP483" s="301"/>
      <c r="AQ483" s="301"/>
      <c r="AR483" s="301"/>
      <c r="AS483" s="301"/>
      <c r="AT483" s="301"/>
      <c r="AU483" s="301">
        <v>7500000</v>
      </c>
      <c r="AV483" s="301"/>
      <c r="AW483" s="301"/>
      <c r="AX483" s="301"/>
      <c r="AY483" s="301"/>
      <c r="AZ483" s="301"/>
      <c r="BA483" s="301">
        <v>7500000</v>
      </c>
      <c r="BB483" s="301"/>
      <c r="BC483" s="301"/>
      <c r="BD483" s="301"/>
      <c r="BE483" s="301">
        <v>7500000</v>
      </c>
      <c r="BF483" s="301"/>
      <c r="BG483" s="303"/>
      <c r="BH483" s="304"/>
    </row>
    <row r="484" spans="1:60" s="305" customFormat="1" ht="16.5" hidden="1" customHeight="1" x14ac:dyDescent="0.4">
      <c r="A484" s="285">
        <v>461</v>
      </c>
      <c r="B484" s="286"/>
      <c r="C484" s="286"/>
      <c r="D484" s="287" t="s">
        <v>92</v>
      </c>
      <c r="E484" s="287" t="s">
        <v>235</v>
      </c>
      <c r="F484" s="288" t="s">
        <v>92</v>
      </c>
      <c r="G484" s="289" t="s">
        <v>689</v>
      </c>
      <c r="H484" s="307"/>
      <c r="I484" s="290"/>
      <c r="J484" s="291" t="s">
        <v>238</v>
      </c>
      <c r="K484" s="287"/>
      <c r="L484" s="287"/>
      <c r="M484" s="287">
        <v>16184</v>
      </c>
      <c r="N484" s="287" t="s">
        <v>23</v>
      </c>
      <c r="O484" s="287" t="s">
        <v>33</v>
      </c>
      <c r="P484" s="287" t="s">
        <v>44</v>
      </c>
      <c r="Q484" s="287" t="s">
        <v>30</v>
      </c>
      <c r="R484" s="287" t="s">
        <v>31</v>
      </c>
      <c r="S484" s="292" t="s">
        <v>31</v>
      </c>
      <c r="T484" s="293"/>
      <c r="U484" s="294"/>
      <c r="V484" s="294">
        <v>0</v>
      </c>
      <c r="W484" s="295"/>
      <c r="X484" s="296"/>
      <c r="Y484" s="287" t="s">
        <v>25</v>
      </c>
      <c r="Z484" s="297" t="s">
        <v>26</v>
      </c>
      <c r="AA484" s="313"/>
      <c r="AB484" s="313"/>
      <c r="AC484" s="298">
        <f t="shared" si="18"/>
        <v>10000000</v>
      </c>
      <c r="AD484" s="298">
        <v>10000000</v>
      </c>
      <c r="AE484" s="298">
        <f t="shared" si="19"/>
        <v>0</v>
      </c>
      <c r="AF484" s="299"/>
      <c r="AG484" s="300"/>
      <c r="AH484" s="299"/>
      <c r="AI484" s="299"/>
      <c r="AJ484" s="300"/>
      <c r="AK484" s="299"/>
      <c r="AL484" s="301"/>
      <c r="AM484" s="314"/>
      <c r="AN484" s="301"/>
      <c r="AO484" s="302"/>
      <c r="AP484" s="301"/>
      <c r="AQ484" s="301"/>
      <c r="AR484" s="301"/>
      <c r="AS484" s="301"/>
      <c r="AT484" s="301"/>
      <c r="AU484" s="301"/>
      <c r="AV484" s="301"/>
      <c r="AW484" s="301"/>
      <c r="AX484" s="301"/>
      <c r="AY484" s="301"/>
      <c r="AZ484" s="301"/>
      <c r="BA484" s="301"/>
      <c r="BB484" s="301"/>
      <c r="BC484" s="301"/>
      <c r="BD484" s="301"/>
      <c r="BE484" s="301">
        <v>10000000</v>
      </c>
      <c r="BF484" s="301"/>
      <c r="BG484" s="303"/>
      <c r="BH484" s="304"/>
    </row>
    <row r="485" spans="1:60" s="305" customFormat="1" ht="16.5" hidden="1" customHeight="1" x14ac:dyDescent="0.4">
      <c r="A485" s="285">
        <v>462</v>
      </c>
      <c r="B485" s="286"/>
      <c r="C485" s="286"/>
      <c r="D485" s="287" t="s">
        <v>92</v>
      </c>
      <c r="E485" s="287" t="s">
        <v>235</v>
      </c>
      <c r="F485" s="288" t="s">
        <v>92</v>
      </c>
      <c r="G485" s="289" t="s">
        <v>689</v>
      </c>
      <c r="H485" s="307"/>
      <c r="I485" s="290"/>
      <c r="J485" s="291" t="s">
        <v>79</v>
      </c>
      <c r="K485" s="287"/>
      <c r="L485" s="287"/>
      <c r="M485" s="287">
        <v>14873</v>
      </c>
      <c r="N485" s="287" t="s">
        <v>23</v>
      </c>
      <c r="O485" s="287" t="s">
        <v>33</v>
      </c>
      <c r="P485" s="287" t="s">
        <v>98</v>
      </c>
      <c r="Q485" s="287" t="s">
        <v>19</v>
      </c>
      <c r="R485" s="287" t="s">
        <v>20</v>
      </c>
      <c r="S485" s="292" t="s">
        <v>20</v>
      </c>
      <c r="T485" s="293"/>
      <c r="U485" s="294">
        <v>32570000</v>
      </c>
      <c r="V485" s="294">
        <v>29537500</v>
      </c>
      <c r="W485" s="295">
        <v>990000</v>
      </c>
      <c r="X485" s="296"/>
      <c r="Y485" s="287" t="s">
        <v>544</v>
      </c>
      <c r="Z485" s="297" t="s">
        <v>618</v>
      </c>
      <c r="AA485" s="313"/>
      <c r="AB485" s="313"/>
      <c r="AC485" s="298">
        <f t="shared" si="18"/>
        <v>0</v>
      </c>
      <c r="AD485" s="298">
        <v>0</v>
      </c>
      <c r="AE485" s="298">
        <f t="shared" si="19"/>
        <v>0</v>
      </c>
      <c r="AF485" s="299"/>
      <c r="AG485" s="300"/>
      <c r="AH485" s="299"/>
      <c r="AI485" s="299"/>
      <c r="AJ485" s="300"/>
      <c r="AK485" s="299"/>
      <c r="AL485" s="301"/>
      <c r="AM485" s="314"/>
      <c r="AN485" s="301"/>
      <c r="AO485" s="302"/>
      <c r="AP485" s="301"/>
      <c r="AQ485" s="301"/>
      <c r="AR485" s="301"/>
      <c r="AS485" s="301"/>
      <c r="AT485" s="301"/>
      <c r="AU485" s="301"/>
      <c r="AV485" s="301"/>
      <c r="AW485" s="301"/>
      <c r="AX485" s="301"/>
      <c r="AY485" s="301"/>
      <c r="AZ485" s="301"/>
      <c r="BA485" s="301"/>
      <c r="BB485" s="301"/>
      <c r="BC485" s="301"/>
      <c r="BD485" s="301"/>
      <c r="BE485" s="301"/>
      <c r="BF485" s="301"/>
      <c r="BG485" s="303"/>
      <c r="BH485" s="304"/>
    </row>
    <row r="486" spans="1:60" s="305" customFormat="1" ht="16.5" hidden="1" customHeight="1" x14ac:dyDescent="0.4">
      <c r="A486" s="285">
        <v>463</v>
      </c>
      <c r="B486" s="286"/>
      <c r="C486" s="286"/>
      <c r="D486" s="287" t="s">
        <v>92</v>
      </c>
      <c r="E486" s="287" t="s">
        <v>235</v>
      </c>
      <c r="F486" s="288" t="s">
        <v>92</v>
      </c>
      <c r="G486" s="289" t="s">
        <v>689</v>
      </c>
      <c r="H486" s="307"/>
      <c r="I486" s="290"/>
      <c r="J486" s="291" t="s">
        <v>75</v>
      </c>
      <c r="K486" s="287"/>
      <c r="L486" s="287"/>
      <c r="M486" s="287">
        <v>57120</v>
      </c>
      <c r="N486" s="287" t="s">
        <v>23</v>
      </c>
      <c r="O486" s="287" t="s">
        <v>33</v>
      </c>
      <c r="P486" s="287" t="s">
        <v>98</v>
      </c>
      <c r="Q486" s="287"/>
      <c r="R486" s="287"/>
      <c r="S486" s="292" t="s">
        <v>29</v>
      </c>
      <c r="T486" s="293"/>
      <c r="U486" s="294"/>
      <c r="V486" s="294"/>
      <c r="W486" s="295"/>
      <c r="X486" s="296"/>
      <c r="Y486" s="287" t="s">
        <v>25</v>
      </c>
      <c r="Z486" s="297" t="s">
        <v>26</v>
      </c>
      <c r="AA486" s="313"/>
      <c r="AB486" s="313"/>
      <c r="AC486" s="298">
        <f t="shared" si="18"/>
        <v>100000000</v>
      </c>
      <c r="AD486" s="298">
        <v>100000000</v>
      </c>
      <c r="AE486" s="298">
        <f t="shared" si="19"/>
        <v>0</v>
      </c>
      <c r="AF486" s="299"/>
      <c r="AG486" s="300"/>
      <c r="AH486" s="299"/>
      <c r="AI486" s="299"/>
      <c r="AJ486" s="300"/>
      <c r="AK486" s="299"/>
      <c r="AL486" s="301"/>
      <c r="AM486" s="314"/>
      <c r="AN486" s="301"/>
      <c r="AO486" s="302"/>
      <c r="AP486" s="301"/>
      <c r="AQ486" s="301"/>
      <c r="AR486" s="301"/>
      <c r="AS486" s="301"/>
      <c r="AT486" s="301"/>
      <c r="AU486" s="301">
        <v>100000000</v>
      </c>
      <c r="AV486" s="301"/>
      <c r="AW486" s="301"/>
      <c r="AX486" s="301"/>
      <c r="AY486" s="301"/>
      <c r="AZ486" s="301"/>
      <c r="BA486" s="301"/>
      <c r="BB486" s="301"/>
      <c r="BC486" s="301"/>
      <c r="BD486" s="301"/>
      <c r="BE486" s="301"/>
      <c r="BF486" s="301"/>
      <c r="BG486" s="303"/>
      <c r="BH486" s="304"/>
    </row>
    <row r="487" spans="1:60" s="305" customFormat="1" ht="16.5" hidden="1" customHeight="1" x14ac:dyDescent="0.4">
      <c r="A487" s="285">
        <v>464</v>
      </c>
      <c r="B487" s="286"/>
      <c r="C487" s="286"/>
      <c r="D487" s="287" t="s">
        <v>92</v>
      </c>
      <c r="E487" s="287" t="s">
        <v>235</v>
      </c>
      <c r="F487" s="288" t="s">
        <v>92</v>
      </c>
      <c r="G487" s="289" t="s">
        <v>689</v>
      </c>
      <c r="H487" s="307"/>
      <c r="I487" s="290"/>
      <c r="J487" s="291" t="s">
        <v>75</v>
      </c>
      <c r="K487" s="287"/>
      <c r="L487" s="287"/>
      <c r="M487" s="287">
        <v>57120</v>
      </c>
      <c r="N487" s="287" t="s">
        <v>23</v>
      </c>
      <c r="O487" s="287" t="s">
        <v>33</v>
      </c>
      <c r="P487" s="287" t="s">
        <v>98</v>
      </c>
      <c r="Q487" s="287" t="s">
        <v>19</v>
      </c>
      <c r="R487" s="287" t="s">
        <v>20</v>
      </c>
      <c r="S487" s="292" t="s">
        <v>20</v>
      </c>
      <c r="T487" s="293"/>
      <c r="U487" s="294">
        <v>16660000</v>
      </c>
      <c r="V487" s="294">
        <v>0</v>
      </c>
      <c r="W487" s="295"/>
      <c r="X487" s="296"/>
      <c r="Y487" s="287" t="s">
        <v>22</v>
      </c>
      <c r="Z487" s="297" t="s">
        <v>618</v>
      </c>
      <c r="AA487" s="313"/>
      <c r="AB487" s="313"/>
      <c r="AC487" s="298">
        <f t="shared" si="18"/>
        <v>0</v>
      </c>
      <c r="AD487" s="298">
        <v>0</v>
      </c>
      <c r="AE487" s="298">
        <f t="shared" si="19"/>
        <v>0</v>
      </c>
      <c r="AF487" s="299"/>
      <c r="AG487" s="300"/>
      <c r="AH487" s="299"/>
      <c r="AI487" s="299"/>
      <c r="AJ487" s="300"/>
      <c r="AK487" s="299"/>
      <c r="AL487" s="301"/>
      <c r="AM487" s="314"/>
      <c r="AN487" s="301"/>
      <c r="AO487" s="302"/>
      <c r="AP487" s="301"/>
      <c r="AQ487" s="301"/>
      <c r="AR487" s="301"/>
      <c r="AS487" s="301"/>
      <c r="AT487" s="301"/>
      <c r="AU487" s="301"/>
      <c r="AV487" s="301"/>
      <c r="AW487" s="301"/>
      <c r="AX487" s="301"/>
      <c r="AY487" s="301"/>
      <c r="AZ487" s="301"/>
      <c r="BA487" s="301"/>
      <c r="BB487" s="301"/>
      <c r="BC487" s="301"/>
      <c r="BD487" s="301"/>
      <c r="BE487" s="301"/>
      <c r="BF487" s="301"/>
      <c r="BG487" s="303"/>
      <c r="BH487" s="304"/>
    </row>
    <row r="488" spans="1:60" s="305" customFormat="1" ht="16.5" hidden="1" customHeight="1" x14ac:dyDescent="0.4">
      <c r="A488" s="285">
        <v>465</v>
      </c>
      <c r="B488" s="286"/>
      <c r="C488" s="286"/>
      <c r="D488" s="287" t="s">
        <v>92</v>
      </c>
      <c r="E488" s="287" t="s">
        <v>235</v>
      </c>
      <c r="F488" s="288" t="s">
        <v>92</v>
      </c>
      <c r="G488" s="289" t="s">
        <v>689</v>
      </c>
      <c r="H488" s="307"/>
      <c r="I488" s="290"/>
      <c r="J488" s="291" t="s">
        <v>860</v>
      </c>
      <c r="K488" s="287"/>
      <c r="L488" s="287"/>
      <c r="M488" s="287">
        <v>57120</v>
      </c>
      <c r="N488" s="287" t="s">
        <v>23</v>
      </c>
      <c r="O488" s="287" t="s">
        <v>43</v>
      </c>
      <c r="P488" s="287" t="s">
        <v>98</v>
      </c>
      <c r="Q488" s="287"/>
      <c r="R488" s="287" t="s">
        <v>341</v>
      </c>
      <c r="S488" s="292" t="s">
        <v>341</v>
      </c>
      <c r="T488" s="293"/>
      <c r="U488" s="294">
        <v>11569091</v>
      </c>
      <c r="V488" s="294">
        <v>0</v>
      </c>
      <c r="W488" s="295">
        <v>26359999</v>
      </c>
      <c r="X488" s="296"/>
      <c r="Y488" s="287" t="s">
        <v>28</v>
      </c>
      <c r="Z488" s="297" t="s">
        <v>28</v>
      </c>
      <c r="AA488" s="313"/>
      <c r="AB488" s="313"/>
      <c r="AC488" s="298">
        <f t="shared" si="18"/>
        <v>41826772</v>
      </c>
      <c r="AD488" s="298">
        <v>41826772</v>
      </c>
      <c r="AE488" s="298">
        <f t="shared" si="19"/>
        <v>0</v>
      </c>
      <c r="AF488" s="299"/>
      <c r="AG488" s="300">
        <v>2534545</v>
      </c>
      <c r="AH488" s="299"/>
      <c r="AI488" s="299">
        <v>2431250</v>
      </c>
      <c r="AJ488" s="300">
        <v>2210227</v>
      </c>
      <c r="AK488" s="299"/>
      <c r="AL488" s="301">
        <v>43092000</v>
      </c>
      <c r="AM488" s="314">
        <v>39174545</v>
      </c>
      <c r="AN488" s="301" t="s">
        <v>859</v>
      </c>
      <c r="AO488" s="302">
        <v>-23784545</v>
      </c>
      <c r="AP488" s="301" t="s">
        <v>870</v>
      </c>
      <c r="AQ488" s="301"/>
      <c r="AR488" s="301"/>
      <c r="AS488" s="301"/>
      <c r="AT488" s="301"/>
      <c r="AU488" s="301">
        <v>21692000</v>
      </c>
      <c r="AV488" s="301"/>
      <c r="AW488" s="301"/>
      <c r="AX488" s="301"/>
      <c r="AY488" s="301"/>
      <c r="AZ488" s="301"/>
      <c r="BA488" s="301"/>
      <c r="BB488" s="301"/>
      <c r="BC488" s="301"/>
      <c r="BD488" s="301"/>
      <c r="BE488" s="301"/>
      <c r="BF488" s="301"/>
      <c r="BG488" s="303"/>
      <c r="BH488" s="304"/>
    </row>
    <row r="489" spans="1:60" s="305" customFormat="1" ht="16.5" hidden="1" customHeight="1" x14ac:dyDescent="0.4">
      <c r="A489" s="285">
        <v>466</v>
      </c>
      <c r="B489" s="286"/>
      <c r="C489" s="286"/>
      <c r="D489" s="287" t="s">
        <v>92</v>
      </c>
      <c r="E489" s="287" t="s">
        <v>235</v>
      </c>
      <c r="F489" s="288" t="s">
        <v>92</v>
      </c>
      <c r="G489" s="289" t="s">
        <v>689</v>
      </c>
      <c r="H489" s="307"/>
      <c r="I489" s="290"/>
      <c r="J489" s="291" t="s">
        <v>75</v>
      </c>
      <c r="K489" s="287"/>
      <c r="L489" s="287"/>
      <c r="M489" s="287">
        <v>57120</v>
      </c>
      <c r="N489" s="287" t="s">
        <v>23</v>
      </c>
      <c r="O489" s="287" t="s">
        <v>33</v>
      </c>
      <c r="P489" s="287" t="s">
        <v>98</v>
      </c>
      <c r="Q489" s="287" t="s">
        <v>36</v>
      </c>
      <c r="R489" s="287" t="s">
        <v>341</v>
      </c>
      <c r="S489" s="292" t="s">
        <v>341</v>
      </c>
      <c r="T489" s="293"/>
      <c r="U489" s="294"/>
      <c r="V489" s="294">
        <v>36055682</v>
      </c>
      <c r="W489" s="295">
        <v>0</v>
      </c>
      <c r="X489" s="296"/>
      <c r="Y489" s="287" t="s">
        <v>25</v>
      </c>
      <c r="Z489" s="297" t="s">
        <v>21</v>
      </c>
      <c r="AA489" s="313"/>
      <c r="AB489" s="313"/>
      <c r="AC489" s="298">
        <f t="shared" si="18"/>
        <v>0</v>
      </c>
      <c r="AD489" s="298">
        <v>0</v>
      </c>
      <c r="AE489" s="298">
        <f t="shared" si="19"/>
        <v>0</v>
      </c>
      <c r="AF489" s="299"/>
      <c r="AG489" s="300"/>
      <c r="AH489" s="299"/>
      <c r="AI489" s="299"/>
      <c r="AJ489" s="300"/>
      <c r="AK489" s="299"/>
      <c r="AL489" s="301"/>
      <c r="AM489" s="314"/>
      <c r="AN489" s="301"/>
      <c r="AO489" s="302"/>
      <c r="AP489" s="301"/>
      <c r="AQ489" s="301"/>
      <c r="AR489" s="301"/>
      <c r="AS489" s="301"/>
      <c r="AT489" s="301"/>
      <c r="AU489" s="301"/>
      <c r="AV489" s="301"/>
      <c r="AW489" s="301"/>
      <c r="AX489" s="301"/>
      <c r="AY489" s="301"/>
      <c r="AZ489" s="301"/>
      <c r="BA489" s="301"/>
      <c r="BB489" s="301"/>
      <c r="BC489" s="301"/>
      <c r="BD489" s="301"/>
      <c r="BE489" s="301"/>
      <c r="BF489" s="301"/>
      <c r="BG489" s="303"/>
      <c r="BH489" s="304"/>
    </row>
    <row r="490" spans="1:60" s="305" customFormat="1" ht="16.5" hidden="1" customHeight="1" x14ac:dyDescent="0.4">
      <c r="A490" s="285">
        <v>467</v>
      </c>
      <c r="B490" s="286"/>
      <c r="C490" s="286"/>
      <c r="D490" s="287"/>
      <c r="E490" s="287"/>
      <c r="F490" s="288" t="s">
        <v>92</v>
      </c>
      <c r="G490" s="289" t="s">
        <v>689</v>
      </c>
      <c r="H490" s="307"/>
      <c r="I490" s="290"/>
      <c r="J490" s="291" t="s">
        <v>500</v>
      </c>
      <c r="K490" s="287"/>
      <c r="L490" s="287"/>
      <c r="M490" s="287">
        <v>55834</v>
      </c>
      <c r="N490" s="287" t="s">
        <v>23</v>
      </c>
      <c r="O490" s="287" t="s">
        <v>43</v>
      </c>
      <c r="P490" s="287" t="s">
        <v>44</v>
      </c>
      <c r="Q490" s="287"/>
      <c r="R490" s="287"/>
      <c r="S490" s="292" t="s">
        <v>29</v>
      </c>
      <c r="T490" s="293"/>
      <c r="U490" s="294"/>
      <c r="V490" s="294"/>
      <c r="W490" s="295">
        <v>12646500</v>
      </c>
      <c r="X490" s="296"/>
      <c r="Y490" s="287"/>
      <c r="Z490" s="297" t="s">
        <v>656</v>
      </c>
      <c r="AA490" s="313"/>
      <c r="AB490" s="313"/>
      <c r="AC490" s="298">
        <f t="shared" si="18"/>
        <v>0</v>
      </c>
      <c r="AD490" s="298">
        <v>0</v>
      </c>
      <c r="AE490" s="298">
        <f t="shared" si="19"/>
        <v>0</v>
      </c>
      <c r="AF490" s="299"/>
      <c r="AG490" s="300"/>
      <c r="AH490" s="299"/>
      <c r="AI490" s="299"/>
      <c r="AJ490" s="300"/>
      <c r="AK490" s="299"/>
      <c r="AL490" s="301"/>
      <c r="AM490" s="314"/>
      <c r="AN490" s="301"/>
      <c r="AO490" s="302"/>
      <c r="AP490" s="301"/>
      <c r="AQ490" s="301"/>
      <c r="AR490" s="301"/>
      <c r="AS490" s="301"/>
      <c r="AT490" s="301"/>
      <c r="AU490" s="301"/>
      <c r="AV490" s="301"/>
      <c r="AW490" s="301"/>
      <c r="AX490" s="301"/>
      <c r="AY490" s="301"/>
      <c r="AZ490" s="301"/>
      <c r="BA490" s="301"/>
      <c r="BB490" s="301"/>
      <c r="BC490" s="301"/>
      <c r="BD490" s="301"/>
      <c r="BE490" s="301"/>
      <c r="BF490" s="301"/>
      <c r="BG490" s="303"/>
      <c r="BH490" s="304"/>
    </row>
    <row r="491" spans="1:60" s="305" customFormat="1" ht="16.5" hidden="1" customHeight="1" x14ac:dyDescent="0.4">
      <c r="A491" s="285">
        <v>468</v>
      </c>
      <c r="B491" s="286"/>
      <c r="C491" s="286"/>
      <c r="D491" s="287" t="s">
        <v>92</v>
      </c>
      <c r="E491" s="287" t="s">
        <v>235</v>
      </c>
      <c r="F491" s="288" t="s">
        <v>92</v>
      </c>
      <c r="G491" s="289" t="s">
        <v>689</v>
      </c>
      <c r="H491" s="307"/>
      <c r="I491" s="290"/>
      <c r="J491" s="291" t="s">
        <v>500</v>
      </c>
      <c r="K491" s="287"/>
      <c r="L491" s="287"/>
      <c r="M491" s="287">
        <v>55834</v>
      </c>
      <c r="N491" s="287" t="s">
        <v>23</v>
      </c>
      <c r="O491" s="287" t="s">
        <v>43</v>
      </c>
      <c r="P491" s="287" t="s">
        <v>44</v>
      </c>
      <c r="Q491" s="287" t="s">
        <v>49</v>
      </c>
      <c r="R491" s="287" t="s">
        <v>29</v>
      </c>
      <c r="S491" s="292" t="s">
        <v>31</v>
      </c>
      <c r="T491" s="293"/>
      <c r="U491" s="294">
        <v>12264000</v>
      </c>
      <c r="V491" s="294">
        <v>20515700</v>
      </c>
      <c r="W491" s="295"/>
      <c r="X491" s="296"/>
      <c r="Y491" s="287" t="s">
        <v>28</v>
      </c>
      <c r="Z491" s="297" t="s">
        <v>28</v>
      </c>
      <c r="AA491" s="313"/>
      <c r="AB491" s="313"/>
      <c r="AC491" s="298">
        <f t="shared" si="18"/>
        <v>3930000</v>
      </c>
      <c r="AD491" s="298">
        <v>3930000</v>
      </c>
      <c r="AE491" s="298">
        <f t="shared" si="19"/>
        <v>0</v>
      </c>
      <c r="AF491" s="299"/>
      <c r="AG491" s="300"/>
      <c r="AH491" s="299"/>
      <c r="AI491" s="299"/>
      <c r="AJ491" s="300"/>
      <c r="AK491" s="299"/>
      <c r="AL491" s="301"/>
      <c r="AM491" s="314"/>
      <c r="AN491" s="301"/>
      <c r="AO491" s="302"/>
      <c r="AP491" s="301"/>
      <c r="AQ491" s="301"/>
      <c r="AR491" s="301"/>
      <c r="AS491" s="301"/>
      <c r="AT491" s="301"/>
      <c r="AU491" s="301"/>
      <c r="AV491" s="301"/>
      <c r="AW491" s="301"/>
      <c r="AX491" s="301"/>
      <c r="AY491" s="301"/>
      <c r="AZ491" s="301"/>
      <c r="BA491" s="301"/>
      <c r="BB491" s="301"/>
      <c r="BC491" s="301">
        <v>3930000</v>
      </c>
      <c r="BD491" s="301"/>
      <c r="BE491" s="301"/>
      <c r="BF491" s="301"/>
      <c r="BG491" s="303"/>
      <c r="BH491" s="304"/>
    </row>
    <row r="492" spans="1:60" s="305" customFormat="1" ht="16.5" hidden="1" customHeight="1" x14ac:dyDescent="0.4">
      <c r="A492" s="285">
        <v>469</v>
      </c>
      <c r="B492" s="286"/>
      <c r="C492" s="286"/>
      <c r="D492" s="287" t="s">
        <v>92</v>
      </c>
      <c r="E492" s="287" t="s">
        <v>235</v>
      </c>
      <c r="F492" s="288" t="s">
        <v>92</v>
      </c>
      <c r="G492" s="289" t="s">
        <v>689</v>
      </c>
      <c r="H492" s="307"/>
      <c r="I492" s="290"/>
      <c r="J492" s="291" t="s">
        <v>500</v>
      </c>
      <c r="K492" s="287"/>
      <c r="L492" s="287"/>
      <c r="M492" s="287">
        <v>55834</v>
      </c>
      <c r="N492" s="287" t="s">
        <v>23</v>
      </c>
      <c r="O492" s="287" t="s">
        <v>43</v>
      </c>
      <c r="P492" s="287" t="s">
        <v>44</v>
      </c>
      <c r="Q492" s="287" t="s">
        <v>37</v>
      </c>
      <c r="R492" s="287" t="s">
        <v>38</v>
      </c>
      <c r="S492" s="292" t="s">
        <v>38</v>
      </c>
      <c r="T492" s="293"/>
      <c r="U492" s="294"/>
      <c r="V492" s="294">
        <v>0</v>
      </c>
      <c r="W492" s="295">
        <v>7860000</v>
      </c>
      <c r="X492" s="296"/>
      <c r="Y492" s="287" t="s">
        <v>28</v>
      </c>
      <c r="Z492" s="297" t="s">
        <v>28</v>
      </c>
      <c r="AA492" s="313"/>
      <c r="AB492" s="313"/>
      <c r="AC492" s="298">
        <f t="shared" si="18"/>
        <v>8345000</v>
      </c>
      <c r="AD492" s="298">
        <v>8345000</v>
      </c>
      <c r="AE492" s="298">
        <f t="shared" si="19"/>
        <v>0</v>
      </c>
      <c r="AF492" s="299"/>
      <c r="AG492" s="300"/>
      <c r="AH492" s="299"/>
      <c r="AI492" s="299">
        <v>140000</v>
      </c>
      <c r="AJ492" s="300">
        <v>140000</v>
      </c>
      <c r="AK492" s="299"/>
      <c r="AL492" s="301"/>
      <c r="AM492" s="314">
        <v>60000</v>
      </c>
      <c r="AN492" s="301"/>
      <c r="AO492" s="302">
        <v>285000</v>
      </c>
      <c r="AP492" s="301"/>
      <c r="AQ492" s="301"/>
      <c r="AR492" s="301"/>
      <c r="AS492" s="301"/>
      <c r="AT492" s="301"/>
      <c r="AU492" s="301"/>
      <c r="AV492" s="301"/>
      <c r="AW492" s="301"/>
      <c r="AX492" s="301"/>
      <c r="AY492" s="301"/>
      <c r="AZ492" s="301"/>
      <c r="BA492" s="301"/>
      <c r="BB492" s="301"/>
      <c r="BC492" s="301">
        <v>7860000</v>
      </c>
      <c r="BD492" s="301"/>
      <c r="BE492" s="301"/>
      <c r="BF492" s="301"/>
      <c r="BG492" s="303"/>
      <c r="BH492" s="304"/>
    </row>
    <row r="493" spans="1:60" s="305" customFormat="1" ht="16.5" hidden="1" customHeight="1" x14ac:dyDescent="0.4">
      <c r="A493" s="285">
        <v>470</v>
      </c>
      <c r="B493" s="286"/>
      <c r="C493" s="286"/>
      <c r="D493" s="287" t="s">
        <v>92</v>
      </c>
      <c r="E493" s="287" t="s">
        <v>184</v>
      </c>
      <c r="F493" s="288" t="s">
        <v>92</v>
      </c>
      <c r="G493" s="289" t="s">
        <v>689</v>
      </c>
      <c r="H493" s="307"/>
      <c r="I493" s="290"/>
      <c r="J493" s="291" t="s">
        <v>528</v>
      </c>
      <c r="K493" s="287"/>
      <c r="L493" s="287"/>
      <c r="M493" s="287">
        <v>9377</v>
      </c>
      <c r="N493" s="287" t="s">
        <v>32</v>
      </c>
      <c r="O493" s="287" t="s">
        <v>43</v>
      </c>
      <c r="P493" s="287" t="s">
        <v>44</v>
      </c>
      <c r="Q493" s="287" t="s">
        <v>19</v>
      </c>
      <c r="R493" s="287" t="s">
        <v>20</v>
      </c>
      <c r="S493" s="292" t="s">
        <v>20</v>
      </c>
      <c r="T493" s="293"/>
      <c r="U493" s="294">
        <v>8000000</v>
      </c>
      <c r="V493" s="294">
        <v>40466200</v>
      </c>
      <c r="W493" s="295">
        <v>20000000</v>
      </c>
      <c r="X493" s="296"/>
      <c r="Y493" s="287" t="s">
        <v>28</v>
      </c>
      <c r="Z493" s="297" t="s">
        <v>28</v>
      </c>
      <c r="AA493" s="313"/>
      <c r="AB493" s="313"/>
      <c r="AC493" s="298">
        <f t="shared" si="18"/>
        <v>20400000</v>
      </c>
      <c r="AD493" s="298">
        <v>20400000</v>
      </c>
      <c r="AE493" s="298">
        <f t="shared" si="19"/>
        <v>0</v>
      </c>
      <c r="AF493" s="299">
        <v>12880000</v>
      </c>
      <c r="AG493" s="300">
        <v>12880000</v>
      </c>
      <c r="AH493" s="299"/>
      <c r="AI493" s="299"/>
      <c r="AJ493" s="300"/>
      <c r="AK493" s="299"/>
      <c r="AL493" s="301"/>
      <c r="AM493" s="314"/>
      <c r="AN493" s="301"/>
      <c r="AO493" s="302"/>
      <c r="AP493" s="301"/>
      <c r="AQ493" s="301"/>
      <c r="AR493" s="301"/>
      <c r="AS493" s="301">
        <v>2000000</v>
      </c>
      <c r="AT493" s="301" t="s">
        <v>766</v>
      </c>
      <c r="AU493" s="301"/>
      <c r="AV493" s="301"/>
      <c r="AW493" s="301"/>
      <c r="AX493" s="301"/>
      <c r="AY493" s="301"/>
      <c r="AZ493" s="301"/>
      <c r="BA493" s="301"/>
      <c r="BB493" s="301"/>
      <c r="BC493" s="301"/>
      <c r="BD493" s="301"/>
      <c r="BE493" s="301">
        <v>5520000</v>
      </c>
      <c r="BF493" s="301" t="s">
        <v>731</v>
      </c>
      <c r="BG493" s="303"/>
      <c r="BH493" s="304"/>
    </row>
    <row r="494" spans="1:60" s="305" customFormat="1" ht="16.5" hidden="1" customHeight="1" x14ac:dyDescent="0.4">
      <c r="A494" s="285">
        <v>471</v>
      </c>
      <c r="B494" s="286"/>
      <c r="C494" s="286"/>
      <c r="D494" s="287" t="s">
        <v>92</v>
      </c>
      <c r="E494" s="287" t="s">
        <v>235</v>
      </c>
      <c r="F494" s="288" t="s">
        <v>92</v>
      </c>
      <c r="G494" s="289" t="s">
        <v>689</v>
      </c>
      <c r="H494" s="307"/>
      <c r="I494" s="290"/>
      <c r="J494" s="291" t="s">
        <v>224</v>
      </c>
      <c r="K494" s="287"/>
      <c r="L494" s="287"/>
      <c r="M494" s="287">
        <v>475</v>
      </c>
      <c r="N494" s="287" t="s">
        <v>23</v>
      </c>
      <c r="O494" s="287" t="s">
        <v>33</v>
      </c>
      <c r="P494" s="287" t="s">
        <v>44</v>
      </c>
      <c r="Q494" s="287" t="s">
        <v>27</v>
      </c>
      <c r="R494" s="287" t="s">
        <v>340</v>
      </c>
      <c r="S494" s="292" t="s">
        <v>340</v>
      </c>
      <c r="T494" s="293"/>
      <c r="U494" s="294"/>
      <c r="V494" s="294">
        <v>1000000</v>
      </c>
      <c r="W494" s="295"/>
      <c r="X494" s="296"/>
      <c r="Y494" s="287" t="s">
        <v>21</v>
      </c>
      <c r="Z494" s="297" t="s">
        <v>618</v>
      </c>
      <c r="AA494" s="313"/>
      <c r="AB494" s="313"/>
      <c r="AC494" s="298">
        <f t="shared" si="18"/>
        <v>0</v>
      </c>
      <c r="AD494" s="298">
        <v>0</v>
      </c>
      <c r="AE494" s="298">
        <f t="shared" si="19"/>
        <v>0</v>
      </c>
      <c r="AF494" s="299"/>
      <c r="AG494" s="300"/>
      <c r="AH494" s="299"/>
      <c r="AI494" s="299"/>
      <c r="AJ494" s="300"/>
      <c r="AK494" s="299"/>
      <c r="AL494" s="301"/>
      <c r="AM494" s="314"/>
      <c r="AN494" s="301"/>
      <c r="AO494" s="302"/>
      <c r="AP494" s="301"/>
      <c r="AQ494" s="301"/>
      <c r="AR494" s="301"/>
      <c r="AS494" s="301"/>
      <c r="AT494" s="301"/>
      <c r="AU494" s="301"/>
      <c r="AV494" s="301"/>
      <c r="AW494" s="301"/>
      <c r="AX494" s="301"/>
      <c r="AY494" s="301"/>
      <c r="AZ494" s="301"/>
      <c r="BA494" s="301"/>
      <c r="BB494" s="301"/>
      <c r="BC494" s="301"/>
      <c r="BD494" s="301"/>
      <c r="BE494" s="301"/>
      <c r="BF494" s="301"/>
      <c r="BG494" s="303"/>
      <c r="BH494" s="304"/>
    </row>
    <row r="495" spans="1:60" s="305" customFormat="1" ht="16.5" hidden="1" customHeight="1" x14ac:dyDescent="0.4">
      <c r="A495" s="285">
        <v>472</v>
      </c>
      <c r="B495" s="286"/>
      <c r="C495" s="286"/>
      <c r="D495" s="287" t="s">
        <v>92</v>
      </c>
      <c r="E495" s="287" t="s">
        <v>235</v>
      </c>
      <c r="F495" s="288" t="s">
        <v>92</v>
      </c>
      <c r="G495" s="289" t="s">
        <v>689</v>
      </c>
      <c r="H495" s="307"/>
      <c r="I495" s="290"/>
      <c r="J495" s="291" t="s">
        <v>225</v>
      </c>
      <c r="K495" s="287"/>
      <c r="L495" s="287"/>
      <c r="M495" s="287">
        <v>8298</v>
      </c>
      <c r="N495" s="287" t="s">
        <v>23</v>
      </c>
      <c r="O495" s="287" t="s">
        <v>33</v>
      </c>
      <c r="P495" s="287" t="s">
        <v>44</v>
      </c>
      <c r="Q495" s="287" t="s">
        <v>47</v>
      </c>
      <c r="R495" s="287" t="s">
        <v>340</v>
      </c>
      <c r="S495" s="292" t="s">
        <v>340</v>
      </c>
      <c r="T495" s="293"/>
      <c r="U495" s="294">
        <v>9396000</v>
      </c>
      <c r="V495" s="294">
        <v>0</v>
      </c>
      <c r="W495" s="295"/>
      <c r="X495" s="296"/>
      <c r="Y495" s="287" t="s">
        <v>22</v>
      </c>
      <c r="Z495" s="297" t="s">
        <v>618</v>
      </c>
      <c r="AA495" s="313"/>
      <c r="AB495" s="313"/>
      <c r="AC495" s="298">
        <f t="shared" si="18"/>
        <v>0</v>
      </c>
      <c r="AD495" s="298">
        <v>0</v>
      </c>
      <c r="AE495" s="298">
        <f t="shared" si="19"/>
        <v>0</v>
      </c>
      <c r="AF495" s="299"/>
      <c r="AG495" s="300"/>
      <c r="AH495" s="299"/>
      <c r="AI495" s="299"/>
      <c r="AJ495" s="300"/>
      <c r="AK495" s="299"/>
      <c r="AL495" s="301"/>
      <c r="AM495" s="314"/>
      <c r="AN495" s="301"/>
      <c r="AO495" s="302"/>
      <c r="AP495" s="301"/>
      <c r="AQ495" s="301"/>
      <c r="AR495" s="301"/>
      <c r="AS495" s="301"/>
      <c r="AT495" s="301"/>
      <c r="AU495" s="301"/>
      <c r="AV495" s="301"/>
      <c r="AW495" s="301"/>
      <c r="AX495" s="301"/>
      <c r="AY495" s="301"/>
      <c r="AZ495" s="301"/>
      <c r="BA495" s="301"/>
      <c r="BB495" s="301"/>
      <c r="BC495" s="301"/>
      <c r="BD495" s="301"/>
      <c r="BE495" s="301"/>
      <c r="BF495" s="301"/>
      <c r="BG495" s="303"/>
      <c r="BH495" s="304"/>
    </row>
    <row r="496" spans="1:60" s="305" customFormat="1" ht="16.5" hidden="1" customHeight="1" x14ac:dyDescent="0.4">
      <c r="A496" s="285">
        <v>473</v>
      </c>
      <c r="B496" s="286"/>
      <c r="C496" s="286"/>
      <c r="D496" s="287" t="s">
        <v>92</v>
      </c>
      <c r="E496" s="287" t="s">
        <v>235</v>
      </c>
      <c r="F496" s="288" t="s">
        <v>92</v>
      </c>
      <c r="G496" s="289" t="s">
        <v>689</v>
      </c>
      <c r="H496" s="307"/>
      <c r="I496" s="290"/>
      <c r="J496" s="291" t="s">
        <v>225</v>
      </c>
      <c r="K496" s="287"/>
      <c r="L496" s="287"/>
      <c r="M496" s="287">
        <v>8298</v>
      </c>
      <c r="N496" s="287" t="s">
        <v>23</v>
      </c>
      <c r="O496" s="287" t="s">
        <v>33</v>
      </c>
      <c r="P496" s="287" t="s">
        <v>44</v>
      </c>
      <c r="Q496" s="287" t="s">
        <v>48</v>
      </c>
      <c r="R496" s="287" t="s">
        <v>685</v>
      </c>
      <c r="S496" s="292" t="s">
        <v>743</v>
      </c>
      <c r="T496" s="293"/>
      <c r="U496" s="294">
        <v>9800000</v>
      </c>
      <c r="V496" s="294">
        <v>0</v>
      </c>
      <c r="W496" s="295"/>
      <c r="X496" s="296"/>
      <c r="Y496" s="287" t="s">
        <v>22</v>
      </c>
      <c r="Z496" s="297" t="s">
        <v>618</v>
      </c>
      <c r="AA496" s="313"/>
      <c r="AB496" s="313"/>
      <c r="AC496" s="298">
        <f t="shared" si="18"/>
        <v>0</v>
      </c>
      <c r="AD496" s="298">
        <v>0</v>
      </c>
      <c r="AE496" s="298">
        <f t="shared" si="19"/>
        <v>0</v>
      </c>
      <c r="AF496" s="299"/>
      <c r="AG496" s="300"/>
      <c r="AH496" s="299"/>
      <c r="AI496" s="299"/>
      <c r="AJ496" s="300"/>
      <c r="AK496" s="299"/>
      <c r="AL496" s="301"/>
      <c r="AM496" s="314"/>
      <c r="AN496" s="301"/>
      <c r="AO496" s="302"/>
      <c r="AP496" s="301"/>
      <c r="AQ496" s="301"/>
      <c r="AR496" s="301"/>
      <c r="AS496" s="301"/>
      <c r="AT496" s="301"/>
      <c r="AU496" s="301"/>
      <c r="AV496" s="301"/>
      <c r="AW496" s="301"/>
      <c r="AX496" s="301"/>
      <c r="AY496" s="301"/>
      <c r="AZ496" s="301"/>
      <c r="BA496" s="301"/>
      <c r="BB496" s="301"/>
      <c r="BC496" s="301"/>
      <c r="BD496" s="301"/>
      <c r="BE496" s="301"/>
      <c r="BF496" s="301"/>
      <c r="BG496" s="303"/>
      <c r="BH496" s="304"/>
    </row>
    <row r="497" spans="1:60" s="305" customFormat="1" ht="16.5" hidden="1" customHeight="1" x14ac:dyDescent="0.4">
      <c r="A497" s="285">
        <v>474</v>
      </c>
      <c r="B497" s="286"/>
      <c r="C497" s="286"/>
      <c r="D497" s="287" t="s">
        <v>92</v>
      </c>
      <c r="E497" s="287" t="s">
        <v>235</v>
      </c>
      <c r="F497" s="288" t="s">
        <v>92</v>
      </c>
      <c r="G497" s="289" t="s">
        <v>689</v>
      </c>
      <c r="H497" s="307"/>
      <c r="I497" s="290"/>
      <c r="J497" s="291" t="s">
        <v>226</v>
      </c>
      <c r="K497" s="287"/>
      <c r="L497" s="287"/>
      <c r="M497" s="287">
        <v>475</v>
      </c>
      <c r="N497" s="287" t="s">
        <v>23</v>
      </c>
      <c r="O497" s="287" t="s">
        <v>43</v>
      </c>
      <c r="P497" s="287" t="s">
        <v>44</v>
      </c>
      <c r="Q497" s="287" t="s">
        <v>49</v>
      </c>
      <c r="R497" s="287" t="s">
        <v>29</v>
      </c>
      <c r="S497" s="292" t="s">
        <v>29</v>
      </c>
      <c r="T497" s="293"/>
      <c r="U497" s="294">
        <v>47358900</v>
      </c>
      <c r="V497" s="294">
        <v>53426500</v>
      </c>
      <c r="W497" s="295">
        <v>44061000</v>
      </c>
      <c r="X497" s="296"/>
      <c r="Y497" s="287" t="s">
        <v>28</v>
      </c>
      <c r="Z497" s="297" t="s">
        <v>28</v>
      </c>
      <c r="AA497" s="313"/>
      <c r="AB497" s="313"/>
      <c r="AC497" s="298">
        <f t="shared" si="18"/>
        <v>37491400</v>
      </c>
      <c r="AD497" s="298">
        <v>37491400</v>
      </c>
      <c r="AE497" s="298">
        <f t="shared" si="19"/>
        <v>0</v>
      </c>
      <c r="AF497" s="299">
        <v>3430800</v>
      </c>
      <c r="AG497" s="300"/>
      <c r="AH497" s="299"/>
      <c r="AI497" s="299">
        <v>3579600</v>
      </c>
      <c r="AJ497" s="300">
        <v>3430800</v>
      </c>
      <c r="AK497" s="299"/>
      <c r="AL497" s="301">
        <v>3741000</v>
      </c>
      <c r="AM497" s="314">
        <v>3579600</v>
      </c>
      <c r="AN497" s="301"/>
      <c r="AO497" s="302">
        <v>3741000</v>
      </c>
      <c r="AP497" s="301"/>
      <c r="AQ497" s="301">
        <v>3200000</v>
      </c>
      <c r="AR497" s="301"/>
      <c r="AS497" s="301">
        <v>3200000</v>
      </c>
      <c r="AT497" s="301"/>
      <c r="AU497" s="301">
        <v>3200000</v>
      </c>
      <c r="AV497" s="301"/>
      <c r="AW497" s="301">
        <v>3200000</v>
      </c>
      <c r="AX497" s="301"/>
      <c r="AY497" s="301">
        <v>3200000</v>
      </c>
      <c r="AZ497" s="301"/>
      <c r="BA497" s="301">
        <v>3200000</v>
      </c>
      <c r="BB497" s="301"/>
      <c r="BC497" s="301">
        <v>3200000</v>
      </c>
      <c r="BD497" s="301"/>
      <c r="BE497" s="301">
        <v>4340000</v>
      </c>
      <c r="BF497" s="301"/>
      <c r="BG497" s="303"/>
      <c r="BH497" s="304"/>
    </row>
    <row r="498" spans="1:60" s="305" customFormat="1" ht="16.5" hidden="1" customHeight="1" x14ac:dyDescent="0.4">
      <c r="A498" s="285">
        <v>475</v>
      </c>
      <c r="B498" s="286"/>
      <c r="C498" s="286"/>
      <c r="D498" s="287" t="s">
        <v>92</v>
      </c>
      <c r="E498" s="287" t="s">
        <v>235</v>
      </c>
      <c r="F498" s="288" t="s">
        <v>92</v>
      </c>
      <c r="G498" s="289" t="s">
        <v>689</v>
      </c>
      <c r="H498" s="307"/>
      <c r="I498" s="290"/>
      <c r="J498" s="291" t="s">
        <v>226</v>
      </c>
      <c r="K498" s="287"/>
      <c r="L498" s="287"/>
      <c r="M498" s="287">
        <v>475</v>
      </c>
      <c r="N498" s="287" t="s">
        <v>23</v>
      </c>
      <c r="O498" s="287" t="s">
        <v>33</v>
      </c>
      <c r="P498" s="287" t="s">
        <v>44</v>
      </c>
      <c r="Q498" s="287" t="s">
        <v>19</v>
      </c>
      <c r="R498" s="287" t="s">
        <v>20</v>
      </c>
      <c r="S498" s="292" t="s">
        <v>20</v>
      </c>
      <c r="T498" s="293"/>
      <c r="U498" s="294">
        <v>10090720</v>
      </c>
      <c r="V498" s="294">
        <v>0</v>
      </c>
      <c r="W498" s="295"/>
      <c r="X498" s="296"/>
      <c r="Y498" s="287" t="s">
        <v>22</v>
      </c>
      <c r="Z498" s="297" t="s">
        <v>618</v>
      </c>
      <c r="AA498" s="313"/>
      <c r="AB498" s="313"/>
      <c r="AC498" s="298">
        <f t="shared" si="18"/>
        <v>0</v>
      </c>
      <c r="AD498" s="298">
        <v>0</v>
      </c>
      <c r="AE498" s="298">
        <f t="shared" si="19"/>
        <v>0</v>
      </c>
      <c r="AF498" s="299"/>
      <c r="AG498" s="300"/>
      <c r="AH498" s="299"/>
      <c r="AI498" s="299"/>
      <c r="AJ498" s="300"/>
      <c r="AK498" s="299"/>
      <c r="AL498" s="301"/>
      <c r="AM498" s="314"/>
      <c r="AN498" s="301"/>
      <c r="AO498" s="302"/>
      <c r="AP498" s="301"/>
      <c r="AQ498" s="301"/>
      <c r="AR498" s="301"/>
      <c r="AS498" s="301"/>
      <c r="AT498" s="301"/>
      <c r="AU498" s="301"/>
      <c r="AV498" s="301"/>
      <c r="AW498" s="301"/>
      <c r="AX498" s="301"/>
      <c r="AY498" s="301"/>
      <c r="AZ498" s="301"/>
      <c r="BA498" s="301"/>
      <c r="BB498" s="301"/>
      <c r="BC498" s="301"/>
      <c r="BD498" s="301"/>
      <c r="BE498" s="301"/>
      <c r="BF498" s="301"/>
      <c r="BG498" s="303"/>
      <c r="BH498" s="304"/>
    </row>
    <row r="499" spans="1:60" s="305" customFormat="1" ht="16.5" hidden="1" customHeight="1" x14ac:dyDescent="0.4">
      <c r="A499" s="285">
        <v>476</v>
      </c>
      <c r="B499" s="286"/>
      <c r="C499" s="286"/>
      <c r="D499" s="287" t="s">
        <v>92</v>
      </c>
      <c r="E499" s="287" t="s">
        <v>193</v>
      </c>
      <c r="F499" s="288" t="s">
        <v>92</v>
      </c>
      <c r="G499" s="289" t="s">
        <v>689</v>
      </c>
      <c r="H499" s="307"/>
      <c r="I499" s="290"/>
      <c r="J499" s="291" t="s">
        <v>468</v>
      </c>
      <c r="K499" s="287"/>
      <c r="L499" s="287"/>
      <c r="M499" s="287">
        <v>15966</v>
      </c>
      <c r="N499" s="287" t="s">
        <v>23</v>
      </c>
      <c r="O499" s="287" t="s">
        <v>33</v>
      </c>
      <c r="P499" s="287" t="s">
        <v>44</v>
      </c>
      <c r="Q499" s="287" t="s">
        <v>30</v>
      </c>
      <c r="R499" s="287" t="s">
        <v>31</v>
      </c>
      <c r="S499" s="292" t="s">
        <v>31</v>
      </c>
      <c r="T499" s="293"/>
      <c r="U499" s="294">
        <v>11350000</v>
      </c>
      <c r="V499" s="294">
        <v>16355000</v>
      </c>
      <c r="W499" s="295">
        <v>4984000</v>
      </c>
      <c r="X499" s="296"/>
      <c r="Y499" s="287" t="s">
        <v>56</v>
      </c>
      <c r="Z499" s="297" t="s">
        <v>26</v>
      </c>
      <c r="AA499" s="313"/>
      <c r="AB499" s="313"/>
      <c r="AC499" s="298">
        <f t="shared" si="18"/>
        <v>40000000</v>
      </c>
      <c r="AD499" s="298">
        <v>40000000</v>
      </c>
      <c r="AE499" s="298">
        <f t="shared" si="19"/>
        <v>0</v>
      </c>
      <c r="AF499" s="299"/>
      <c r="AG499" s="300"/>
      <c r="AH499" s="299"/>
      <c r="AI499" s="299"/>
      <c r="AJ499" s="300"/>
      <c r="AK499" s="299"/>
      <c r="AL499" s="301"/>
      <c r="AM499" s="314"/>
      <c r="AN499" s="301"/>
      <c r="AO499" s="302"/>
      <c r="AP499" s="301"/>
      <c r="AQ499" s="301"/>
      <c r="AR499" s="301"/>
      <c r="AS499" s="301"/>
      <c r="AT499" s="301"/>
      <c r="AU499" s="301"/>
      <c r="AV499" s="301"/>
      <c r="AW499" s="301"/>
      <c r="AX499" s="301"/>
      <c r="AY499" s="301"/>
      <c r="AZ499" s="301"/>
      <c r="BA499" s="301"/>
      <c r="BB499" s="301"/>
      <c r="BC499" s="301"/>
      <c r="BD499" s="301"/>
      <c r="BE499" s="301">
        <v>40000000</v>
      </c>
      <c r="BF499" s="301"/>
      <c r="BG499" s="303"/>
      <c r="BH499" s="304"/>
    </row>
    <row r="500" spans="1:60" s="305" customFormat="1" ht="16.5" hidden="1" customHeight="1" x14ac:dyDescent="0.4">
      <c r="A500" s="285">
        <v>477</v>
      </c>
      <c r="B500" s="286"/>
      <c r="C500" s="286"/>
      <c r="D500" s="287" t="s">
        <v>92</v>
      </c>
      <c r="E500" s="287" t="s">
        <v>193</v>
      </c>
      <c r="F500" s="288" t="s">
        <v>92</v>
      </c>
      <c r="G500" s="289" t="s">
        <v>689</v>
      </c>
      <c r="H500" s="307"/>
      <c r="I500" s="290"/>
      <c r="J500" s="291" t="s">
        <v>194</v>
      </c>
      <c r="K500" s="287"/>
      <c r="L500" s="287"/>
      <c r="M500" s="287">
        <v>46245</v>
      </c>
      <c r="N500" s="287" t="s">
        <v>32</v>
      </c>
      <c r="O500" s="287" t="s">
        <v>43</v>
      </c>
      <c r="P500" s="287" t="s">
        <v>93</v>
      </c>
      <c r="Q500" s="287" t="s">
        <v>36</v>
      </c>
      <c r="R500" s="287" t="s">
        <v>341</v>
      </c>
      <c r="S500" s="292" t="s">
        <v>341</v>
      </c>
      <c r="T500" s="293"/>
      <c r="U500" s="294">
        <v>135000000</v>
      </c>
      <c r="V500" s="294">
        <v>0</v>
      </c>
      <c r="W500" s="295"/>
      <c r="X500" s="296"/>
      <c r="Y500" s="287" t="s">
        <v>25</v>
      </c>
      <c r="Z500" s="297" t="s">
        <v>22</v>
      </c>
      <c r="AA500" s="313"/>
      <c r="AB500" s="313"/>
      <c r="AC500" s="298">
        <f t="shared" si="18"/>
        <v>0</v>
      </c>
      <c r="AD500" s="298">
        <v>0</v>
      </c>
      <c r="AE500" s="298">
        <f t="shared" si="19"/>
        <v>0</v>
      </c>
      <c r="AF500" s="299"/>
      <c r="AG500" s="300"/>
      <c r="AH500" s="299"/>
      <c r="AI500" s="299"/>
      <c r="AJ500" s="300"/>
      <c r="AK500" s="299"/>
      <c r="AL500" s="301"/>
      <c r="AM500" s="314"/>
      <c r="AN500" s="301"/>
      <c r="AO500" s="302"/>
      <c r="AP500" s="301"/>
      <c r="AQ500" s="301"/>
      <c r="AR500" s="301"/>
      <c r="AS500" s="301"/>
      <c r="AT500" s="301"/>
      <c r="AU500" s="301"/>
      <c r="AV500" s="301"/>
      <c r="AW500" s="301"/>
      <c r="AX500" s="301"/>
      <c r="AY500" s="301"/>
      <c r="AZ500" s="301"/>
      <c r="BA500" s="301"/>
      <c r="BB500" s="301"/>
      <c r="BC500" s="301"/>
      <c r="BD500" s="301"/>
      <c r="BE500" s="301">
        <v>0</v>
      </c>
      <c r="BF500" s="301"/>
      <c r="BG500" s="303"/>
      <c r="BH500" s="304"/>
    </row>
    <row r="501" spans="1:60" s="305" customFormat="1" ht="16.5" hidden="1" customHeight="1" x14ac:dyDescent="0.4">
      <c r="A501" s="285">
        <v>478</v>
      </c>
      <c r="B501" s="286"/>
      <c r="C501" s="286"/>
      <c r="D501" s="287" t="s">
        <v>92</v>
      </c>
      <c r="E501" s="287" t="s">
        <v>193</v>
      </c>
      <c r="F501" s="288" t="s">
        <v>92</v>
      </c>
      <c r="G501" s="289" t="s">
        <v>689</v>
      </c>
      <c r="H501" s="307"/>
      <c r="I501" s="290"/>
      <c r="J501" s="291" t="s">
        <v>194</v>
      </c>
      <c r="K501" s="287"/>
      <c r="L501" s="287"/>
      <c r="M501" s="287">
        <v>46245</v>
      </c>
      <c r="N501" s="287" t="s">
        <v>32</v>
      </c>
      <c r="O501" s="287" t="s">
        <v>33</v>
      </c>
      <c r="P501" s="287" t="s">
        <v>93</v>
      </c>
      <c r="Q501" s="287" t="s">
        <v>27</v>
      </c>
      <c r="R501" s="287" t="s">
        <v>340</v>
      </c>
      <c r="S501" s="292" t="s">
        <v>340</v>
      </c>
      <c r="T501" s="293"/>
      <c r="U501" s="294"/>
      <c r="V501" s="294">
        <v>2000000</v>
      </c>
      <c r="W501" s="295"/>
      <c r="X501" s="296"/>
      <c r="Y501" s="287" t="s">
        <v>26</v>
      </c>
      <c r="Z501" s="297" t="s">
        <v>618</v>
      </c>
      <c r="AA501" s="313"/>
      <c r="AB501" s="313"/>
      <c r="AC501" s="298">
        <f t="shared" si="18"/>
        <v>0</v>
      </c>
      <c r="AD501" s="298">
        <v>0</v>
      </c>
      <c r="AE501" s="298">
        <f t="shared" si="19"/>
        <v>0</v>
      </c>
      <c r="AF501" s="299"/>
      <c r="AG501" s="300"/>
      <c r="AH501" s="299"/>
      <c r="AI501" s="299"/>
      <c r="AJ501" s="300"/>
      <c r="AK501" s="299"/>
      <c r="AL501" s="301"/>
      <c r="AM501" s="314"/>
      <c r="AN501" s="301"/>
      <c r="AO501" s="302"/>
      <c r="AP501" s="301"/>
      <c r="AQ501" s="301"/>
      <c r="AR501" s="301"/>
      <c r="AS501" s="301"/>
      <c r="AT501" s="301"/>
      <c r="AU501" s="301"/>
      <c r="AV501" s="301"/>
      <c r="AW501" s="301"/>
      <c r="AX501" s="301"/>
      <c r="AY501" s="301"/>
      <c r="AZ501" s="301"/>
      <c r="BA501" s="301"/>
      <c r="BB501" s="301"/>
      <c r="BC501" s="301"/>
      <c r="BD501" s="301"/>
      <c r="BE501" s="301">
        <v>0</v>
      </c>
      <c r="BF501" s="301"/>
      <c r="BG501" s="303"/>
      <c r="BH501" s="304"/>
    </row>
    <row r="502" spans="1:60" s="305" customFormat="1" ht="16.5" hidden="1" customHeight="1" x14ac:dyDescent="0.4">
      <c r="A502" s="285">
        <v>479</v>
      </c>
      <c r="B502" s="286"/>
      <c r="C502" s="286"/>
      <c r="D502" s="287" t="s">
        <v>92</v>
      </c>
      <c r="E502" s="287" t="s">
        <v>184</v>
      </c>
      <c r="F502" s="288" t="s">
        <v>92</v>
      </c>
      <c r="G502" s="289" t="s">
        <v>689</v>
      </c>
      <c r="H502" s="307"/>
      <c r="I502" s="290"/>
      <c r="J502" s="291" t="s">
        <v>636</v>
      </c>
      <c r="K502" s="287"/>
      <c r="L502" s="287"/>
      <c r="M502" s="287">
        <v>46245</v>
      </c>
      <c r="N502" s="287" t="s">
        <v>32</v>
      </c>
      <c r="O502" s="287" t="s">
        <v>43</v>
      </c>
      <c r="P502" s="287" t="s">
        <v>93</v>
      </c>
      <c r="Q502" s="287"/>
      <c r="R502" s="287" t="s">
        <v>338</v>
      </c>
      <c r="S502" s="292" t="s">
        <v>753</v>
      </c>
      <c r="T502" s="293"/>
      <c r="U502" s="294"/>
      <c r="V502" s="294"/>
      <c r="W502" s="295">
        <v>120600000</v>
      </c>
      <c r="X502" s="296"/>
      <c r="Y502" s="287" t="s">
        <v>28</v>
      </c>
      <c r="Z502" s="297" t="s">
        <v>25</v>
      </c>
      <c r="AA502" s="313"/>
      <c r="AB502" s="313"/>
      <c r="AC502" s="298">
        <f t="shared" si="18"/>
        <v>95000000</v>
      </c>
      <c r="AD502" s="298">
        <v>95000000</v>
      </c>
      <c r="AE502" s="298">
        <f t="shared" si="19"/>
        <v>0</v>
      </c>
      <c r="AF502" s="299"/>
      <c r="AG502" s="300"/>
      <c r="AH502" s="299"/>
      <c r="AI502" s="299"/>
      <c r="AJ502" s="300"/>
      <c r="AK502" s="299"/>
      <c r="AL502" s="301"/>
      <c r="AM502" s="314"/>
      <c r="AN502" s="301"/>
      <c r="AO502" s="302"/>
      <c r="AP502" s="301"/>
      <c r="AQ502" s="301"/>
      <c r="AR502" s="301"/>
      <c r="AS502" s="301"/>
      <c r="AT502" s="301"/>
      <c r="AU502" s="301"/>
      <c r="AV502" s="301"/>
      <c r="AW502" s="301">
        <v>95000000</v>
      </c>
      <c r="AX502" s="301"/>
      <c r="AY502" s="301"/>
      <c r="AZ502" s="301"/>
      <c r="BA502" s="301"/>
      <c r="BB502" s="301"/>
      <c r="BC502" s="301"/>
      <c r="BD502" s="301"/>
      <c r="BE502" s="301"/>
      <c r="BF502" s="301"/>
      <c r="BG502" s="303"/>
      <c r="BH502" s="304"/>
    </row>
    <row r="503" spans="1:60" s="305" customFormat="1" ht="16.5" hidden="1" customHeight="1" x14ac:dyDescent="0.4">
      <c r="A503" s="285">
        <v>480</v>
      </c>
      <c r="B503" s="286"/>
      <c r="C503" s="286"/>
      <c r="D503" s="287"/>
      <c r="E503" s="287"/>
      <c r="F503" s="288" t="s">
        <v>92</v>
      </c>
      <c r="G503" s="289" t="s">
        <v>689</v>
      </c>
      <c r="H503" s="307"/>
      <c r="I503" s="290"/>
      <c r="J503" s="291" t="s">
        <v>778</v>
      </c>
      <c r="K503" s="287"/>
      <c r="L503" s="287"/>
      <c r="M503" s="287">
        <v>45194</v>
      </c>
      <c r="N503" s="287" t="s">
        <v>40</v>
      </c>
      <c r="O503" s="287" t="s">
        <v>43</v>
      </c>
      <c r="P503" s="287" t="s">
        <v>44</v>
      </c>
      <c r="Q503" s="287"/>
      <c r="R503" s="287"/>
      <c r="S503" s="292" t="s">
        <v>31</v>
      </c>
      <c r="T503" s="293"/>
      <c r="U503" s="294"/>
      <c r="V503" s="294"/>
      <c r="W503" s="295">
        <v>639000</v>
      </c>
      <c r="X503" s="296"/>
      <c r="Y503" s="287"/>
      <c r="Z503" s="297" t="s">
        <v>656</v>
      </c>
      <c r="AA503" s="313"/>
      <c r="AB503" s="313"/>
      <c r="AC503" s="298">
        <f t="shared" si="18"/>
        <v>0</v>
      </c>
      <c r="AD503" s="298">
        <v>0</v>
      </c>
      <c r="AE503" s="298">
        <f t="shared" si="19"/>
        <v>0</v>
      </c>
      <c r="AF503" s="299"/>
      <c r="AG503" s="300"/>
      <c r="AH503" s="299"/>
      <c r="AI503" s="299"/>
      <c r="AJ503" s="300"/>
      <c r="AK503" s="299"/>
      <c r="AL503" s="301"/>
      <c r="AM503" s="314"/>
      <c r="AN503" s="301"/>
      <c r="AO503" s="302"/>
      <c r="AP503" s="301"/>
      <c r="AQ503" s="301"/>
      <c r="AR503" s="301"/>
      <c r="AS503" s="301"/>
      <c r="AT503" s="301"/>
      <c r="AU503" s="301"/>
      <c r="AV503" s="301"/>
      <c r="AW503" s="301"/>
      <c r="AX503" s="301"/>
      <c r="AY503" s="301"/>
      <c r="AZ503" s="301"/>
      <c r="BA503" s="301"/>
      <c r="BB503" s="301"/>
      <c r="BC503" s="301"/>
      <c r="BD503" s="301"/>
      <c r="BE503" s="301"/>
      <c r="BF503" s="301"/>
      <c r="BG503" s="303"/>
      <c r="BH503" s="304"/>
    </row>
    <row r="504" spans="1:60" s="305" customFormat="1" ht="16.5" hidden="1" customHeight="1" x14ac:dyDescent="0.4">
      <c r="A504" s="285">
        <v>481</v>
      </c>
      <c r="B504" s="286"/>
      <c r="C504" s="286"/>
      <c r="D504" s="287" t="s">
        <v>92</v>
      </c>
      <c r="E504" s="287" t="s">
        <v>235</v>
      </c>
      <c r="F504" s="288" t="s">
        <v>92</v>
      </c>
      <c r="G504" s="289" t="s">
        <v>689</v>
      </c>
      <c r="H504" s="307"/>
      <c r="I504" s="290"/>
      <c r="J504" s="291" t="s">
        <v>521</v>
      </c>
      <c r="K504" s="287"/>
      <c r="L504" s="287"/>
      <c r="M504" s="287">
        <v>6829</v>
      </c>
      <c r="N504" s="287" t="s">
        <v>40</v>
      </c>
      <c r="O504" s="287" t="s">
        <v>43</v>
      </c>
      <c r="P504" s="287" t="s">
        <v>44</v>
      </c>
      <c r="Q504" s="287" t="s">
        <v>49</v>
      </c>
      <c r="R504" s="287" t="s">
        <v>29</v>
      </c>
      <c r="S504" s="292" t="s">
        <v>29</v>
      </c>
      <c r="T504" s="293"/>
      <c r="U504" s="294">
        <v>133010680</v>
      </c>
      <c r="V504" s="294">
        <v>159855020</v>
      </c>
      <c r="W504" s="295">
        <v>171506810</v>
      </c>
      <c r="X504" s="296"/>
      <c r="Y504" s="287" t="s">
        <v>28</v>
      </c>
      <c r="Z504" s="297" t="s">
        <v>544</v>
      </c>
      <c r="AA504" s="313"/>
      <c r="AB504" s="313"/>
      <c r="AC504" s="298">
        <f t="shared" si="18"/>
        <v>0</v>
      </c>
      <c r="AD504" s="298">
        <v>0</v>
      </c>
      <c r="AE504" s="298">
        <f t="shared" si="19"/>
        <v>0</v>
      </c>
      <c r="AF504" s="299"/>
      <c r="AG504" s="300"/>
      <c r="AH504" s="299"/>
      <c r="AI504" s="299"/>
      <c r="AJ504" s="300"/>
      <c r="AK504" s="299"/>
      <c r="AL504" s="301"/>
      <c r="AM504" s="314"/>
      <c r="AN504" s="301"/>
      <c r="AO504" s="302"/>
      <c r="AP504" s="301"/>
      <c r="AQ504" s="301"/>
      <c r="AR504" s="301"/>
      <c r="AS504" s="301"/>
      <c r="AT504" s="301"/>
      <c r="AU504" s="301"/>
      <c r="AV504" s="301"/>
      <c r="AW504" s="301"/>
      <c r="AX504" s="301"/>
      <c r="AY504" s="301"/>
      <c r="AZ504" s="301"/>
      <c r="BA504" s="301"/>
      <c r="BB504" s="301"/>
      <c r="BC504" s="301"/>
      <c r="BD504" s="301"/>
      <c r="BE504" s="301"/>
      <c r="BF504" s="301"/>
      <c r="BG504" s="303"/>
      <c r="BH504" s="304"/>
    </row>
    <row r="505" spans="1:60" s="305" customFormat="1" ht="16.5" hidden="1" customHeight="1" x14ac:dyDescent="0.4">
      <c r="A505" s="285">
        <v>482</v>
      </c>
      <c r="B505" s="286"/>
      <c r="C505" s="286"/>
      <c r="D505" s="287" t="s">
        <v>92</v>
      </c>
      <c r="E505" s="287" t="s">
        <v>184</v>
      </c>
      <c r="F505" s="288" t="s">
        <v>92</v>
      </c>
      <c r="G505" s="289" t="s">
        <v>689</v>
      </c>
      <c r="H505" s="307"/>
      <c r="I505" s="290"/>
      <c r="J505" s="291" t="s">
        <v>479</v>
      </c>
      <c r="K505" s="287"/>
      <c r="L505" s="287"/>
      <c r="M505" s="287">
        <v>22259</v>
      </c>
      <c r="N505" s="287" t="s">
        <v>40</v>
      </c>
      <c r="O505" s="287" t="s">
        <v>43</v>
      </c>
      <c r="P505" s="287" t="s">
        <v>44</v>
      </c>
      <c r="Q505" s="287" t="s">
        <v>19</v>
      </c>
      <c r="R505" s="287" t="s">
        <v>20</v>
      </c>
      <c r="S505" s="292" t="s">
        <v>20</v>
      </c>
      <c r="T505" s="293"/>
      <c r="U505" s="294"/>
      <c r="V505" s="294">
        <v>7500000</v>
      </c>
      <c r="W505" s="295">
        <v>24500000</v>
      </c>
      <c r="X505" s="296"/>
      <c r="Y505" s="287" t="s">
        <v>28</v>
      </c>
      <c r="Z505" s="297" t="s">
        <v>28</v>
      </c>
      <c r="AA505" s="313"/>
      <c r="AB505" s="313"/>
      <c r="AC505" s="298">
        <f t="shared" si="18"/>
        <v>25000000</v>
      </c>
      <c r="AD505" s="298">
        <v>25000000</v>
      </c>
      <c r="AE505" s="298">
        <f t="shared" si="19"/>
        <v>0</v>
      </c>
      <c r="AF505" s="299"/>
      <c r="AG505" s="300"/>
      <c r="AH505" s="299"/>
      <c r="AI505" s="299"/>
      <c r="AJ505" s="300"/>
      <c r="AK505" s="299"/>
      <c r="AL505" s="301"/>
      <c r="AM505" s="314"/>
      <c r="AN505" s="301"/>
      <c r="AO505" s="302"/>
      <c r="AP505" s="301"/>
      <c r="AQ505" s="301"/>
      <c r="AR505" s="301"/>
      <c r="AS505" s="301"/>
      <c r="AT505" s="301"/>
      <c r="AU505" s="301"/>
      <c r="AV505" s="301"/>
      <c r="AW505" s="301">
        <v>14000000</v>
      </c>
      <c r="AX505" s="301"/>
      <c r="AY505" s="301">
        <v>6000000</v>
      </c>
      <c r="AZ505" s="301"/>
      <c r="BA505" s="301"/>
      <c r="BB505" s="301"/>
      <c r="BC505" s="301"/>
      <c r="BD505" s="301"/>
      <c r="BE505" s="301">
        <v>5000000</v>
      </c>
      <c r="BF505" s="301"/>
      <c r="BG505" s="303"/>
      <c r="BH505" s="304"/>
    </row>
    <row r="506" spans="1:60" s="305" customFormat="1" ht="16.5" hidden="1" customHeight="1" x14ac:dyDescent="0.4">
      <c r="A506" s="285">
        <v>483</v>
      </c>
      <c r="B506" s="286"/>
      <c r="C506" s="286"/>
      <c r="D506" s="287" t="s">
        <v>92</v>
      </c>
      <c r="E506" s="287" t="s">
        <v>184</v>
      </c>
      <c r="F506" s="288" t="s">
        <v>92</v>
      </c>
      <c r="G506" s="289" t="s">
        <v>689</v>
      </c>
      <c r="H506" s="307"/>
      <c r="I506" s="290"/>
      <c r="J506" s="291" t="s">
        <v>482</v>
      </c>
      <c r="K506" s="287"/>
      <c r="L506" s="287"/>
      <c r="M506" s="287">
        <v>2321</v>
      </c>
      <c r="N506" s="287" t="s">
        <v>23</v>
      </c>
      <c r="O506" s="287" t="s">
        <v>33</v>
      </c>
      <c r="P506" s="287" t="s">
        <v>44</v>
      </c>
      <c r="Q506" s="287" t="s">
        <v>19</v>
      </c>
      <c r="R506" s="287" t="s">
        <v>20</v>
      </c>
      <c r="S506" s="292" t="s">
        <v>20</v>
      </c>
      <c r="T506" s="293"/>
      <c r="U506" s="294"/>
      <c r="V506" s="294">
        <v>0</v>
      </c>
      <c r="W506" s="295"/>
      <c r="X506" s="296"/>
      <c r="Y506" s="287" t="s">
        <v>26</v>
      </c>
      <c r="Z506" s="297" t="s">
        <v>26</v>
      </c>
      <c r="AA506" s="313"/>
      <c r="AB506" s="313"/>
      <c r="AC506" s="298">
        <f t="shared" si="18"/>
        <v>5000000</v>
      </c>
      <c r="AD506" s="298">
        <v>5000000</v>
      </c>
      <c r="AE506" s="298">
        <f t="shared" si="19"/>
        <v>0</v>
      </c>
      <c r="AF506" s="299"/>
      <c r="AG506" s="300"/>
      <c r="AH506" s="299"/>
      <c r="AI506" s="299"/>
      <c r="AJ506" s="300"/>
      <c r="AK506" s="299"/>
      <c r="AL506" s="301"/>
      <c r="AM506" s="314"/>
      <c r="AN506" s="301"/>
      <c r="AO506" s="302"/>
      <c r="AP506" s="301"/>
      <c r="AQ506" s="316">
        <v>5000000</v>
      </c>
      <c r="AR506" s="301"/>
      <c r="AS506" s="301"/>
      <c r="AT506" s="301"/>
      <c r="AU506" s="301"/>
      <c r="AV506" s="301"/>
      <c r="AW506" s="301"/>
      <c r="AX506" s="301"/>
      <c r="AY506" s="301"/>
      <c r="AZ506" s="301"/>
      <c r="BA506" s="301"/>
      <c r="BB506" s="301"/>
      <c r="BC506" s="301"/>
      <c r="BD506" s="301"/>
      <c r="BE506" s="301"/>
      <c r="BF506" s="301"/>
      <c r="BG506" s="303"/>
      <c r="BH506" s="304"/>
    </row>
    <row r="507" spans="1:60" s="305" customFormat="1" ht="16.5" hidden="1" customHeight="1" x14ac:dyDescent="0.4">
      <c r="A507" s="285">
        <v>484</v>
      </c>
      <c r="B507" s="286"/>
      <c r="C507" s="286"/>
      <c r="D507" s="287"/>
      <c r="E507" s="287"/>
      <c r="F507" s="288" t="s">
        <v>92</v>
      </c>
      <c r="G507" s="289" t="s">
        <v>689</v>
      </c>
      <c r="H507" s="307"/>
      <c r="I507" s="290"/>
      <c r="J507" s="291" t="s">
        <v>777</v>
      </c>
      <c r="K507" s="287"/>
      <c r="L507" s="287"/>
      <c r="M507" s="287">
        <v>21154</v>
      </c>
      <c r="N507" s="287" t="s">
        <v>32</v>
      </c>
      <c r="O507" s="287" t="s">
        <v>43</v>
      </c>
      <c r="P507" s="287" t="s">
        <v>98</v>
      </c>
      <c r="Q507" s="287"/>
      <c r="R507" s="287"/>
      <c r="S507" s="292" t="s">
        <v>20</v>
      </c>
      <c r="T507" s="293"/>
      <c r="U507" s="294"/>
      <c r="V507" s="294"/>
      <c r="W507" s="295">
        <v>11511000</v>
      </c>
      <c r="X507" s="296"/>
      <c r="Y507" s="287"/>
      <c r="Z507" s="297" t="s">
        <v>656</v>
      </c>
      <c r="AA507" s="313"/>
      <c r="AB507" s="313"/>
      <c r="AC507" s="298">
        <f t="shared" si="18"/>
        <v>0</v>
      </c>
      <c r="AD507" s="298">
        <v>0</v>
      </c>
      <c r="AE507" s="298">
        <f t="shared" si="19"/>
        <v>0</v>
      </c>
      <c r="AF507" s="299"/>
      <c r="AG507" s="300"/>
      <c r="AH507" s="299"/>
      <c r="AI507" s="299"/>
      <c r="AJ507" s="300"/>
      <c r="AK507" s="299"/>
      <c r="AL507" s="301"/>
      <c r="AM507" s="314"/>
      <c r="AN507" s="301"/>
      <c r="AO507" s="302"/>
      <c r="AP507" s="301"/>
      <c r="AQ507" s="301"/>
      <c r="AR507" s="301"/>
      <c r="AS507" s="301"/>
      <c r="AT507" s="301"/>
      <c r="AU507" s="301"/>
      <c r="AV507" s="301"/>
      <c r="AW507" s="301"/>
      <c r="AX507" s="301"/>
      <c r="AY507" s="301"/>
      <c r="AZ507" s="301"/>
      <c r="BA507" s="301"/>
      <c r="BB507" s="301"/>
      <c r="BC507" s="301"/>
      <c r="BD507" s="301"/>
      <c r="BE507" s="301"/>
      <c r="BF507" s="301"/>
      <c r="BG507" s="303"/>
      <c r="BH507" s="304"/>
    </row>
    <row r="508" spans="1:60" s="305" customFormat="1" ht="16.5" hidden="1" customHeight="1" x14ac:dyDescent="0.4">
      <c r="A508" s="285">
        <v>485</v>
      </c>
      <c r="B508" s="286"/>
      <c r="C508" s="286"/>
      <c r="D508" s="287"/>
      <c r="E508" s="287"/>
      <c r="F508" s="288" t="s">
        <v>92</v>
      </c>
      <c r="G508" s="289" t="s">
        <v>689</v>
      </c>
      <c r="H508" s="307"/>
      <c r="I508" s="290"/>
      <c r="J508" s="291" t="s">
        <v>777</v>
      </c>
      <c r="K508" s="287"/>
      <c r="L508" s="287"/>
      <c r="M508" s="287">
        <v>21154</v>
      </c>
      <c r="N508" s="287" t="s">
        <v>32</v>
      </c>
      <c r="O508" s="287" t="s">
        <v>43</v>
      </c>
      <c r="P508" s="287" t="s">
        <v>98</v>
      </c>
      <c r="Q508" s="287"/>
      <c r="R508" s="287"/>
      <c r="S508" s="292" t="s">
        <v>349</v>
      </c>
      <c r="T508" s="293"/>
      <c r="U508" s="294"/>
      <c r="V508" s="294"/>
      <c r="W508" s="295">
        <v>2000000</v>
      </c>
      <c r="X508" s="296"/>
      <c r="Y508" s="287"/>
      <c r="Z508" s="297" t="s">
        <v>656</v>
      </c>
      <c r="AA508" s="313"/>
      <c r="AB508" s="313"/>
      <c r="AC508" s="298">
        <f t="shared" si="18"/>
        <v>0</v>
      </c>
      <c r="AD508" s="298">
        <v>0</v>
      </c>
      <c r="AE508" s="298">
        <f t="shared" si="19"/>
        <v>0</v>
      </c>
      <c r="AF508" s="299"/>
      <c r="AG508" s="300"/>
      <c r="AH508" s="299"/>
      <c r="AI508" s="299"/>
      <c r="AJ508" s="300"/>
      <c r="AK508" s="299"/>
      <c r="AL508" s="301"/>
      <c r="AM508" s="314"/>
      <c r="AN508" s="301"/>
      <c r="AO508" s="302"/>
      <c r="AP508" s="301"/>
      <c r="AQ508" s="301"/>
      <c r="AR508" s="301"/>
      <c r="AS508" s="301"/>
      <c r="AT508" s="301"/>
      <c r="AU508" s="301"/>
      <c r="AV508" s="301"/>
      <c r="AW508" s="301"/>
      <c r="AX508" s="301"/>
      <c r="AY508" s="301"/>
      <c r="AZ508" s="301"/>
      <c r="BA508" s="301"/>
      <c r="BB508" s="301"/>
      <c r="BC508" s="301"/>
      <c r="BD508" s="301"/>
      <c r="BE508" s="301"/>
      <c r="BF508" s="301"/>
      <c r="BG508" s="303"/>
      <c r="BH508" s="304"/>
    </row>
    <row r="509" spans="1:60" s="305" customFormat="1" ht="16.5" hidden="1" customHeight="1" x14ac:dyDescent="0.4">
      <c r="A509" s="285">
        <v>486</v>
      </c>
      <c r="B509" s="286"/>
      <c r="C509" s="286"/>
      <c r="D509" s="287" t="s">
        <v>92</v>
      </c>
      <c r="E509" s="287" t="s">
        <v>235</v>
      </c>
      <c r="F509" s="288" t="s">
        <v>92</v>
      </c>
      <c r="G509" s="289" t="s">
        <v>689</v>
      </c>
      <c r="H509" s="307"/>
      <c r="I509" s="290"/>
      <c r="J509" s="291" t="s">
        <v>677</v>
      </c>
      <c r="K509" s="287"/>
      <c r="L509" s="287"/>
      <c r="M509" s="287">
        <v>7659</v>
      </c>
      <c r="N509" s="287" t="s">
        <v>40</v>
      </c>
      <c r="O509" s="287" t="s">
        <v>43</v>
      </c>
      <c r="P509" s="287" t="s">
        <v>44</v>
      </c>
      <c r="Q509" s="287" t="s">
        <v>30</v>
      </c>
      <c r="R509" s="287" t="s">
        <v>31</v>
      </c>
      <c r="S509" s="292" t="s">
        <v>31</v>
      </c>
      <c r="T509" s="293"/>
      <c r="U509" s="294"/>
      <c r="V509" s="294"/>
      <c r="W509" s="295">
        <v>13942500</v>
      </c>
      <c r="X509" s="296"/>
      <c r="Y509" s="287" t="s">
        <v>28</v>
      </c>
      <c r="Z509" s="297" t="s">
        <v>25</v>
      </c>
      <c r="AA509" s="313"/>
      <c r="AB509" s="313"/>
      <c r="AC509" s="298">
        <f t="shared" si="18"/>
        <v>10000000</v>
      </c>
      <c r="AD509" s="298">
        <v>10000000</v>
      </c>
      <c r="AE509" s="298">
        <f t="shared" si="19"/>
        <v>0</v>
      </c>
      <c r="AF509" s="299"/>
      <c r="AG509" s="300"/>
      <c r="AH509" s="299"/>
      <c r="AI509" s="299"/>
      <c r="AJ509" s="300"/>
      <c r="AK509" s="299"/>
      <c r="AL509" s="301"/>
      <c r="AM509" s="314"/>
      <c r="AN509" s="301"/>
      <c r="AO509" s="302"/>
      <c r="AP509" s="301"/>
      <c r="AQ509" s="301"/>
      <c r="AR509" s="301"/>
      <c r="AS509" s="301">
        <v>10000000</v>
      </c>
      <c r="AT509" s="301"/>
      <c r="AU509" s="301"/>
      <c r="AV509" s="301"/>
      <c r="AW509" s="301"/>
      <c r="AX509" s="301"/>
      <c r="AY509" s="301"/>
      <c r="AZ509" s="301"/>
      <c r="BA509" s="301"/>
      <c r="BB509" s="301"/>
      <c r="BC509" s="301"/>
      <c r="BD509" s="301"/>
      <c r="BE509" s="301"/>
      <c r="BF509" s="301"/>
      <c r="BG509" s="303"/>
      <c r="BH509" s="304"/>
    </row>
    <row r="510" spans="1:60" s="305" customFormat="1" ht="16.5" hidden="1" customHeight="1" x14ac:dyDescent="0.4">
      <c r="A510" s="285">
        <v>487</v>
      </c>
      <c r="B510" s="286"/>
      <c r="C510" s="286"/>
      <c r="D510" s="287" t="s">
        <v>92</v>
      </c>
      <c r="E510" s="287" t="s">
        <v>235</v>
      </c>
      <c r="F510" s="288" t="s">
        <v>92</v>
      </c>
      <c r="G510" s="289" t="s">
        <v>689</v>
      </c>
      <c r="H510" s="307"/>
      <c r="I510" s="290"/>
      <c r="J510" s="291" t="s">
        <v>678</v>
      </c>
      <c r="K510" s="287"/>
      <c r="L510" s="287"/>
      <c r="M510" s="287">
        <v>55846</v>
      </c>
      <c r="N510" s="287" t="s">
        <v>40</v>
      </c>
      <c r="O510" s="287" t="s">
        <v>43</v>
      </c>
      <c r="P510" s="287" t="s">
        <v>98</v>
      </c>
      <c r="Q510" s="287" t="s">
        <v>37</v>
      </c>
      <c r="R510" s="287" t="s">
        <v>38</v>
      </c>
      <c r="S510" s="292" t="s">
        <v>38</v>
      </c>
      <c r="T510" s="293"/>
      <c r="U510" s="294">
        <v>2320000</v>
      </c>
      <c r="V510" s="294">
        <v>2030000</v>
      </c>
      <c r="W510" s="295">
        <v>1334000</v>
      </c>
      <c r="X510" s="296"/>
      <c r="Y510" s="287" t="s">
        <v>28</v>
      </c>
      <c r="Z510" s="297" t="s">
        <v>544</v>
      </c>
      <c r="AA510" s="313"/>
      <c r="AB510" s="313"/>
      <c r="AC510" s="298">
        <f t="shared" si="18"/>
        <v>1334000</v>
      </c>
      <c r="AD510" s="298">
        <v>1334000</v>
      </c>
      <c r="AE510" s="298">
        <f t="shared" si="19"/>
        <v>0</v>
      </c>
      <c r="AF510" s="299"/>
      <c r="AG510" s="300"/>
      <c r="AH510" s="299"/>
      <c r="AI510" s="299"/>
      <c r="AJ510" s="300"/>
      <c r="AK510" s="299"/>
      <c r="AL510" s="301"/>
      <c r="AM510" s="314"/>
      <c r="AN510" s="301"/>
      <c r="AO510" s="302">
        <v>1334000</v>
      </c>
      <c r="AP510" s="301"/>
      <c r="AQ510" s="301"/>
      <c r="AR510" s="301"/>
      <c r="AS510" s="301"/>
      <c r="AT510" s="301"/>
      <c r="AU510" s="301"/>
      <c r="AV510" s="301"/>
      <c r="AW510" s="301"/>
      <c r="AX510" s="301"/>
      <c r="AY510" s="301"/>
      <c r="AZ510" s="301"/>
      <c r="BA510" s="301"/>
      <c r="BB510" s="301"/>
      <c r="BC510" s="301"/>
      <c r="BD510" s="301"/>
      <c r="BE510" s="301"/>
      <c r="BF510" s="301"/>
      <c r="BG510" s="303"/>
      <c r="BH510" s="304"/>
    </row>
    <row r="511" spans="1:60" s="305" customFormat="1" ht="16.5" hidden="1" customHeight="1" x14ac:dyDescent="0.4">
      <c r="A511" s="285">
        <v>488</v>
      </c>
      <c r="B511" s="286"/>
      <c r="C511" s="286"/>
      <c r="D511" s="287" t="s">
        <v>92</v>
      </c>
      <c r="E511" s="287" t="s">
        <v>235</v>
      </c>
      <c r="F511" s="288" t="s">
        <v>92</v>
      </c>
      <c r="G511" s="289" t="s">
        <v>689</v>
      </c>
      <c r="H511" s="307"/>
      <c r="I511" s="290"/>
      <c r="J511" s="291" t="s">
        <v>241</v>
      </c>
      <c r="K511" s="287"/>
      <c r="L511" s="287"/>
      <c r="M511" s="287">
        <v>22010</v>
      </c>
      <c r="N511" s="287" t="s">
        <v>32</v>
      </c>
      <c r="O511" s="287" t="s">
        <v>43</v>
      </c>
      <c r="P511" s="287" t="s">
        <v>44</v>
      </c>
      <c r="Q511" s="287" t="s">
        <v>19</v>
      </c>
      <c r="R511" s="287" t="s">
        <v>20</v>
      </c>
      <c r="S511" s="292" t="s">
        <v>20</v>
      </c>
      <c r="T511" s="293"/>
      <c r="U511" s="294">
        <v>77826404</v>
      </c>
      <c r="V511" s="294">
        <v>44698567</v>
      </c>
      <c r="W511" s="295">
        <v>80310000</v>
      </c>
      <c r="X511" s="296"/>
      <c r="Y511" s="287" t="s">
        <v>28</v>
      </c>
      <c r="Z511" s="297" t="s">
        <v>28</v>
      </c>
      <c r="AA511" s="313"/>
      <c r="AB511" s="313"/>
      <c r="AC511" s="298">
        <f t="shared" si="18"/>
        <v>46773714</v>
      </c>
      <c r="AD511" s="298">
        <v>46773714</v>
      </c>
      <c r="AE511" s="298">
        <f t="shared" si="19"/>
        <v>0</v>
      </c>
      <c r="AF511" s="299"/>
      <c r="AG511" s="300"/>
      <c r="AH511" s="299"/>
      <c r="AI511" s="299"/>
      <c r="AJ511" s="300"/>
      <c r="AK511" s="299"/>
      <c r="AL511" s="301">
        <v>23373714</v>
      </c>
      <c r="AM511" s="314">
        <v>23373714</v>
      </c>
      <c r="AN511" s="301" t="s">
        <v>836</v>
      </c>
      <c r="AO511" s="302"/>
      <c r="AP511" s="301"/>
      <c r="AQ511" s="301"/>
      <c r="AR511" s="301" t="s">
        <v>823</v>
      </c>
      <c r="AS511" s="301">
        <v>23400000</v>
      </c>
      <c r="AT511" s="301"/>
      <c r="AU511" s="301"/>
      <c r="AV511" s="301"/>
      <c r="AW511" s="301"/>
      <c r="AX511" s="301"/>
      <c r="AY511" s="301"/>
      <c r="AZ511" s="301"/>
      <c r="BA511" s="301"/>
      <c r="BB511" s="301"/>
      <c r="BC511" s="301"/>
      <c r="BD511" s="301"/>
      <c r="BE511" s="301"/>
      <c r="BF511" s="301"/>
      <c r="BG511" s="303"/>
      <c r="BH511" s="304"/>
    </row>
    <row r="512" spans="1:60" s="305" customFormat="1" ht="16.5" hidden="1" customHeight="1" x14ac:dyDescent="0.4">
      <c r="A512" s="285">
        <v>489</v>
      </c>
      <c r="B512" s="286"/>
      <c r="C512" s="286"/>
      <c r="D512" s="287" t="s">
        <v>92</v>
      </c>
      <c r="E512" s="287" t="s">
        <v>235</v>
      </c>
      <c r="F512" s="288" t="s">
        <v>92</v>
      </c>
      <c r="G512" s="289" t="s">
        <v>689</v>
      </c>
      <c r="H512" s="307"/>
      <c r="I512" s="290"/>
      <c r="J512" s="291" t="s">
        <v>241</v>
      </c>
      <c r="K512" s="287"/>
      <c r="L512" s="287"/>
      <c r="M512" s="287">
        <v>22010</v>
      </c>
      <c r="N512" s="287" t="s">
        <v>32</v>
      </c>
      <c r="O512" s="287" t="s">
        <v>43</v>
      </c>
      <c r="P512" s="287" t="s">
        <v>44</v>
      </c>
      <c r="Q512" s="287"/>
      <c r="R512" s="287"/>
      <c r="S512" s="292" t="s">
        <v>20</v>
      </c>
      <c r="T512" s="293"/>
      <c r="U512" s="294"/>
      <c r="V512" s="294"/>
      <c r="W512" s="295">
        <v>0</v>
      </c>
      <c r="X512" s="296"/>
      <c r="Y512" s="287"/>
      <c r="Z512" s="297" t="s">
        <v>25</v>
      </c>
      <c r="AA512" s="313"/>
      <c r="AB512" s="313"/>
      <c r="AC512" s="298">
        <f t="shared" si="18"/>
        <v>50000000</v>
      </c>
      <c r="AD512" s="298">
        <v>50000000</v>
      </c>
      <c r="AE512" s="298">
        <f t="shared" si="19"/>
        <v>0</v>
      </c>
      <c r="AF512" s="299"/>
      <c r="AG512" s="300"/>
      <c r="AH512" s="299"/>
      <c r="AI512" s="299"/>
      <c r="AJ512" s="300"/>
      <c r="AK512" s="299"/>
      <c r="AL512" s="301"/>
      <c r="AM512" s="314"/>
      <c r="AN512" s="301"/>
      <c r="AO512" s="302"/>
      <c r="AP512" s="301"/>
      <c r="AQ512" s="301"/>
      <c r="AR512" s="301"/>
      <c r="AS512" s="301"/>
      <c r="AT512" s="301"/>
      <c r="AU512" s="301"/>
      <c r="AV512" s="301"/>
      <c r="AW512" s="301"/>
      <c r="AX512" s="301"/>
      <c r="AY512" s="301">
        <v>25000000</v>
      </c>
      <c r="AZ512" s="301"/>
      <c r="BA512" s="301"/>
      <c r="BB512" s="301"/>
      <c r="BC512" s="301"/>
      <c r="BD512" s="301"/>
      <c r="BE512" s="301">
        <v>25000000</v>
      </c>
      <c r="BF512" s="301"/>
      <c r="BG512" s="303"/>
      <c r="BH512" s="304"/>
    </row>
    <row r="513" spans="1:60" s="305" customFormat="1" ht="16.5" hidden="1" customHeight="1" x14ac:dyDescent="0.4">
      <c r="A513" s="285">
        <v>490</v>
      </c>
      <c r="B513" s="286"/>
      <c r="C513" s="286"/>
      <c r="D513" s="287" t="s">
        <v>92</v>
      </c>
      <c r="E513" s="287" t="s">
        <v>235</v>
      </c>
      <c r="F513" s="288" t="s">
        <v>92</v>
      </c>
      <c r="G513" s="289" t="s">
        <v>689</v>
      </c>
      <c r="H513" s="307"/>
      <c r="I513" s="290"/>
      <c r="J513" s="291" t="s">
        <v>241</v>
      </c>
      <c r="K513" s="287"/>
      <c r="L513" s="287"/>
      <c r="M513" s="287">
        <v>22010</v>
      </c>
      <c r="N513" s="287" t="s">
        <v>32</v>
      </c>
      <c r="O513" s="287" t="s">
        <v>43</v>
      </c>
      <c r="P513" s="287" t="s">
        <v>44</v>
      </c>
      <c r="Q513" s="287" t="s">
        <v>27</v>
      </c>
      <c r="R513" s="287" t="s">
        <v>340</v>
      </c>
      <c r="S513" s="292" t="s">
        <v>340</v>
      </c>
      <c r="T513" s="293"/>
      <c r="U513" s="294"/>
      <c r="V513" s="294">
        <v>39732000</v>
      </c>
      <c r="W513" s="295">
        <v>66114650</v>
      </c>
      <c r="X513" s="296"/>
      <c r="Y513" s="287" t="s">
        <v>28</v>
      </c>
      <c r="Z513" s="297" t="s">
        <v>28</v>
      </c>
      <c r="AA513" s="313"/>
      <c r="AB513" s="313"/>
      <c r="AC513" s="298">
        <f t="shared" si="18"/>
        <v>36000000</v>
      </c>
      <c r="AD513" s="298">
        <v>36000000</v>
      </c>
      <c r="AE513" s="298">
        <f t="shared" si="19"/>
        <v>0</v>
      </c>
      <c r="AF513" s="299"/>
      <c r="AG513" s="300"/>
      <c r="AH513" s="299"/>
      <c r="AI513" s="299"/>
      <c r="AJ513" s="300"/>
      <c r="AK513" s="299"/>
      <c r="AL513" s="301"/>
      <c r="AM513" s="314"/>
      <c r="AN513" s="301"/>
      <c r="AO513" s="302"/>
      <c r="AP513" s="301"/>
      <c r="AQ513" s="301">
        <v>18000000</v>
      </c>
      <c r="AR513" s="301" t="s">
        <v>823</v>
      </c>
      <c r="AS513" s="301">
        <v>18000000</v>
      </c>
      <c r="AT513" s="301"/>
      <c r="AU513" s="301"/>
      <c r="AV513" s="301"/>
      <c r="AW513" s="301"/>
      <c r="AX513" s="301"/>
      <c r="AY513" s="301"/>
      <c r="AZ513" s="301"/>
      <c r="BA513" s="301"/>
      <c r="BB513" s="301"/>
      <c r="BC513" s="301"/>
      <c r="BD513" s="301"/>
      <c r="BE513" s="301"/>
      <c r="BF513" s="301"/>
      <c r="BG513" s="303"/>
      <c r="BH513" s="304"/>
    </row>
    <row r="514" spans="1:60" s="305" customFormat="1" ht="16.5" hidden="1" customHeight="1" x14ac:dyDescent="0.4">
      <c r="A514" s="285">
        <v>491</v>
      </c>
      <c r="B514" s="286"/>
      <c r="C514" s="286"/>
      <c r="D514" s="287" t="s">
        <v>92</v>
      </c>
      <c r="E514" s="287" t="s">
        <v>235</v>
      </c>
      <c r="F514" s="288" t="s">
        <v>92</v>
      </c>
      <c r="G514" s="289" t="s">
        <v>689</v>
      </c>
      <c r="H514" s="307"/>
      <c r="I514" s="290"/>
      <c r="J514" s="291" t="s">
        <v>241</v>
      </c>
      <c r="K514" s="287"/>
      <c r="L514" s="287"/>
      <c r="M514" s="287">
        <v>22010</v>
      </c>
      <c r="N514" s="287" t="s">
        <v>32</v>
      </c>
      <c r="O514" s="287" t="s">
        <v>43</v>
      </c>
      <c r="P514" s="287" t="s">
        <v>44</v>
      </c>
      <c r="Q514" s="287"/>
      <c r="R514" s="287"/>
      <c r="S514" s="292" t="s">
        <v>340</v>
      </c>
      <c r="T514" s="293"/>
      <c r="U514" s="294"/>
      <c r="V514" s="294"/>
      <c r="W514" s="295">
        <v>0</v>
      </c>
      <c r="X514" s="296"/>
      <c r="Y514" s="287"/>
      <c r="Z514" s="297" t="s">
        <v>25</v>
      </c>
      <c r="AA514" s="313"/>
      <c r="AB514" s="313"/>
      <c r="AC514" s="298">
        <f t="shared" si="18"/>
        <v>40000000</v>
      </c>
      <c r="AD514" s="298">
        <v>40000000</v>
      </c>
      <c r="AE514" s="298">
        <f t="shared" si="19"/>
        <v>0</v>
      </c>
      <c r="AF514" s="299"/>
      <c r="AG514" s="300"/>
      <c r="AH514" s="299"/>
      <c r="AI514" s="299"/>
      <c r="AJ514" s="300"/>
      <c r="AK514" s="299"/>
      <c r="AL514" s="301"/>
      <c r="AM514" s="314"/>
      <c r="AN514" s="301"/>
      <c r="AO514" s="302"/>
      <c r="AP514" s="301"/>
      <c r="AQ514" s="301"/>
      <c r="AR514" s="301"/>
      <c r="AS514" s="301"/>
      <c r="AT514" s="301"/>
      <c r="AU514" s="301"/>
      <c r="AV514" s="301"/>
      <c r="AW514" s="301"/>
      <c r="AX514" s="301"/>
      <c r="AY514" s="301">
        <v>20000000</v>
      </c>
      <c r="AZ514" s="301"/>
      <c r="BA514" s="301"/>
      <c r="BB514" s="301"/>
      <c r="BC514" s="301"/>
      <c r="BD514" s="301"/>
      <c r="BE514" s="301">
        <v>20000000</v>
      </c>
      <c r="BF514" s="301"/>
      <c r="BG514" s="303"/>
      <c r="BH514" s="304"/>
    </row>
    <row r="515" spans="1:60" s="305" customFormat="1" ht="16.5" hidden="1" customHeight="1" x14ac:dyDescent="0.4">
      <c r="A515" s="285">
        <v>492</v>
      </c>
      <c r="B515" s="286"/>
      <c r="C515" s="286"/>
      <c r="D515" s="287" t="s">
        <v>92</v>
      </c>
      <c r="E515" s="287" t="s">
        <v>102</v>
      </c>
      <c r="F515" s="288" t="s">
        <v>92</v>
      </c>
      <c r="G515" s="289" t="s">
        <v>689</v>
      </c>
      <c r="H515" s="307"/>
      <c r="I515" s="290"/>
      <c r="J515" s="291" t="s">
        <v>173</v>
      </c>
      <c r="K515" s="287"/>
      <c r="L515" s="287"/>
      <c r="M515" s="287">
        <v>42777</v>
      </c>
      <c r="N515" s="287" t="s">
        <v>23</v>
      </c>
      <c r="O515" s="287" t="s">
        <v>33</v>
      </c>
      <c r="P515" s="287" t="s">
        <v>44</v>
      </c>
      <c r="Q515" s="287" t="s">
        <v>19</v>
      </c>
      <c r="R515" s="287" t="s">
        <v>20</v>
      </c>
      <c r="S515" s="292" t="s">
        <v>20</v>
      </c>
      <c r="T515" s="293"/>
      <c r="U515" s="294" t="s">
        <v>97</v>
      </c>
      <c r="V515" s="294">
        <v>0</v>
      </c>
      <c r="W515" s="295"/>
      <c r="X515" s="296"/>
      <c r="Y515" s="287" t="s">
        <v>25</v>
      </c>
      <c r="Z515" s="297" t="s">
        <v>26</v>
      </c>
      <c r="AA515" s="313"/>
      <c r="AB515" s="313"/>
      <c r="AC515" s="298">
        <f t="shared" si="18"/>
        <v>3000000</v>
      </c>
      <c r="AD515" s="298">
        <v>3000000</v>
      </c>
      <c r="AE515" s="298">
        <f t="shared" si="19"/>
        <v>0</v>
      </c>
      <c r="AF515" s="299"/>
      <c r="AG515" s="300"/>
      <c r="AH515" s="299"/>
      <c r="AI515" s="299"/>
      <c r="AJ515" s="300"/>
      <c r="AK515" s="299"/>
      <c r="AL515" s="301"/>
      <c r="AM515" s="314"/>
      <c r="AN515" s="301"/>
      <c r="AO515" s="302"/>
      <c r="AP515" s="301"/>
      <c r="AQ515" s="301"/>
      <c r="AR515" s="301"/>
      <c r="AS515" s="301"/>
      <c r="AT515" s="301"/>
      <c r="AU515" s="301"/>
      <c r="AV515" s="301"/>
      <c r="AW515" s="301"/>
      <c r="AX515" s="301"/>
      <c r="AY515" s="301"/>
      <c r="AZ515" s="301"/>
      <c r="BA515" s="301"/>
      <c r="BB515" s="301"/>
      <c r="BC515" s="301"/>
      <c r="BD515" s="301"/>
      <c r="BE515" s="301">
        <v>3000000</v>
      </c>
      <c r="BF515" s="301"/>
      <c r="BG515" s="303"/>
      <c r="BH515" s="304"/>
    </row>
    <row r="516" spans="1:60" s="305" customFormat="1" ht="16.5" hidden="1" customHeight="1" x14ac:dyDescent="0.4">
      <c r="A516" s="285">
        <v>493</v>
      </c>
      <c r="B516" s="286"/>
      <c r="C516" s="286"/>
      <c r="D516" s="287" t="s">
        <v>92</v>
      </c>
      <c r="E516" s="287" t="s">
        <v>102</v>
      </c>
      <c r="F516" s="288" t="s">
        <v>92</v>
      </c>
      <c r="G516" s="289" t="s">
        <v>689</v>
      </c>
      <c r="H516" s="307"/>
      <c r="I516" s="290"/>
      <c r="J516" s="291" t="s">
        <v>173</v>
      </c>
      <c r="K516" s="287"/>
      <c r="L516" s="287"/>
      <c r="M516" s="287">
        <v>42777</v>
      </c>
      <c r="N516" s="287" t="s">
        <v>23</v>
      </c>
      <c r="O516" s="287" t="s">
        <v>33</v>
      </c>
      <c r="P516" s="287" t="s">
        <v>44</v>
      </c>
      <c r="Q516" s="287" t="s">
        <v>30</v>
      </c>
      <c r="R516" s="287" t="s">
        <v>31</v>
      </c>
      <c r="S516" s="292" t="s">
        <v>31</v>
      </c>
      <c r="T516" s="293"/>
      <c r="U516" s="294">
        <v>11547000</v>
      </c>
      <c r="V516" s="294">
        <v>0</v>
      </c>
      <c r="W516" s="295"/>
      <c r="X516" s="296"/>
      <c r="Y516" s="287" t="s">
        <v>25</v>
      </c>
      <c r="Z516" s="297" t="s">
        <v>26</v>
      </c>
      <c r="AA516" s="313"/>
      <c r="AB516" s="313"/>
      <c r="AC516" s="298">
        <f t="shared" si="18"/>
        <v>5000000</v>
      </c>
      <c r="AD516" s="298">
        <v>5000000</v>
      </c>
      <c r="AE516" s="298">
        <f t="shared" si="19"/>
        <v>0</v>
      </c>
      <c r="AF516" s="299"/>
      <c r="AG516" s="300"/>
      <c r="AH516" s="299"/>
      <c r="AI516" s="299"/>
      <c r="AJ516" s="300"/>
      <c r="AK516" s="299"/>
      <c r="AL516" s="301"/>
      <c r="AM516" s="314"/>
      <c r="AN516" s="301"/>
      <c r="AO516" s="302"/>
      <c r="AP516" s="301"/>
      <c r="AQ516" s="301"/>
      <c r="AR516" s="301"/>
      <c r="AS516" s="301"/>
      <c r="AT516" s="301"/>
      <c r="AU516" s="301"/>
      <c r="AV516" s="301"/>
      <c r="AW516" s="301"/>
      <c r="AX516" s="301"/>
      <c r="AY516" s="301"/>
      <c r="AZ516" s="301"/>
      <c r="BA516" s="301"/>
      <c r="BB516" s="301"/>
      <c r="BC516" s="301">
        <v>5000000</v>
      </c>
      <c r="BD516" s="301"/>
      <c r="BE516" s="301"/>
      <c r="BF516" s="301"/>
      <c r="BG516" s="303"/>
      <c r="BH516" s="304"/>
    </row>
    <row r="517" spans="1:60" s="305" customFormat="1" ht="16.5" hidden="1" customHeight="1" x14ac:dyDescent="0.4">
      <c r="A517" s="285">
        <v>494</v>
      </c>
      <c r="B517" s="286"/>
      <c r="C517" s="286"/>
      <c r="D517" s="287" t="s">
        <v>92</v>
      </c>
      <c r="E517" s="287" t="s">
        <v>102</v>
      </c>
      <c r="F517" s="288" t="s">
        <v>92</v>
      </c>
      <c r="G517" s="289" t="s">
        <v>689</v>
      </c>
      <c r="H517" s="307"/>
      <c r="I517" s="290"/>
      <c r="J517" s="291" t="s">
        <v>173</v>
      </c>
      <c r="K517" s="287"/>
      <c r="L517" s="287"/>
      <c r="M517" s="287">
        <v>42777</v>
      </c>
      <c r="N517" s="287" t="s">
        <v>23</v>
      </c>
      <c r="O517" s="287" t="s">
        <v>33</v>
      </c>
      <c r="P517" s="287" t="s">
        <v>44</v>
      </c>
      <c r="Q517" s="287" t="s">
        <v>37</v>
      </c>
      <c r="R517" s="287" t="s">
        <v>38</v>
      </c>
      <c r="S517" s="292" t="s">
        <v>38</v>
      </c>
      <c r="T517" s="293"/>
      <c r="U517" s="294">
        <v>11250000</v>
      </c>
      <c r="V517" s="294">
        <v>0</v>
      </c>
      <c r="W517" s="295"/>
      <c r="X517" s="296"/>
      <c r="Y517" s="287" t="s">
        <v>25</v>
      </c>
      <c r="Z517" s="297" t="s">
        <v>26</v>
      </c>
      <c r="AA517" s="313"/>
      <c r="AB517" s="313"/>
      <c r="AC517" s="298">
        <f t="shared" si="18"/>
        <v>10000000</v>
      </c>
      <c r="AD517" s="298">
        <v>10000000</v>
      </c>
      <c r="AE517" s="298">
        <f t="shared" si="19"/>
        <v>0</v>
      </c>
      <c r="AF517" s="299"/>
      <c r="AG517" s="300"/>
      <c r="AH517" s="299"/>
      <c r="AI517" s="299"/>
      <c r="AJ517" s="300"/>
      <c r="AK517" s="299"/>
      <c r="AL517" s="301"/>
      <c r="AM517" s="314"/>
      <c r="AN517" s="301"/>
      <c r="AO517" s="302"/>
      <c r="AP517" s="301"/>
      <c r="AQ517" s="316">
        <v>10000000</v>
      </c>
      <c r="AR517" s="301"/>
      <c r="AS517" s="301"/>
      <c r="AT517" s="301"/>
      <c r="AU517" s="301"/>
      <c r="AV517" s="301"/>
      <c r="AW517" s="301"/>
      <c r="AX517" s="301"/>
      <c r="AY517" s="301"/>
      <c r="AZ517" s="301"/>
      <c r="BA517" s="301"/>
      <c r="BB517" s="301"/>
      <c r="BC517" s="301"/>
      <c r="BD517" s="301"/>
      <c r="BE517" s="301"/>
      <c r="BF517" s="301"/>
      <c r="BG517" s="303"/>
      <c r="BH517" s="304"/>
    </row>
    <row r="518" spans="1:60" s="305" customFormat="1" ht="16.5" hidden="1" customHeight="1" x14ac:dyDescent="0.4">
      <c r="A518" s="285">
        <v>495</v>
      </c>
      <c r="B518" s="286"/>
      <c r="C518" s="286"/>
      <c r="D518" s="287" t="s">
        <v>92</v>
      </c>
      <c r="E518" s="287" t="s">
        <v>102</v>
      </c>
      <c r="F518" s="288" t="s">
        <v>92</v>
      </c>
      <c r="G518" s="289" t="s">
        <v>689</v>
      </c>
      <c r="H518" s="307"/>
      <c r="I518" s="290"/>
      <c r="J518" s="291" t="s">
        <v>53</v>
      </c>
      <c r="K518" s="287"/>
      <c r="L518" s="287"/>
      <c r="M518" s="287">
        <v>3778</v>
      </c>
      <c r="N518" s="287" t="s">
        <v>23</v>
      </c>
      <c r="O518" s="287" t="s">
        <v>33</v>
      </c>
      <c r="P518" s="287" t="s">
        <v>93</v>
      </c>
      <c r="Q518" s="287" t="s">
        <v>19</v>
      </c>
      <c r="R518" s="287" t="s">
        <v>20</v>
      </c>
      <c r="S518" s="292" t="s">
        <v>20</v>
      </c>
      <c r="T518" s="293"/>
      <c r="U518" s="294">
        <v>1855000</v>
      </c>
      <c r="V518" s="294">
        <v>0</v>
      </c>
      <c r="W518" s="295"/>
      <c r="X518" s="296"/>
      <c r="Y518" s="287" t="s">
        <v>21</v>
      </c>
      <c r="Z518" s="297" t="s">
        <v>26</v>
      </c>
      <c r="AA518" s="313"/>
      <c r="AB518" s="313"/>
      <c r="AC518" s="298">
        <f t="shared" si="18"/>
        <v>2000000</v>
      </c>
      <c r="AD518" s="298">
        <v>2000000</v>
      </c>
      <c r="AE518" s="298">
        <f t="shared" si="19"/>
        <v>0</v>
      </c>
      <c r="AF518" s="299"/>
      <c r="AG518" s="300"/>
      <c r="AH518" s="299"/>
      <c r="AI518" s="299"/>
      <c r="AJ518" s="300"/>
      <c r="AK518" s="299"/>
      <c r="AL518" s="301"/>
      <c r="AM518" s="314"/>
      <c r="AN518" s="301"/>
      <c r="AO518" s="302"/>
      <c r="AP518" s="301"/>
      <c r="AQ518" s="301">
        <v>2000000</v>
      </c>
      <c r="AR518" s="301"/>
      <c r="AS518" s="301"/>
      <c r="AT518" s="301"/>
      <c r="AU518" s="301"/>
      <c r="AV518" s="301"/>
      <c r="AW518" s="301"/>
      <c r="AX518" s="301"/>
      <c r="AY518" s="301"/>
      <c r="AZ518" s="301"/>
      <c r="BA518" s="301"/>
      <c r="BB518" s="301"/>
      <c r="BC518" s="301"/>
      <c r="BD518" s="301"/>
      <c r="BE518" s="301"/>
      <c r="BF518" s="301"/>
      <c r="BG518" s="303"/>
      <c r="BH518" s="304"/>
    </row>
    <row r="519" spans="1:60" s="305" customFormat="1" ht="16.5" hidden="1" customHeight="1" x14ac:dyDescent="0.4">
      <c r="A519" s="285">
        <v>496</v>
      </c>
      <c r="B519" s="286"/>
      <c r="C519" s="286"/>
      <c r="D519" s="287" t="s">
        <v>92</v>
      </c>
      <c r="E519" s="287" t="s">
        <v>102</v>
      </c>
      <c r="F519" s="288" t="s">
        <v>92</v>
      </c>
      <c r="G519" s="289" t="s">
        <v>689</v>
      </c>
      <c r="H519" s="307"/>
      <c r="I519" s="290"/>
      <c r="J519" s="291" t="s">
        <v>53</v>
      </c>
      <c r="K519" s="287"/>
      <c r="L519" s="287"/>
      <c r="M519" s="287">
        <v>3778</v>
      </c>
      <c r="N519" s="287" t="s">
        <v>23</v>
      </c>
      <c r="O519" s="287" t="s">
        <v>43</v>
      </c>
      <c r="P519" s="287" t="s">
        <v>44</v>
      </c>
      <c r="Q519" s="287" t="s">
        <v>41</v>
      </c>
      <c r="R519" s="287" t="s">
        <v>339</v>
      </c>
      <c r="S519" s="292" t="s">
        <v>746</v>
      </c>
      <c r="T519" s="293"/>
      <c r="U519" s="294">
        <v>17693000</v>
      </c>
      <c r="V519" s="294">
        <v>17259000</v>
      </c>
      <c r="W519" s="295">
        <v>12500000</v>
      </c>
      <c r="X519" s="296"/>
      <c r="Y519" s="287" t="s">
        <v>28</v>
      </c>
      <c r="Z519" s="297" t="s">
        <v>28</v>
      </c>
      <c r="AA519" s="313"/>
      <c r="AB519" s="313"/>
      <c r="AC519" s="298">
        <f t="shared" si="18"/>
        <v>35000000</v>
      </c>
      <c r="AD519" s="298">
        <v>35000000</v>
      </c>
      <c r="AE519" s="298">
        <f t="shared" si="19"/>
        <v>0</v>
      </c>
      <c r="AF519" s="299"/>
      <c r="AG519" s="300"/>
      <c r="AH519" s="299"/>
      <c r="AI519" s="299"/>
      <c r="AJ519" s="300"/>
      <c r="AK519" s="299"/>
      <c r="AL519" s="301">
        <v>12500000</v>
      </c>
      <c r="AM519" s="314">
        <v>12500000</v>
      </c>
      <c r="AN519" s="301"/>
      <c r="AO519" s="302">
        <v>12500000</v>
      </c>
      <c r="AP519" s="301"/>
      <c r="AQ519" s="301"/>
      <c r="AR519" s="301"/>
      <c r="AS519" s="301"/>
      <c r="AT519" s="301"/>
      <c r="AU519" s="301"/>
      <c r="AV519" s="301"/>
      <c r="AW519" s="301"/>
      <c r="AX519" s="301"/>
      <c r="AY519" s="301"/>
      <c r="AZ519" s="301"/>
      <c r="BA519" s="301"/>
      <c r="BB519" s="301"/>
      <c r="BC519" s="301"/>
      <c r="BD519" s="301"/>
      <c r="BE519" s="301">
        <v>10000000</v>
      </c>
      <c r="BF519" s="301"/>
      <c r="BG519" s="303"/>
      <c r="BH519" s="304"/>
    </row>
    <row r="520" spans="1:60" s="305" customFormat="1" ht="16.5" hidden="1" customHeight="1" x14ac:dyDescent="0.4">
      <c r="A520" s="285">
        <v>497</v>
      </c>
      <c r="B520" s="286"/>
      <c r="C520" s="286"/>
      <c r="D520" s="287" t="s">
        <v>92</v>
      </c>
      <c r="E520" s="287" t="s">
        <v>102</v>
      </c>
      <c r="F520" s="288" t="s">
        <v>92</v>
      </c>
      <c r="G520" s="289" t="s">
        <v>689</v>
      </c>
      <c r="H520" s="307"/>
      <c r="I520" s="290"/>
      <c r="J520" s="291" t="s">
        <v>324</v>
      </c>
      <c r="K520" s="287"/>
      <c r="L520" s="287"/>
      <c r="M520" s="287">
        <v>52358</v>
      </c>
      <c r="N520" s="287" t="s">
        <v>23</v>
      </c>
      <c r="O520" s="287" t="s">
        <v>33</v>
      </c>
      <c r="P520" s="287"/>
      <c r="Q520" s="287" t="s">
        <v>30</v>
      </c>
      <c r="R520" s="287" t="s">
        <v>31</v>
      </c>
      <c r="S520" s="292" t="s">
        <v>31</v>
      </c>
      <c r="T520" s="293"/>
      <c r="U520" s="294">
        <v>5562000</v>
      </c>
      <c r="V520" s="294">
        <v>8087000</v>
      </c>
      <c r="W520" s="295">
        <v>798000</v>
      </c>
      <c r="X520" s="296"/>
      <c r="Y520" s="287" t="s">
        <v>56</v>
      </c>
      <c r="Z520" s="297" t="s">
        <v>544</v>
      </c>
      <c r="AA520" s="313"/>
      <c r="AB520" s="313"/>
      <c r="AC520" s="298">
        <f t="shared" si="18"/>
        <v>0</v>
      </c>
      <c r="AD520" s="298">
        <v>0</v>
      </c>
      <c r="AE520" s="298">
        <f t="shared" si="19"/>
        <v>0</v>
      </c>
      <c r="AF520" s="299"/>
      <c r="AG520" s="300"/>
      <c r="AH520" s="299"/>
      <c r="AI520" s="299"/>
      <c r="AJ520" s="300"/>
      <c r="AK520" s="299"/>
      <c r="AL520" s="301"/>
      <c r="AM520" s="314"/>
      <c r="AN520" s="301"/>
      <c r="AO520" s="302"/>
      <c r="AP520" s="301"/>
      <c r="AQ520" s="301"/>
      <c r="AR520" s="301"/>
      <c r="AS520" s="301"/>
      <c r="AT520" s="301"/>
      <c r="AU520" s="301"/>
      <c r="AV520" s="301"/>
      <c r="AW520" s="301"/>
      <c r="AX520" s="301"/>
      <c r="AY520" s="301"/>
      <c r="AZ520" s="301"/>
      <c r="BA520" s="301"/>
      <c r="BB520" s="301"/>
      <c r="BC520" s="301"/>
      <c r="BD520" s="301"/>
      <c r="BE520" s="301"/>
      <c r="BF520" s="301"/>
      <c r="BG520" s="303"/>
      <c r="BH520" s="304"/>
    </row>
    <row r="521" spans="1:60" s="305" customFormat="1" ht="16.5" hidden="1" customHeight="1" x14ac:dyDescent="0.4">
      <c r="A521" s="285">
        <v>498</v>
      </c>
      <c r="B521" s="286"/>
      <c r="C521" s="286"/>
      <c r="D521" s="287" t="s">
        <v>92</v>
      </c>
      <c r="E521" s="287" t="s">
        <v>184</v>
      </c>
      <c r="F521" s="288" t="s">
        <v>92</v>
      </c>
      <c r="G521" s="289" t="s">
        <v>689</v>
      </c>
      <c r="H521" s="307"/>
      <c r="I521" s="290"/>
      <c r="J521" s="291" t="s">
        <v>472</v>
      </c>
      <c r="K521" s="287"/>
      <c r="L521" s="287"/>
      <c r="M521" s="287">
        <v>17262</v>
      </c>
      <c r="N521" s="287" t="s">
        <v>23</v>
      </c>
      <c r="O521" s="287" t="s">
        <v>43</v>
      </c>
      <c r="P521" s="287" t="s">
        <v>44</v>
      </c>
      <c r="Q521" s="287" t="s">
        <v>49</v>
      </c>
      <c r="R521" s="287" t="s">
        <v>29</v>
      </c>
      <c r="S521" s="292" t="s">
        <v>29</v>
      </c>
      <c r="T521" s="293"/>
      <c r="U521" s="294"/>
      <c r="V521" s="294">
        <v>7559870</v>
      </c>
      <c r="W521" s="295">
        <v>39620670</v>
      </c>
      <c r="X521" s="296"/>
      <c r="Y521" s="287" t="s">
        <v>28</v>
      </c>
      <c r="Z521" s="297" t="s">
        <v>28</v>
      </c>
      <c r="AA521" s="313"/>
      <c r="AB521" s="313"/>
      <c r="AC521" s="298">
        <f t="shared" si="18"/>
        <v>28382650</v>
      </c>
      <c r="AD521" s="298">
        <v>28382650</v>
      </c>
      <c r="AE521" s="298">
        <f t="shared" si="19"/>
        <v>0</v>
      </c>
      <c r="AF521" s="299">
        <v>911250</v>
      </c>
      <c r="AG521" s="300">
        <v>911250</v>
      </c>
      <c r="AH521" s="299"/>
      <c r="AI521" s="299">
        <v>1084950</v>
      </c>
      <c r="AJ521" s="300">
        <v>1084950</v>
      </c>
      <c r="AK521" s="299"/>
      <c r="AL521" s="301">
        <v>1260550</v>
      </c>
      <c r="AM521" s="314">
        <v>1260550</v>
      </c>
      <c r="AN521" s="301"/>
      <c r="AO521" s="302">
        <v>1125900</v>
      </c>
      <c r="AP521" s="301"/>
      <c r="AQ521" s="301">
        <v>2000000</v>
      </c>
      <c r="AR521" s="301"/>
      <c r="AS521" s="301">
        <v>2000000</v>
      </c>
      <c r="AT521" s="301"/>
      <c r="AU521" s="301">
        <v>2000000</v>
      </c>
      <c r="AV521" s="301"/>
      <c r="AW521" s="301">
        <v>2000000</v>
      </c>
      <c r="AX521" s="301"/>
      <c r="AY521" s="301">
        <v>2000000</v>
      </c>
      <c r="AZ521" s="301"/>
      <c r="BA521" s="301">
        <v>10000000</v>
      </c>
      <c r="BB521" s="301" t="s">
        <v>765</v>
      </c>
      <c r="BC521" s="301">
        <v>2000000</v>
      </c>
      <c r="BD521" s="301"/>
      <c r="BE521" s="301">
        <v>2000000</v>
      </c>
      <c r="BF521" s="301"/>
      <c r="BG521" s="303"/>
      <c r="BH521" s="304"/>
    </row>
    <row r="522" spans="1:60" s="305" customFormat="1" ht="16.5" hidden="1" customHeight="1" x14ac:dyDescent="0.4">
      <c r="A522" s="285">
        <v>499</v>
      </c>
      <c r="B522" s="286"/>
      <c r="C522" s="286"/>
      <c r="D522" s="287" t="s">
        <v>92</v>
      </c>
      <c r="E522" s="287" t="s">
        <v>235</v>
      </c>
      <c r="F522" s="288" t="s">
        <v>92</v>
      </c>
      <c r="G522" s="289" t="s">
        <v>689</v>
      </c>
      <c r="H522" s="307"/>
      <c r="I522" s="290"/>
      <c r="J522" s="291" t="s">
        <v>80</v>
      </c>
      <c r="K522" s="287"/>
      <c r="L522" s="287"/>
      <c r="M522" s="287">
        <v>58944</v>
      </c>
      <c r="N522" s="287" t="s">
        <v>23</v>
      </c>
      <c r="O522" s="287" t="s">
        <v>33</v>
      </c>
      <c r="P522" s="287" t="s">
        <v>98</v>
      </c>
      <c r="Q522" s="287" t="s">
        <v>19</v>
      </c>
      <c r="R522" s="287" t="s">
        <v>20</v>
      </c>
      <c r="S522" s="292" t="s">
        <v>20</v>
      </c>
      <c r="T522" s="293"/>
      <c r="U522" s="294">
        <v>25000</v>
      </c>
      <c r="V522" s="294">
        <v>0</v>
      </c>
      <c r="W522" s="295"/>
      <c r="X522" s="296"/>
      <c r="Y522" s="287" t="s">
        <v>22</v>
      </c>
      <c r="Z522" s="297" t="s">
        <v>618</v>
      </c>
      <c r="AA522" s="313"/>
      <c r="AB522" s="313"/>
      <c r="AC522" s="298">
        <f t="shared" si="18"/>
        <v>0</v>
      </c>
      <c r="AD522" s="298">
        <v>0</v>
      </c>
      <c r="AE522" s="298">
        <f t="shared" si="19"/>
        <v>0</v>
      </c>
      <c r="AF522" s="299"/>
      <c r="AG522" s="300"/>
      <c r="AH522" s="299"/>
      <c r="AI522" s="299"/>
      <c r="AJ522" s="300"/>
      <c r="AK522" s="299"/>
      <c r="AL522" s="301"/>
      <c r="AM522" s="314"/>
      <c r="AN522" s="301"/>
      <c r="AO522" s="302"/>
      <c r="AP522" s="301"/>
      <c r="AQ522" s="301"/>
      <c r="AR522" s="301"/>
      <c r="AS522" s="301"/>
      <c r="AT522" s="301"/>
      <c r="AU522" s="301"/>
      <c r="AV522" s="301"/>
      <c r="AW522" s="301"/>
      <c r="AX522" s="301"/>
      <c r="AY522" s="301"/>
      <c r="AZ522" s="301"/>
      <c r="BA522" s="301"/>
      <c r="BB522" s="301"/>
      <c r="BC522" s="301"/>
      <c r="BD522" s="301"/>
      <c r="BE522" s="301"/>
      <c r="BF522" s="301"/>
      <c r="BG522" s="303"/>
      <c r="BH522" s="304"/>
    </row>
    <row r="523" spans="1:60" s="305" customFormat="1" ht="16.5" hidden="1" customHeight="1" x14ac:dyDescent="0.4">
      <c r="A523" s="285">
        <v>500</v>
      </c>
      <c r="B523" s="286"/>
      <c r="C523" s="286"/>
      <c r="D523" s="287" t="s">
        <v>92</v>
      </c>
      <c r="E523" s="287" t="s">
        <v>235</v>
      </c>
      <c r="F523" s="288" t="s">
        <v>92</v>
      </c>
      <c r="G523" s="289" t="s">
        <v>689</v>
      </c>
      <c r="H523" s="307"/>
      <c r="I523" s="290"/>
      <c r="J523" s="291" t="s">
        <v>81</v>
      </c>
      <c r="K523" s="287"/>
      <c r="L523" s="287"/>
      <c r="M523" s="287">
        <v>10276</v>
      </c>
      <c r="N523" s="287" t="s">
        <v>23</v>
      </c>
      <c r="O523" s="287" t="s">
        <v>33</v>
      </c>
      <c r="P523" s="287" t="s">
        <v>98</v>
      </c>
      <c r="Q523" s="287" t="s">
        <v>19</v>
      </c>
      <c r="R523" s="287" t="s">
        <v>20</v>
      </c>
      <c r="S523" s="292" t="s">
        <v>20</v>
      </c>
      <c r="T523" s="293"/>
      <c r="U523" s="294">
        <v>1400000</v>
      </c>
      <c r="V523" s="294">
        <v>0</v>
      </c>
      <c r="W523" s="295"/>
      <c r="X523" s="296"/>
      <c r="Y523" s="287" t="s">
        <v>22</v>
      </c>
      <c r="Z523" s="297" t="s">
        <v>618</v>
      </c>
      <c r="AA523" s="313"/>
      <c r="AB523" s="313"/>
      <c r="AC523" s="298">
        <f t="shared" si="18"/>
        <v>0</v>
      </c>
      <c r="AD523" s="298">
        <v>0</v>
      </c>
      <c r="AE523" s="298">
        <f t="shared" si="19"/>
        <v>0</v>
      </c>
      <c r="AF523" s="299"/>
      <c r="AG523" s="300"/>
      <c r="AH523" s="299"/>
      <c r="AI523" s="299"/>
      <c r="AJ523" s="300"/>
      <c r="AK523" s="299"/>
      <c r="AL523" s="301"/>
      <c r="AM523" s="314"/>
      <c r="AN523" s="301"/>
      <c r="AO523" s="302"/>
      <c r="AP523" s="301"/>
      <c r="AQ523" s="301"/>
      <c r="AR523" s="301"/>
      <c r="AS523" s="301"/>
      <c r="AT523" s="301"/>
      <c r="AU523" s="301"/>
      <c r="AV523" s="301"/>
      <c r="AW523" s="301"/>
      <c r="AX523" s="301"/>
      <c r="AY523" s="301"/>
      <c r="AZ523" s="301"/>
      <c r="BA523" s="301"/>
      <c r="BB523" s="301"/>
      <c r="BC523" s="301"/>
      <c r="BD523" s="301"/>
      <c r="BE523" s="301"/>
      <c r="BF523" s="301"/>
      <c r="BG523" s="303"/>
      <c r="BH523" s="304"/>
    </row>
    <row r="524" spans="1:60" s="305" customFormat="1" ht="16.5" hidden="1" customHeight="1" x14ac:dyDescent="0.4">
      <c r="A524" s="285">
        <v>501</v>
      </c>
      <c r="B524" s="286"/>
      <c r="C524" s="286"/>
      <c r="D524" s="287" t="s">
        <v>92</v>
      </c>
      <c r="E524" s="287" t="s">
        <v>235</v>
      </c>
      <c r="F524" s="288" t="s">
        <v>92</v>
      </c>
      <c r="G524" s="289" t="s">
        <v>689</v>
      </c>
      <c r="H524" s="307"/>
      <c r="I524" s="290"/>
      <c r="J524" s="291" t="s">
        <v>81</v>
      </c>
      <c r="K524" s="287"/>
      <c r="L524" s="287"/>
      <c r="M524" s="287">
        <v>10276</v>
      </c>
      <c r="N524" s="287" t="s">
        <v>23</v>
      </c>
      <c r="O524" s="287" t="s">
        <v>43</v>
      </c>
      <c r="P524" s="287" t="s">
        <v>98</v>
      </c>
      <c r="Q524" s="287" t="s">
        <v>27</v>
      </c>
      <c r="R524" s="287" t="s">
        <v>340</v>
      </c>
      <c r="S524" s="292" t="s">
        <v>340</v>
      </c>
      <c r="T524" s="293"/>
      <c r="U524" s="294">
        <v>4800000</v>
      </c>
      <c r="V524" s="294">
        <v>4800000</v>
      </c>
      <c r="W524" s="295">
        <v>15480000</v>
      </c>
      <c r="X524" s="296"/>
      <c r="Y524" s="287" t="s">
        <v>28</v>
      </c>
      <c r="Z524" s="297" t="s">
        <v>25</v>
      </c>
      <c r="AA524" s="313"/>
      <c r="AB524" s="313"/>
      <c r="AC524" s="298">
        <f t="shared" si="18"/>
        <v>18000000</v>
      </c>
      <c r="AD524" s="298">
        <v>18000000</v>
      </c>
      <c r="AE524" s="298">
        <f t="shared" si="19"/>
        <v>0</v>
      </c>
      <c r="AF524" s="299"/>
      <c r="AG524" s="300"/>
      <c r="AH524" s="299"/>
      <c r="AI524" s="299">
        <v>7000000</v>
      </c>
      <c r="AJ524" s="300"/>
      <c r="AK524" s="299"/>
      <c r="AL524" s="301"/>
      <c r="AM524" s="314"/>
      <c r="AN524" s="301"/>
      <c r="AO524" s="302"/>
      <c r="AP524" s="301"/>
      <c r="AQ524" s="301"/>
      <c r="AR524" s="301"/>
      <c r="AS524" s="301">
        <v>8000000</v>
      </c>
      <c r="AT524" s="301"/>
      <c r="AU524" s="301"/>
      <c r="AV524" s="301"/>
      <c r="AW524" s="301"/>
      <c r="AX524" s="301"/>
      <c r="AY524" s="301">
        <v>10000000</v>
      </c>
      <c r="AZ524" s="301"/>
      <c r="BA524" s="301"/>
      <c r="BB524" s="301"/>
      <c r="BC524" s="301"/>
      <c r="BD524" s="301"/>
      <c r="BE524" s="301"/>
      <c r="BF524" s="301"/>
      <c r="BG524" s="303"/>
      <c r="BH524" s="304"/>
    </row>
    <row r="525" spans="1:60" s="305" customFormat="1" ht="16.5" hidden="1" customHeight="1" x14ac:dyDescent="0.4">
      <c r="A525" s="285">
        <v>502</v>
      </c>
      <c r="B525" s="286"/>
      <c r="C525" s="286"/>
      <c r="D525" s="287" t="s">
        <v>92</v>
      </c>
      <c r="E525" s="287" t="s">
        <v>235</v>
      </c>
      <c r="F525" s="288" t="s">
        <v>92</v>
      </c>
      <c r="G525" s="289" t="s">
        <v>689</v>
      </c>
      <c r="H525" s="307"/>
      <c r="I525" s="290"/>
      <c r="J525" s="291" t="s">
        <v>471</v>
      </c>
      <c r="K525" s="287"/>
      <c r="L525" s="287"/>
      <c r="M525" s="287">
        <v>16818</v>
      </c>
      <c r="N525" s="287" t="s">
        <v>23</v>
      </c>
      <c r="O525" s="287" t="s">
        <v>43</v>
      </c>
      <c r="P525" s="287" t="s">
        <v>44</v>
      </c>
      <c r="Q525" s="287" t="s">
        <v>30</v>
      </c>
      <c r="R525" s="287" t="s">
        <v>31</v>
      </c>
      <c r="S525" s="292" t="s">
        <v>31</v>
      </c>
      <c r="T525" s="293"/>
      <c r="U525" s="294">
        <v>22196000</v>
      </c>
      <c r="V525" s="294">
        <v>22263000</v>
      </c>
      <c r="W525" s="295">
        <v>67018000</v>
      </c>
      <c r="X525" s="296"/>
      <c r="Y525" s="287" t="s">
        <v>28</v>
      </c>
      <c r="Z525" s="297" t="s">
        <v>28</v>
      </c>
      <c r="AA525" s="313"/>
      <c r="AB525" s="313"/>
      <c r="AC525" s="298">
        <f t="shared" si="18"/>
        <v>30000000</v>
      </c>
      <c r="AD525" s="298">
        <v>30000000</v>
      </c>
      <c r="AE525" s="298">
        <f t="shared" si="19"/>
        <v>0</v>
      </c>
      <c r="AF525" s="299"/>
      <c r="AG525" s="300"/>
      <c r="AH525" s="299"/>
      <c r="AI525" s="299"/>
      <c r="AJ525" s="300"/>
      <c r="AK525" s="299"/>
      <c r="AL525" s="301"/>
      <c r="AM525" s="314"/>
      <c r="AN525" s="301"/>
      <c r="AO525" s="302"/>
      <c r="AP525" s="301"/>
      <c r="AQ525" s="301"/>
      <c r="AR525" s="301"/>
      <c r="AS525" s="301"/>
      <c r="AT525" s="301"/>
      <c r="AU525" s="301"/>
      <c r="AV525" s="301"/>
      <c r="AW525" s="301"/>
      <c r="AX525" s="301"/>
      <c r="AY525" s="301"/>
      <c r="AZ525" s="301"/>
      <c r="BA525" s="301"/>
      <c r="BB525" s="301"/>
      <c r="BC525" s="301"/>
      <c r="BD525" s="301"/>
      <c r="BE525" s="301">
        <v>30000000</v>
      </c>
      <c r="BF525" s="301"/>
      <c r="BG525" s="303"/>
      <c r="BH525" s="304"/>
    </row>
    <row r="526" spans="1:60" s="305" customFormat="1" ht="16.5" hidden="1" customHeight="1" x14ac:dyDescent="0.4">
      <c r="A526" s="285">
        <v>503</v>
      </c>
      <c r="B526" s="286"/>
      <c r="C526" s="286"/>
      <c r="D526" s="287" t="s">
        <v>92</v>
      </c>
      <c r="E526" s="287" t="s">
        <v>235</v>
      </c>
      <c r="F526" s="288" t="s">
        <v>92</v>
      </c>
      <c r="G526" s="289" t="s">
        <v>689</v>
      </c>
      <c r="H526" s="307"/>
      <c r="I526" s="290"/>
      <c r="J526" s="291" t="s">
        <v>450</v>
      </c>
      <c r="K526" s="287"/>
      <c r="L526" s="287"/>
      <c r="M526" s="287">
        <v>3753</v>
      </c>
      <c r="N526" s="287" t="s">
        <v>23</v>
      </c>
      <c r="O526" s="287" t="s">
        <v>43</v>
      </c>
      <c r="P526" s="287" t="s">
        <v>44</v>
      </c>
      <c r="Q526" s="287" t="s">
        <v>49</v>
      </c>
      <c r="R526" s="287" t="s">
        <v>29</v>
      </c>
      <c r="S526" s="292" t="s">
        <v>29</v>
      </c>
      <c r="T526" s="293" t="s">
        <v>798</v>
      </c>
      <c r="U526" s="294">
        <v>82561685</v>
      </c>
      <c r="V526" s="294">
        <v>92910105</v>
      </c>
      <c r="W526" s="295">
        <v>110440380</v>
      </c>
      <c r="X526" s="296"/>
      <c r="Y526" s="287" t="s">
        <v>28</v>
      </c>
      <c r="Z526" s="297" t="s">
        <v>28</v>
      </c>
      <c r="AA526" s="313"/>
      <c r="AB526" s="313"/>
      <c r="AC526" s="298">
        <f t="shared" si="18"/>
        <v>103531330</v>
      </c>
      <c r="AD526" s="298">
        <v>103531330</v>
      </c>
      <c r="AE526" s="298">
        <f t="shared" si="19"/>
        <v>0</v>
      </c>
      <c r="AF526" s="299">
        <v>7768160</v>
      </c>
      <c r="AG526" s="300">
        <v>8763160</v>
      </c>
      <c r="AH526" s="299"/>
      <c r="AI526" s="299">
        <v>6606600</v>
      </c>
      <c r="AJ526" s="300">
        <v>7501400</v>
      </c>
      <c r="AK526" s="299"/>
      <c r="AL526" s="301">
        <v>6606600</v>
      </c>
      <c r="AM526" s="314">
        <v>6606600</v>
      </c>
      <c r="AN526" s="301"/>
      <c r="AO526" s="302">
        <v>7929730</v>
      </c>
      <c r="AP526" s="301"/>
      <c r="AQ526" s="301">
        <v>6000000</v>
      </c>
      <c r="AR526" s="301"/>
      <c r="AS526" s="301">
        <v>6000000</v>
      </c>
      <c r="AT526" s="301"/>
      <c r="AU526" s="301">
        <v>6000000</v>
      </c>
      <c r="AV526" s="301"/>
      <c r="AW526" s="301">
        <v>6000000</v>
      </c>
      <c r="AX526" s="301"/>
      <c r="AY526" s="301">
        <v>6000000</v>
      </c>
      <c r="AZ526" s="301"/>
      <c r="BA526" s="301">
        <v>6000000</v>
      </c>
      <c r="BB526" s="301"/>
      <c r="BC526" s="301">
        <v>6000000</v>
      </c>
      <c r="BD526" s="301"/>
      <c r="BE526" s="301">
        <v>30730440</v>
      </c>
      <c r="BF526" s="301"/>
      <c r="BG526" s="303"/>
      <c r="BH526" s="304"/>
    </row>
    <row r="527" spans="1:60" s="305" customFormat="1" ht="16.5" hidden="1" customHeight="1" x14ac:dyDescent="0.4">
      <c r="A527" s="285">
        <v>504</v>
      </c>
      <c r="B527" s="286"/>
      <c r="C527" s="286"/>
      <c r="D527" s="287" t="s">
        <v>92</v>
      </c>
      <c r="E527" s="287" t="s">
        <v>235</v>
      </c>
      <c r="F527" s="288" t="s">
        <v>92</v>
      </c>
      <c r="G527" s="289" t="s">
        <v>689</v>
      </c>
      <c r="H527" s="307"/>
      <c r="I527" s="290"/>
      <c r="J527" s="291" t="s">
        <v>450</v>
      </c>
      <c r="K527" s="287"/>
      <c r="L527" s="287"/>
      <c r="M527" s="287">
        <v>3753</v>
      </c>
      <c r="N527" s="287" t="s">
        <v>23</v>
      </c>
      <c r="O527" s="287" t="s">
        <v>33</v>
      </c>
      <c r="P527" s="287" t="s">
        <v>44</v>
      </c>
      <c r="Q527" s="287" t="s">
        <v>19</v>
      </c>
      <c r="R527" s="287" t="s">
        <v>20</v>
      </c>
      <c r="S527" s="292" t="s">
        <v>20</v>
      </c>
      <c r="T527" s="293"/>
      <c r="U527" s="294">
        <v>14394000</v>
      </c>
      <c r="V527" s="294">
        <v>0</v>
      </c>
      <c r="W527" s="295"/>
      <c r="X527" s="296"/>
      <c r="Y527" s="287" t="s">
        <v>22</v>
      </c>
      <c r="Z527" s="297" t="s">
        <v>618</v>
      </c>
      <c r="AA527" s="313"/>
      <c r="AB527" s="313"/>
      <c r="AC527" s="298">
        <f t="shared" si="18"/>
        <v>0</v>
      </c>
      <c r="AD527" s="298">
        <v>0</v>
      </c>
      <c r="AE527" s="298">
        <f t="shared" si="19"/>
        <v>0</v>
      </c>
      <c r="AF527" s="299"/>
      <c r="AG527" s="300"/>
      <c r="AH527" s="299"/>
      <c r="AI527" s="299"/>
      <c r="AJ527" s="300"/>
      <c r="AK527" s="299"/>
      <c r="AL527" s="301"/>
      <c r="AM527" s="314"/>
      <c r="AN527" s="301"/>
      <c r="AO527" s="302"/>
      <c r="AP527" s="301"/>
      <c r="AQ527" s="301"/>
      <c r="AR527" s="301"/>
      <c r="AS527" s="301"/>
      <c r="AT527" s="301"/>
      <c r="AU527" s="301"/>
      <c r="AV527" s="301"/>
      <c r="AW527" s="301"/>
      <c r="AX527" s="301"/>
      <c r="AY527" s="301"/>
      <c r="AZ527" s="301"/>
      <c r="BA527" s="301"/>
      <c r="BB527" s="301"/>
      <c r="BC527" s="301"/>
      <c r="BD527" s="301"/>
      <c r="BE527" s="301"/>
      <c r="BF527" s="301"/>
      <c r="BG527" s="303"/>
      <c r="BH527" s="304"/>
    </row>
    <row r="528" spans="1:60" s="305" customFormat="1" ht="16.5" hidden="1" customHeight="1" x14ac:dyDescent="0.4">
      <c r="A528" s="285">
        <v>505</v>
      </c>
      <c r="B528" s="286"/>
      <c r="C528" s="286"/>
      <c r="D528" s="287" t="s">
        <v>92</v>
      </c>
      <c r="E528" s="287" t="s">
        <v>235</v>
      </c>
      <c r="F528" s="288" t="s">
        <v>92</v>
      </c>
      <c r="G528" s="289" t="s">
        <v>689</v>
      </c>
      <c r="H528" s="307"/>
      <c r="I528" s="290"/>
      <c r="J528" s="291" t="s">
        <v>450</v>
      </c>
      <c r="K528" s="287"/>
      <c r="L528" s="287"/>
      <c r="M528" s="287">
        <v>3753</v>
      </c>
      <c r="N528" s="287" t="s">
        <v>23</v>
      </c>
      <c r="O528" s="287" t="s">
        <v>43</v>
      </c>
      <c r="P528" s="287" t="s">
        <v>44</v>
      </c>
      <c r="Q528" s="287" t="s">
        <v>30</v>
      </c>
      <c r="R528" s="287" t="s">
        <v>31</v>
      </c>
      <c r="S528" s="292" t="s">
        <v>31</v>
      </c>
      <c r="T528" s="293"/>
      <c r="U528" s="294"/>
      <c r="V528" s="294">
        <v>17693400</v>
      </c>
      <c r="W528" s="295"/>
      <c r="X528" s="296"/>
      <c r="Y528" s="287" t="s">
        <v>25</v>
      </c>
      <c r="Z528" s="297" t="s">
        <v>28</v>
      </c>
      <c r="AA528" s="313"/>
      <c r="AB528" s="313"/>
      <c r="AC528" s="298">
        <f t="shared" si="18"/>
        <v>10000000</v>
      </c>
      <c r="AD528" s="298">
        <v>10000000</v>
      </c>
      <c r="AE528" s="298">
        <f t="shared" si="19"/>
        <v>0</v>
      </c>
      <c r="AF528" s="299"/>
      <c r="AG528" s="300"/>
      <c r="AH528" s="299"/>
      <c r="AI528" s="299"/>
      <c r="AJ528" s="300"/>
      <c r="AK528" s="299"/>
      <c r="AL528" s="301"/>
      <c r="AM528" s="314"/>
      <c r="AN528" s="301"/>
      <c r="AO528" s="302"/>
      <c r="AP528" s="301"/>
      <c r="AQ528" s="301"/>
      <c r="AR528" s="301"/>
      <c r="AS528" s="301"/>
      <c r="AT528" s="301"/>
      <c r="AU528" s="301"/>
      <c r="AV528" s="301"/>
      <c r="AW528" s="301"/>
      <c r="AX528" s="301"/>
      <c r="AY528" s="301"/>
      <c r="AZ528" s="301"/>
      <c r="BA528" s="301"/>
      <c r="BB528" s="301"/>
      <c r="BC528" s="301"/>
      <c r="BD528" s="301"/>
      <c r="BE528" s="301">
        <v>10000000</v>
      </c>
      <c r="BF528" s="301"/>
      <c r="BG528" s="303"/>
      <c r="BH528" s="304"/>
    </row>
    <row r="529" spans="1:60" s="305" customFormat="1" ht="16.5" hidden="1" customHeight="1" x14ac:dyDescent="0.4">
      <c r="A529" s="285">
        <v>506</v>
      </c>
      <c r="B529" s="286"/>
      <c r="C529" s="286"/>
      <c r="D529" s="287" t="s">
        <v>92</v>
      </c>
      <c r="E529" s="287" t="s">
        <v>235</v>
      </c>
      <c r="F529" s="288" t="s">
        <v>92</v>
      </c>
      <c r="G529" s="289" t="s">
        <v>689</v>
      </c>
      <c r="H529" s="307"/>
      <c r="I529" s="290"/>
      <c r="J529" s="291" t="s">
        <v>450</v>
      </c>
      <c r="K529" s="287"/>
      <c r="L529" s="287"/>
      <c r="M529" s="287">
        <v>3753</v>
      </c>
      <c r="N529" s="287" t="s">
        <v>23</v>
      </c>
      <c r="O529" s="287" t="s">
        <v>33</v>
      </c>
      <c r="P529" s="287" t="s">
        <v>44</v>
      </c>
      <c r="Q529" s="287" t="s">
        <v>27</v>
      </c>
      <c r="R529" s="287" t="s">
        <v>340</v>
      </c>
      <c r="S529" s="292" t="s">
        <v>340</v>
      </c>
      <c r="T529" s="293"/>
      <c r="U529" s="294"/>
      <c r="V529" s="294">
        <v>7500000</v>
      </c>
      <c r="W529" s="295"/>
      <c r="X529" s="296"/>
      <c r="Y529" s="287" t="s">
        <v>25</v>
      </c>
      <c r="Z529" s="297" t="s">
        <v>26</v>
      </c>
      <c r="AA529" s="313"/>
      <c r="AB529" s="313"/>
      <c r="AC529" s="298">
        <f t="shared" si="18"/>
        <v>16000000</v>
      </c>
      <c r="AD529" s="298">
        <v>16000000</v>
      </c>
      <c r="AE529" s="298">
        <f t="shared" si="19"/>
        <v>0</v>
      </c>
      <c r="AF529" s="299"/>
      <c r="AG529" s="300"/>
      <c r="AH529" s="299"/>
      <c r="AI529" s="299"/>
      <c r="AJ529" s="300"/>
      <c r="AK529" s="299"/>
      <c r="AL529" s="301"/>
      <c r="AM529" s="314"/>
      <c r="AN529" s="301"/>
      <c r="AO529" s="302"/>
      <c r="AP529" s="301"/>
      <c r="AQ529" s="316">
        <v>4000000</v>
      </c>
      <c r="AR529" s="301"/>
      <c r="AS529" s="301">
        <v>4000000</v>
      </c>
      <c r="AT529" s="301"/>
      <c r="AU529" s="301"/>
      <c r="AV529" s="301"/>
      <c r="AW529" s="301"/>
      <c r="AX529" s="301"/>
      <c r="AY529" s="301">
        <v>4000000</v>
      </c>
      <c r="AZ529" s="301"/>
      <c r="BA529" s="301"/>
      <c r="BB529" s="301"/>
      <c r="BC529" s="301"/>
      <c r="BD529" s="301"/>
      <c r="BE529" s="301">
        <v>4000000</v>
      </c>
      <c r="BF529" s="301"/>
      <c r="BG529" s="303"/>
      <c r="BH529" s="304"/>
    </row>
    <row r="530" spans="1:60" s="305" customFormat="1" ht="16.5" hidden="1" customHeight="1" x14ac:dyDescent="0.4">
      <c r="A530" s="285">
        <v>507</v>
      </c>
      <c r="B530" s="286"/>
      <c r="C530" s="286"/>
      <c r="D530" s="287" t="s">
        <v>92</v>
      </c>
      <c r="E530" s="287" t="s">
        <v>235</v>
      </c>
      <c r="F530" s="288" t="s">
        <v>92</v>
      </c>
      <c r="G530" s="289" t="s">
        <v>689</v>
      </c>
      <c r="H530" s="307"/>
      <c r="I530" s="290"/>
      <c r="J530" s="291" t="s">
        <v>245</v>
      </c>
      <c r="K530" s="287"/>
      <c r="L530" s="287"/>
      <c r="M530" s="287">
        <v>32312</v>
      </c>
      <c r="N530" s="287" t="s">
        <v>23</v>
      </c>
      <c r="O530" s="287" t="s">
        <v>43</v>
      </c>
      <c r="P530" s="287" t="s">
        <v>44</v>
      </c>
      <c r="Q530" s="287" t="s">
        <v>19</v>
      </c>
      <c r="R530" s="287" t="s">
        <v>20</v>
      </c>
      <c r="S530" s="292" t="s">
        <v>29</v>
      </c>
      <c r="T530" s="293" t="s">
        <v>798</v>
      </c>
      <c r="U530" s="294">
        <v>22045400</v>
      </c>
      <c r="V530" s="294">
        <v>40668900</v>
      </c>
      <c r="W530" s="295">
        <v>43624900</v>
      </c>
      <c r="X530" s="296"/>
      <c r="Y530" s="287" t="s">
        <v>28</v>
      </c>
      <c r="Z530" s="297" t="s">
        <v>28</v>
      </c>
      <c r="AA530" s="313"/>
      <c r="AB530" s="313"/>
      <c r="AC530" s="298">
        <f t="shared" si="18"/>
        <v>37564200</v>
      </c>
      <c r="AD530" s="298">
        <v>37564200</v>
      </c>
      <c r="AE530" s="298">
        <f t="shared" si="19"/>
        <v>0</v>
      </c>
      <c r="AF530" s="299">
        <v>3213700</v>
      </c>
      <c r="AG530" s="300">
        <v>3213700</v>
      </c>
      <c r="AH530" s="299"/>
      <c r="AI530" s="299">
        <v>2510400</v>
      </c>
      <c r="AJ530" s="300">
        <v>2510400</v>
      </c>
      <c r="AK530" s="299"/>
      <c r="AL530" s="301">
        <v>1767000</v>
      </c>
      <c r="AM530" s="314">
        <v>1767000</v>
      </c>
      <c r="AN530" s="301"/>
      <c r="AO530" s="302">
        <v>2286800</v>
      </c>
      <c r="AP530" s="301"/>
      <c r="AQ530" s="301">
        <v>3000000</v>
      </c>
      <c r="AR530" s="301"/>
      <c r="AS530" s="301">
        <v>3000000</v>
      </c>
      <c r="AT530" s="301"/>
      <c r="AU530" s="301">
        <v>3000000</v>
      </c>
      <c r="AV530" s="301"/>
      <c r="AW530" s="301">
        <v>3000000</v>
      </c>
      <c r="AX530" s="301"/>
      <c r="AY530" s="301">
        <v>3000000</v>
      </c>
      <c r="AZ530" s="301"/>
      <c r="BA530" s="301">
        <v>3000000</v>
      </c>
      <c r="BB530" s="301"/>
      <c r="BC530" s="301">
        <v>3000000</v>
      </c>
      <c r="BD530" s="301"/>
      <c r="BE530" s="301">
        <v>6786300</v>
      </c>
      <c r="BF530" s="301"/>
      <c r="BG530" s="303"/>
      <c r="BH530" s="304"/>
    </row>
    <row r="531" spans="1:60" s="305" customFormat="1" ht="16.5" hidden="1" customHeight="1" x14ac:dyDescent="0.4">
      <c r="A531" s="285">
        <v>508</v>
      </c>
      <c r="B531" s="286"/>
      <c r="C531" s="286"/>
      <c r="D531" s="287" t="s">
        <v>92</v>
      </c>
      <c r="E531" s="287" t="s">
        <v>235</v>
      </c>
      <c r="F531" s="288" t="s">
        <v>92</v>
      </c>
      <c r="G531" s="289" t="s">
        <v>689</v>
      </c>
      <c r="H531" s="307"/>
      <c r="I531" s="290"/>
      <c r="J531" s="291" t="s">
        <v>245</v>
      </c>
      <c r="K531" s="287"/>
      <c r="L531" s="287"/>
      <c r="M531" s="287">
        <v>32312</v>
      </c>
      <c r="N531" s="287" t="s">
        <v>23</v>
      </c>
      <c r="O531" s="287" t="s">
        <v>33</v>
      </c>
      <c r="P531" s="287" t="s">
        <v>44</v>
      </c>
      <c r="Q531" s="287" t="s">
        <v>27</v>
      </c>
      <c r="R531" s="287" t="s">
        <v>340</v>
      </c>
      <c r="S531" s="292" t="s">
        <v>340</v>
      </c>
      <c r="T531" s="293"/>
      <c r="U531" s="294"/>
      <c r="V531" s="294">
        <v>2000000</v>
      </c>
      <c r="W531" s="295"/>
      <c r="X531" s="296"/>
      <c r="Y531" s="287" t="s">
        <v>26</v>
      </c>
      <c r="Z531" s="297" t="s">
        <v>28</v>
      </c>
      <c r="AA531" s="313"/>
      <c r="AB531" s="313"/>
      <c r="AC531" s="298">
        <f t="shared" si="18"/>
        <v>2400000</v>
      </c>
      <c r="AD531" s="298">
        <v>2400000</v>
      </c>
      <c r="AE531" s="298">
        <f t="shared" si="19"/>
        <v>0</v>
      </c>
      <c r="AF531" s="299">
        <v>2640000</v>
      </c>
      <c r="AG531" s="300">
        <v>2400000</v>
      </c>
      <c r="AH531" s="299"/>
      <c r="AI531" s="299"/>
      <c r="AJ531" s="300"/>
      <c r="AK531" s="299"/>
      <c r="AL531" s="301"/>
      <c r="AM531" s="314"/>
      <c r="AN531" s="301"/>
      <c r="AO531" s="302"/>
      <c r="AP531" s="301"/>
      <c r="AQ531" s="301"/>
      <c r="AR531" s="301"/>
      <c r="AS531" s="301"/>
      <c r="AT531" s="301"/>
      <c r="AU531" s="301"/>
      <c r="AV531" s="301"/>
      <c r="AW531" s="301"/>
      <c r="AX531" s="301"/>
      <c r="AY531" s="301"/>
      <c r="AZ531" s="301"/>
      <c r="BA531" s="301"/>
      <c r="BB531" s="301"/>
      <c r="BC531" s="301"/>
      <c r="BD531" s="301"/>
      <c r="BE531" s="301"/>
      <c r="BF531" s="301"/>
      <c r="BG531" s="303"/>
      <c r="BH531" s="304"/>
    </row>
    <row r="532" spans="1:60" s="305" customFormat="1" ht="16.5" hidden="1" customHeight="1" x14ac:dyDescent="0.4">
      <c r="A532" s="285">
        <v>509</v>
      </c>
      <c r="B532" s="286"/>
      <c r="C532" s="286"/>
      <c r="D532" s="287" t="s">
        <v>92</v>
      </c>
      <c r="E532" s="287" t="s">
        <v>235</v>
      </c>
      <c r="F532" s="288" t="s">
        <v>92</v>
      </c>
      <c r="G532" s="289" t="s">
        <v>689</v>
      </c>
      <c r="H532" s="307"/>
      <c r="I532" s="290"/>
      <c r="J532" s="291" t="s">
        <v>818</v>
      </c>
      <c r="K532" s="287"/>
      <c r="L532" s="287"/>
      <c r="M532" s="287">
        <v>61135</v>
      </c>
      <c r="N532" s="287" t="s">
        <v>23</v>
      </c>
      <c r="O532" s="287" t="s">
        <v>43</v>
      </c>
      <c r="P532" s="287" t="s">
        <v>44</v>
      </c>
      <c r="Q532" s="287"/>
      <c r="R532" s="287" t="s">
        <v>20</v>
      </c>
      <c r="S532" s="292" t="s">
        <v>20</v>
      </c>
      <c r="T532" s="293"/>
      <c r="U532" s="294"/>
      <c r="V532" s="294"/>
      <c r="W532" s="295"/>
      <c r="X532" s="296"/>
      <c r="Y532" s="287" t="s">
        <v>28</v>
      </c>
      <c r="Z532" s="297" t="s">
        <v>28</v>
      </c>
      <c r="AA532" s="313"/>
      <c r="AB532" s="313"/>
      <c r="AC532" s="298">
        <f t="shared" si="18"/>
        <v>90000</v>
      </c>
      <c r="AD532" s="298">
        <v>90000</v>
      </c>
      <c r="AE532" s="298">
        <f t="shared" si="19"/>
        <v>0</v>
      </c>
      <c r="AF532" s="299">
        <v>90000</v>
      </c>
      <c r="AG532" s="300">
        <v>90000</v>
      </c>
      <c r="AH532" s="299"/>
      <c r="AI532" s="299"/>
      <c r="AJ532" s="300"/>
      <c r="AK532" s="299"/>
      <c r="AL532" s="301"/>
      <c r="AM532" s="314"/>
      <c r="AN532" s="301"/>
      <c r="AO532" s="302"/>
      <c r="AP532" s="301"/>
      <c r="AQ532" s="301"/>
      <c r="AR532" s="301"/>
      <c r="AS532" s="301"/>
      <c r="AT532" s="301"/>
      <c r="AU532" s="301"/>
      <c r="AV532" s="301"/>
      <c r="AW532" s="301"/>
      <c r="AX532" s="301"/>
      <c r="AY532" s="301"/>
      <c r="AZ532" s="301"/>
      <c r="BA532" s="301"/>
      <c r="BB532" s="301"/>
      <c r="BC532" s="301"/>
      <c r="BD532" s="301"/>
      <c r="BE532" s="301"/>
      <c r="BF532" s="301"/>
      <c r="BG532" s="303"/>
      <c r="BH532" s="304"/>
    </row>
    <row r="533" spans="1:60" s="305" customFormat="1" ht="16.5" hidden="1" customHeight="1" x14ac:dyDescent="0.4">
      <c r="A533" s="285">
        <v>510</v>
      </c>
      <c r="B533" s="286"/>
      <c r="C533" s="286"/>
      <c r="D533" s="287" t="s">
        <v>92</v>
      </c>
      <c r="E533" s="287" t="s">
        <v>235</v>
      </c>
      <c r="F533" s="288" t="s">
        <v>92</v>
      </c>
      <c r="G533" s="289" t="s">
        <v>689</v>
      </c>
      <c r="H533" s="307"/>
      <c r="I533" s="290"/>
      <c r="J533" s="291" t="s">
        <v>246</v>
      </c>
      <c r="K533" s="287"/>
      <c r="L533" s="287"/>
      <c r="M533" s="287">
        <v>32300</v>
      </c>
      <c r="N533" s="287" t="s">
        <v>23</v>
      </c>
      <c r="O533" s="287" t="s">
        <v>33</v>
      </c>
      <c r="P533" s="287" t="s">
        <v>44</v>
      </c>
      <c r="Q533" s="287" t="s">
        <v>37</v>
      </c>
      <c r="R533" s="287" t="s">
        <v>38</v>
      </c>
      <c r="S533" s="292" t="s">
        <v>38</v>
      </c>
      <c r="T533" s="293"/>
      <c r="U533" s="294" t="s">
        <v>97</v>
      </c>
      <c r="V533" s="294">
        <v>0</v>
      </c>
      <c r="W533" s="295"/>
      <c r="X533" s="296"/>
      <c r="Y533" s="287" t="s">
        <v>26</v>
      </c>
      <c r="Z533" s="297" t="s">
        <v>28</v>
      </c>
      <c r="AA533" s="313"/>
      <c r="AB533" s="313"/>
      <c r="AC533" s="298">
        <f t="shared" si="18"/>
        <v>10440000</v>
      </c>
      <c r="AD533" s="298">
        <v>10440000</v>
      </c>
      <c r="AE533" s="298">
        <f t="shared" si="19"/>
        <v>0</v>
      </c>
      <c r="AF533" s="299"/>
      <c r="AG533" s="300"/>
      <c r="AH533" s="299"/>
      <c r="AI533" s="299">
        <v>2610000</v>
      </c>
      <c r="AJ533" s="300">
        <v>2610000</v>
      </c>
      <c r="AK533" s="299"/>
      <c r="AL533" s="301"/>
      <c r="AM533" s="314"/>
      <c r="AN533" s="301"/>
      <c r="AO533" s="302"/>
      <c r="AP533" s="301"/>
      <c r="AQ533" s="301">
        <v>2610000</v>
      </c>
      <c r="AR533" s="301"/>
      <c r="AS533" s="301"/>
      <c r="AT533" s="301"/>
      <c r="AU533" s="301"/>
      <c r="AV533" s="301"/>
      <c r="AW533" s="301"/>
      <c r="AX533" s="301"/>
      <c r="AY533" s="301">
        <v>2610000</v>
      </c>
      <c r="AZ533" s="301"/>
      <c r="BA533" s="301"/>
      <c r="BB533" s="301"/>
      <c r="BC533" s="301"/>
      <c r="BD533" s="301"/>
      <c r="BE533" s="301">
        <v>2610000</v>
      </c>
      <c r="BF533" s="301"/>
      <c r="BG533" s="303"/>
      <c r="BH533" s="304"/>
    </row>
    <row r="534" spans="1:60" s="305" customFormat="1" ht="16.5" hidden="1" customHeight="1" x14ac:dyDescent="0.4">
      <c r="A534" s="285">
        <v>511</v>
      </c>
      <c r="B534" s="286"/>
      <c r="C534" s="286"/>
      <c r="D534" s="287" t="s">
        <v>92</v>
      </c>
      <c r="E534" s="287" t="s">
        <v>235</v>
      </c>
      <c r="F534" s="288" t="s">
        <v>92</v>
      </c>
      <c r="G534" s="289" t="s">
        <v>689</v>
      </c>
      <c r="H534" s="307"/>
      <c r="I534" s="290"/>
      <c r="J534" s="291" t="s">
        <v>247</v>
      </c>
      <c r="K534" s="287"/>
      <c r="L534" s="287"/>
      <c r="M534" s="287">
        <v>7194</v>
      </c>
      <c r="N534" s="287" t="s">
        <v>23</v>
      </c>
      <c r="O534" s="287" t="s">
        <v>33</v>
      </c>
      <c r="P534" s="287" t="s">
        <v>44</v>
      </c>
      <c r="Q534" s="287" t="s">
        <v>19</v>
      </c>
      <c r="R534" s="287" t="s">
        <v>20</v>
      </c>
      <c r="S534" s="292" t="s">
        <v>20</v>
      </c>
      <c r="T534" s="293"/>
      <c r="U534" s="294">
        <v>6469540</v>
      </c>
      <c r="V534" s="294">
        <v>0</v>
      </c>
      <c r="W534" s="295"/>
      <c r="X534" s="296"/>
      <c r="Y534" s="287" t="s">
        <v>26</v>
      </c>
      <c r="Z534" s="297" t="s">
        <v>26</v>
      </c>
      <c r="AA534" s="313"/>
      <c r="AB534" s="313"/>
      <c r="AC534" s="298">
        <f t="shared" si="18"/>
        <v>6000000</v>
      </c>
      <c r="AD534" s="298">
        <v>6000000</v>
      </c>
      <c r="AE534" s="298">
        <f t="shared" si="19"/>
        <v>0</v>
      </c>
      <c r="AF534" s="299"/>
      <c r="AG534" s="300"/>
      <c r="AH534" s="299"/>
      <c r="AI534" s="299"/>
      <c r="AJ534" s="300"/>
      <c r="AK534" s="299"/>
      <c r="AL534" s="301"/>
      <c r="AM534" s="314"/>
      <c r="AN534" s="301"/>
      <c r="AO534" s="302"/>
      <c r="AP534" s="301"/>
      <c r="AQ534" s="301"/>
      <c r="AR534" s="301"/>
      <c r="AS534" s="301"/>
      <c r="AT534" s="301"/>
      <c r="AU534" s="301"/>
      <c r="AV534" s="301"/>
      <c r="AW534" s="301"/>
      <c r="AX534" s="301"/>
      <c r="AY534" s="301"/>
      <c r="AZ534" s="301"/>
      <c r="BA534" s="301"/>
      <c r="BB534" s="301"/>
      <c r="BC534" s="301"/>
      <c r="BD534" s="301"/>
      <c r="BE534" s="301">
        <v>6000000</v>
      </c>
      <c r="BF534" s="301"/>
      <c r="BG534" s="303"/>
      <c r="BH534" s="304"/>
    </row>
    <row r="535" spans="1:60" s="305" customFormat="1" ht="16.5" hidden="1" customHeight="1" x14ac:dyDescent="0.4">
      <c r="A535" s="285">
        <v>512</v>
      </c>
      <c r="B535" s="286"/>
      <c r="C535" s="286"/>
      <c r="D535" s="287" t="s">
        <v>92</v>
      </c>
      <c r="E535" s="287" t="s">
        <v>235</v>
      </c>
      <c r="F535" s="288" t="s">
        <v>92</v>
      </c>
      <c r="G535" s="289" t="s">
        <v>689</v>
      </c>
      <c r="H535" s="307"/>
      <c r="I535" s="290"/>
      <c r="J535" s="291" t="s">
        <v>819</v>
      </c>
      <c r="K535" s="287"/>
      <c r="L535" s="287"/>
      <c r="M535" s="287">
        <v>7194</v>
      </c>
      <c r="N535" s="287" t="s">
        <v>40</v>
      </c>
      <c r="O535" s="287" t="s">
        <v>33</v>
      </c>
      <c r="P535" s="287" t="s">
        <v>44</v>
      </c>
      <c r="Q535" s="287"/>
      <c r="R535" s="287"/>
      <c r="S535" s="292" t="s">
        <v>20</v>
      </c>
      <c r="T535" s="293"/>
      <c r="U535" s="294"/>
      <c r="V535" s="294"/>
      <c r="W535" s="295"/>
      <c r="X535" s="296"/>
      <c r="Y535" s="287"/>
      <c r="Z535" s="297" t="s">
        <v>28</v>
      </c>
      <c r="AA535" s="313"/>
      <c r="AB535" s="313"/>
      <c r="AC535" s="298">
        <f t="shared" si="18"/>
        <v>489000</v>
      </c>
      <c r="AD535" s="298">
        <v>489000</v>
      </c>
      <c r="AE535" s="298">
        <f t="shared" si="19"/>
        <v>0</v>
      </c>
      <c r="AF535" s="299"/>
      <c r="AG535" s="300"/>
      <c r="AH535" s="299"/>
      <c r="AI535" s="299">
        <v>349000</v>
      </c>
      <c r="AJ535" s="300">
        <v>349000</v>
      </c>
      <c r="AK535" s="299"/>
      <c r="AL535" s="301"/>
      <c r="AM535" s="314"/>
      <c r="AN535" s="301"/>
      <c r="AO535" s="302">
        <v>140000</v>
      </c>
      <c r="AP535" s="301"/>
      <c r="AQ535" s="301"/>
      <c r="AR535" s="301"/>
      <c r="AS535" s="301"/>
      <c r="AT535" s="301"/>
      <c r="AU535" s="301"/>
      <c r="AV535" s="301"/>
      <c r="AW535" s="301"/>
      <c r="AX535" s="301"/>
      <c r="AY535" s="301"/>
      <c r="AZ535" s="301"/>
      <c r="BA535" s="301"/>
      <c r="BB535" s="301"/>
      <c r="BC535" s="301"/>
      <c r="BD535" s="301"/>
      <c r="BE535" s="301"/>
      <c r="BF535" s="301"/>
      <c r="BG535" s="303"/>
      <c r="BH535" s="304"/>
    </row>
    <row r="536" spans="1:60" s="305" customFormat="1" ht="16.5" hidden="1" customHeight="1" x14ac:dyDescent="0.4">
      <c r="A536" s="285">
        <v>513</v>
      </c>
      <c r="B536" s="286"/>
      <c r="C536" s="286"/>
      <c r="D536" s="287"/>
      <c r="E536" s="287"/>
      <c r="F536" s="288" t="s">
        <v>92</v>
      </c>
      <c r="G536" s="289" t="s">
        <v>689</v>
      </c>
      <c r="H536" s="307"/>
      <c r="I536" s="290"/>
      <c r="J536" s="291" t="s">
        <v>829</v>
      </c>
      <c r="K536" s="287"/>
      <c r="L536" s="287"/>
      <c r="M536" s="287">
        <v>63274</v>
      </c>
      <c r="N536" s="287" t="s">
        <v>40</v>
      </c>
      <c r="O536" s="287" t="s">
        <v>43</v>
      </c>
      <c r="P536" s="287" t="s">
        <v>44</v>
      </c>
      <c r="Q536" s="287"/>
      <c r="R536" s="287"/>
      <c r="S536" s="292" t="s">
        <v>29</v>
      </c>
      <c r="T536" s="293"/>
      <c r="U536" s="294"/>
      <c r="V536" s="294"/>
      <c r="W536" s="295">
        <v>2303350</v>
      </c>
      <c r="X536" s="296"/>
      <c r="Y536" s="287"/>
      <c r="Z536" s="297" t="s">
        <v>656</v>
      </c>
      <c r="AA536" s="313"/>
      <c r="AB536" s="313"/>
      <c r="AC536" s="298">
        <f t="shared" ref="AC536:AC599" si="20">AG536+AJ536+AM536+AO536+AQ536+AS536+AU536+AW536+AY536+BA536+BC536+BE536</f>
        <v>0</v>
      </c>
      <c r="AD536" s="298">
        <v>0</v>
      </c>
      <c r="AE536" s="298">
        <f t="shared" ref="AE536:AE599" si="21">AC536-AD536</f>
        <v>0</v>
      </c>
      <c r="AF536" s="299"/>
      <c r="AG536" s="300"/>
      <c r="AH536" s="299"/>
      <c r="AI536" s="299"/>
      <c r="AJ536" s="300"/>
      <c r="AK536" s="299"/>
      <c r="AL536" s="301"/>
      <c r="AM536" s="314"/>
      <c r="AN536" s="301"/>
      <c r="AO536" s="302"/>
      <c r="AP536" s="301"/>
      <c r="AQ536" s="301"/>
      <c r="AR536" s="301"/>
      <c r="AS536" s="301"/>
      <c r="AT536" s="301"/>
      <c r="AU536" s="301"/>
      <c r="AV536" s="301"/>
      <c r="AW536" s="301"/>
      <c r="AX536" s="301"/>
      <c r="AY536" s="301"/>
      <c r="AZ536" s="301"/>
      <c r="BA536" s="301"/>
      <c r="BB536" s="301"/>
      <c r="BC536" s="301"/>
      <c r="BD536" s="301"/>
      <c r="BE536" s="301"/>
      <c r="BF536" s="301"/>
      <c r="BG536" s="303"/>
      <c r="BH536" s="304"/>
    </row>
    <row r="537" spans="1:60" s="305" customFormat="1" ht="16.5" hidden="1" customHeight="1" x14ac:dyDescent="0.4">
      <c r="A537" s="285">
        <v>514</v>
      </c>
      <c r="B537" s="286"/>
      <c r="C537" s="286"/>
      <c r="D537" s="287" t="s">
        <v>92</v>
      </c>
      <c r="E537" s="287" t="s">
        <v>184</v>
      </c>
      <c r="F537" s="288" t="s">
        <v>92</v>
      </c>
      <c r="G537" s="289" t="s">
        <v>689</v>
      </c>
      <c r="H537" s="307"/>
      <c r="I537" s="290"/>
      <c r="J537" s="291" t="s">
        <v>496</v>
      </c>
      <c r="K537" s="287"/>
      <c r="L537" s="287"/>
      <c r="M537" s="287">
        <v>336</v>
      </c>
      <c r="N537" s="287" t="s">
        <v>23</v>
      </c>
      <c r="O537" s="287" t="s">
        <v>43</v>
      </c>
      <c r="P537" s="287" t="s">
        <v>44</v>
      </c>
      <c r="Q537" s="287" t="s">
        <v>49</v>
      </c>
      <c r="R537" s="287" t="s">
        <v>29</v>
      </c>
      <c r="S537" s="292" t="s">
        <v>29</v>
      </c>
      <c r="T537" s="293" t="s">
        <v>798</v>
      </c>
      <c r="U537" s="294">
        <v>12270000</v>
      </c>
      <c r="V537" s="294">
        <v>56479000</v>
      </c>
      <c r="W537" s="295">
        <v>121952077</v>
      </c>
      <c r="X537" s="296"/>
      <c r="Y537" s="287" t="s">
        <v>28</v>
      </c>
      <c r="Z537" s="297" t="s">
        <v>28</v>
      </c>
      <c r="AA537" s="313"/>
      <c r="AB537" s="313"/>
      <c r="AC537" s="298">
        <f t="shared" si="20"/>
        <v>107710007</v>
      </c>
      <c r="AD537" s="298">
        <v>107710007</v>
      </c>
      <c r="AE537" s="298">
        <f t="shared" si="21"/>
        <v>0</v>
      </c>
      <c r="AF537" s="299">
        <v>12633894</v>
      </c>
      <c r="AG537" s="300">
        <v>11899976</v>
      </c>
      <c r="AH537" s="299"/>
      <c r="AI537" s="299">
        <v>8215612</v>
      </c>
      <c r="AJ537" s="300">
        <v>12490612</v>
      </c>
      <c r="AK537" s="299"/>
      <c r="AL537" s="301">
        <v>10030733</v>
      </c>
      <c r="AM537" s="314">
        <v>10213683</v>
      </c>
      <c r="AN537" s="301"/>
      <c r="AO537" s="302">
        <v>8200000</v>
      </c>
      <c r="AP537" s="301"/>
      <c r="AQ537" s="301">
        <v>8200000</v>
      </c>
      <c r="AR537" s="301"/>
      <c r="AS537" s="301">
        <v>8200000</v>
      </c>
      <c r="AT537" s="301"/>
      <c r="AU537" s="301">
        <v>8200000</v>
      </c>
      <c r="AV537" s="301"/>
      <c r="AW537" s="301">
        <v>8200000</v>
      </c>
      <c r="AX537" s="301"/>
      <c r="AY537" s="301">
        <v>8200000</v>
      </c>
      <c r="AZ537" s="301"/>
      <c r="BA537" s="301">
        <v>7505736</v>
      </c>
      <c r="BB537" s="301"/>
      <c r="BC537" s="301">
        <v>8200000</v>
      </c>
      <c r="BD537" s="301"/>
      <c r="BE537" s="301">
        <v>8200000</v>
      </c>
      <c r="BF537" s="301"/>
      <c r="BG537" s="303"/>
      <c r="BH537" s="304"/>
    </row>
    <row r="538" spans="1:60" s="305" customFormat="1" ht="16.5" hidden="1" customHeight="1" x14ac:dyDescent="0.4">
      <c r="A538" s="285">
        <v>515</v>
      </c>
      <c r="B538" s="286"/>
      <c r="C538" s="286"/>
      <c r="D538" s="287" t="s">
        <v>92</v>
      </c>
      <c r="E538" s="287" t="s">
        <v>184</v>
      </c>
      <c r="F538" s="288" t="s">
        <v>92</v>
      </c>
      <c r="G538" s="289" t="s">
        <v>689</v>
      </c>
      <c r="H538" s="307"/>
      <c r="I538" s="290"/>
      <c r="J538" s="291" t="s">
        <v>496</v>
      </c>
      <c r="K538" s="287"/>
      <c r="L538" s="287"/>
      <c r="M538" s="287">
        <v>336</v>
      </c>
      <c r="N538" s="287" t="s">
        <v>23</v>
      </c>
      <c r="O538" s="287" t="s">
        <v>33</v>
      </c>
      <c r="P538" s="287" t="s">
        <v>44</v>
      </c>
      <c r="Q538" s="287" t="s">
        <v>19</v>
      </c>
      <c r="R538" s="287" t="s">
        <v>20</v>
      </c>
      <c r="S538" s="292" t="s">
        <v>20</v>
      </c>
      <c r="T538" s="293"/>
      <c r="U538" s="294">
        <v>1541700</v>
      </c>
      <c r="V538" s="294">
        <v>0</v>
      </c>
      <c r="W538" s="295"/>
      <c r="X538" s="296"/>
      <c r="Y538" s="287" t="s">
        <v>22</v>
      </c>
      <c r="Z538" s="297" t="s">
        <v>618</v>
      </c>
      <c r="AA538" s="313"/>
      <c r="AB538" s="313"/>
      <c r="AC538" s="298">
        <f t="shared" si="20"/>
        <v>0</v>
      </c>
      <c r="AD538" s="298">
        <v>0</v>
      </c>
      <c r="AE538" s="298">
        <f t="shared" si="21"/>
        <v>0</v>
      </c>
      <c r="AF538" s="299"/>
      <c r="AG538" s="300"/>
      <c r="AH538" s="299"/>
      <c r="AI538" s="299"/>
      <c r="AJ538" s="300"/>
      <c r="AK538" s="299"/>
      <c r="AL538" s="301"/>
      <c r="AM538" s="314"/>
      <c r="AN538" s="301"/>
      <c r="AO538" s="302"/>
      <c r="AP538" s="301"/>
      <c r="AQ538" s="301"/>
      <c r="AR538" s="301"/>
      <c r="AS538" s="301"/>
      <c r="AT538" s="301"/>
      <c r="AU538" s="301"/>
      <c r="AV538" s="301"/>
      <c r="AW538" s="301"/>
      <c r="AX538" s="301"/>
      <c r="AY538" s="301"/>
      <c r="AZ538" s="301"/>
      <c r="BA538" s="301"/>
      <c r="BB538" s="301"/>
      <c r="BC538" s="301"/>
      <c r="BD538" s="301"/>
      <c r="BE538" s="301"/>
      <c r="BF538" s="301"/>
      <c r="BG538" s="303"/>
      <c r="BH538" s="304"/>
    </row>
    <row r="539" spans="1:60" s="305" customFormat="1" ht="16.5" hidden="1" customHeight="1" x14ac:dyDescent="0.4">
      <c r="A539" s="285">
        <v>516</v>
      </c>
      <c r="B539" s="286"/>
      <c r="C539" s="286"/>
      <c r="D539" s="287" t="s">
        <v>92</v>
      </c>
      <c r="E539" s="287" t="s">
        <v>184</v>
      </c>
      <c r="F539" s="288" t="s">
        <v>92</v>
      </c>
      <c r="G539" s="289" t="s">
        <v>689</v>
      </c>
      <c r="H539" s="307"/>
      <c r="I539" s="290"/>
      <c r="J539" s="291" t="s">
        <v>496</v>
      </c>
      <c r="K539" s="287"/>
      <c r="L539" s="287"/>
      <c r="M539" s="287">
        <v>336</v>
      </c>
      <c r="N539" s="287" t="s">
        <v>23</v>
      </c>
      <c r="O539" s="287" t="s">
        <v>43</v>
      </c>
      <c r="P539" s="287" t="s">
        <v>44</v>
      </c>
      <c r="Q539" s="287" t="s">
        <v>37</v>
      </c>
      <c r="R539" s="287" t="s">
        <v>38</v>
      </c>
      <c r="S539" s="292" t="s">
        <v>38</v>
      </c>
      <c r="T539" s="293"/>
      <c r="U539" s="294">
        <v>2205050</v>
      </c>
      <c r="V539" s="294">
        <v>0</v>
      </c>
      <c r="W539" s="295"/>
      <c r="X539" s="296"/>
      <c r="Y539" s="287" t="s">
        <v>544</v>
      </c>
      <c r="Z539" s="297" t="s">
        <v>544</v>
      </c>
      <c r="AA539" s="313"/>
      <c r="AB539" s="313"/>
      <c r="AC539" s="298">
        <f t="shared" si="20"/>
        <v>1000000</v>
      </c>
      <c r="AD539" s="298">
        <v>1000000</v>
      </c>
      <c r="AE539" s="298">
        <f t="shared" si="21"/>
        <v>0</v>
      </c>
      <c r="AF539" s="299"/>
      <c r="AG539" s="300"/>
      <c r="AH539" s="299"/>
      <c r="AI539" s="299"/>
      <c r="AJ539" s="300"/>
      <c r="AK539" s="299"/>
      <c r="AL539" s="301"/>
      <c r="AM539" s="314"/>
      <c r="AN539" s="301"/>
      <c r="AO539" s="302"/>
      <c r="AP539" s="301"/>
      <c r="AQ539" s="301"/>
      <c r="AR539" s="301"/>
      <c r="AS539" s="301"/>
      <c r="AT539" s="301"/>
      <c r="AU539" s="301"/>
      <c r="AV539" s="301"/>
      <c r="AW539" s="301"/>
      <c r="AX539" s="301"/>
      <c r="AY539" s="301"/>
      <c r="AZ539" s="301"/>
      <c r="BA539" s="301"/>
      <c r="BB539" s="301"/>
      <c r="BC539" s="301"/>
      <c r="BD539" s="301"/>
      <c r="BE539" s="301">
        <v>1000000</v>
      </c>
      <c r="BF539" s="301"/>
      <c r="BG539" s="303"/>
      <c r="BH539" s="304"/>
    </row>
    <row r="540" spans="1:60" s="305" customFormat="1" ht="16.5" hidden="1" customHeight="1" x14ac:dyDescent="0.4">
      <c r="A540" s="285">
        <v>517</v>
      </c>
      <c r="B540" s="286"/>
      <c r="C540" s="286"/>
      <c r="D540" s="287" t="s">
        <v>92</v>
      </c>
      <c r="E540" s="287" t="s">
        <v>184</v>
      </c>
      <c r="F540" s="288" t="s">
        <v>92</v>
      </c>
      <c r="G540" s="289" t="s">
        <v>689</v>
      </c>
      <c r="H540" s="307"/>
      <c r="I540" s="290"/>
      <c r="J540" s="291" t="s">
        <v>526</v>
      </c>
      <c r="K540" s="287"/>
      <c r="L540" s="287"/>
      <c r="M540" s="287">
        <v>9011</v>
      </c>
      <c r="N540" s="287" t="s">
        <v>23</v>
      </c>
      <c r="O540" s="287" t="s">
        <v>33</v>
      </c>
      <c r="P540" s="287" t="s">
        <v>93</v>
      </c>
      <c r="Q540" s="287" t="s">
        <v>30</v>
      </c>
      <c r="R540" s="287" t="s">
        <v>31</v>
      </c>
      <c r="S540" s="292" t="s">
        <v>31</v>
      </c>
      <c r="T540" s="293"/>
      <c r="U540" s="294">
        <v>10880000</v>
      </c>
      <c r="V540" s="294">
        <v>0</v>
      </c>
      <c r="W540" s="295"/>
      <c r="X540" s="296"/>
      <c r="Y540" s="287" t="s">
        <v>26</v>
      </c>
      <c r="Z540" s="297" t="s">
        <v>26</v>
      </c>
      <c r="AA540" s="313"/>
      <c r="AB540" s="313"/>
      <c r="AC540" s="298">
        <f t="shared" si="20"/>
        <v>5000000</v>
      </c>
      <c r="AD540" s="298">
        <v>5000000</v>
      </c>
      <c r="AE540" s="298">
        <f t="shared" si="21"/>
        <v>0</v>
      </c>
      <c r="AF540" s="299"/>
      <c r="AG540" s="300"/>
      <c r="AH540" s="299"/>
      <c r="AI540" s="299"/>
      <c r="AJ540" s="300"/>
      <c r="AK540" s="299"/>
      <c r="AL540" s="301"/>
      <c r="AM540" s="314"/>
      <c r="AN540" s="301"/>
      <c r="AO540" s="302"/>
      <c r="AP540" s="301"/>
      <c r="AQ540" s="301"/>
      <c r="AR540" s="301"/>
      <c r="AS540" s="301"/>
      <c r="AT540" s="301"/>
      <c r="AU540" s="301"/>
      <c r="AV540" s="301"/>
      <c r="AW540" s="301"/>
      <c r="AX540" s="301"/>
      <c r="AY540" s="301"/>
      <c r="AZ540" s="301"/>
      <c r="BA540" s="301">
        <v>5000000</v>
      </c>
      <c r="BB540" s="301"/>
      <c r="BC540" s="301"/>
      <c r="BD540" s="301"/>
      <c r="BE540" s="301"/>
      <c r="BF540" s="301"/>
      <c r="BG540" s="303"/>
      <c r="BH540" s="304"/>
    </row>
    <row r="541" spans="1:60" s="305" customFormat="1" ht="16.5" hidden="1" customHeight="1" x14ac:dyDescent="0.4">
      <c r="A541" s="285">
        <v>518</v>
      </c>
      <c r="B541" s="286"/>
      <c r="C541" s="286"/>
      <c r="D541" s="287"/>
      <c r="E541" s="287"/>
      <c r="F541" s="288" t="s">
        <v>92</v>
      </c>
      <c r="G541" s="289" t="s">
        <v>689</v>
      </c>
      <c r="H541" s="307"/>
      <c r="I541" s="290"/>
      <c r="J541" s="291" t="s">
        <v>779</v>
      </c>
      <c r="K541" s="287"/>
      <c r="L541" s="287"/>
      <c r="M541" s="287">
        <v>59075</v>
      </c>
      <c r="N541" s="287" t="s">
        <v>40</v>
      </c>
      <c r="O541" s="287" t="s">
        <v>43</v>
      </c>
      <c r="P541" s="287" t="s">
        <v>98</v>
      </c>
      <c r="Q541" s="287"/>
      <c r="R541" s="287"/>
      <c r="S541" s="292" t="s">
        <v>31</v>
      </c>
      <c r="T541" s="293"/>
      <c r="U541" s="294"/>
      <c r="V541" s="294"/>
      <c r="W541" s="295">
        <v>6288182</v>
      </c>
      <c r="X541" s="296"/>
      <c r="Y541" s="287"/>
      <c r="Z541" s="297" t="s">
        <v>656</v>
      </c>
      <c r="AA541" s="313"/>
      <c r="AB541" s="313"/>
      <c r="AC541" s="298">
        <f t="shared" si="20"/>
        <v>0</v>
      </c>
      <c r="AD541" s="298">
        <v>0</v>
      </c>
      <c r="AE541" s="298">
        <f t="shared" si="21"/>
        <v>0</v>
      </c>
      <c r="AF541" s="299"/>
      <c r="AG541" s="300"/>
      <c r="AH541" s="299"/>
      <c r="AI541" s="299"/>
      <c r="AJ541" s="300"/>
      <c r="AK541" s="299"/>
      <c r="AL541" s="301"/>
      <c r="AM541" s="314"/>
      <c r="AN541" s="301"/>
      <c r="AO541" s="302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301"/>
      <c r="BA541" s="301"/>
      <c r="BB541" s="301"/>
      <c r="BC541" s="301"/>
      <c r="BD541" s="301"/>
      <c r="BE541" s="301"/>
      <c r="BF541" s="301"/>
      <c r="BG541" s="303"/>
      <c r="BH541" s="304"/>
    </row>
    <row r="542" spans="1:60" s="305" customFormat="1" ht="16.5" hidden="1" customHeight="1" x14ac:dyDescent="0.4">
      <c r="A542" s="285">
        <v>519</v>
      </c>
      <c r="B542" s="286"/>
      <c r="C542" s="286"/>
      <c r="D542" s="287"/>
      <c r="E542" s="287"/>
      <c r="F542" s="288" t="s">
        <v>92</v>
      </c>
      <c r="G542" s="289" t="s">
        <v>689</v>
      </c>
      <c r="H542" s="307"/>
      <c r="I542" s="290"/>
      <c r="J542" s="291" t="s">
        <v>780</v>
      </c>
      <c r="K542" s="287"/>
      <c r="L542" s="287"/>
      <c r="M542" s="287">
        <v>55070</v>
      </c>
      <c r="N542" s="287" t="s">
        <v>40</v>
      </c>
      <c r="O542" s="287" t="s">
        <v>43</v>
      </c>
      <c r="P542" s="287" t="s">
        <v>44</v>
      </c>
      <c r="Q542" s="287"/>
      <c r="R542" s="287"/>
      <c r="S542" s="292" t="s">
        <v>340</v>
      </c>
      <c r="T542" s="293"/>
      <c r="U542" s="294"/>
      <c r="V542" s="294"/>
      <c r="W542" s="295">
        <v>912000</v>
      </c>
      <c r="X542" s="296"/>
      <c r="Y542" s="287"/>
      <c r="Z542" s="297" t="s">
        <v>656</v>
      </c>
      <c r="AA542" s="313"/>
      <c r="AB542" s="313"/>
      <c r="AC542" s="298">
        <f t="shared" si="20"/>
        <v>0</v>
      </c>
      <c r="AD542" s="298">
        <v>0</v>
      </c>
      <c r="AE542" s="298">
        <f t="shared" si="21"/>
        <v>0</v>
      </c>
      <c r="AF542" s="299"/>
      <c r="AG542" s="300"/>
      <c r="AH542" s="299"/>
      <c r="AI542" s="299"/>
      <c r="AJ542" s="300"/>
      <c r="AK542" s="299"/>
      <c r="AL542" s="301"/>
      <c r="AM542" s="314"/>
      <c r="AN542" s="301"/>
      <c r="AO542" s="302"/>
      <c r="AP542" s="301"/>
      <c r="AQ542" s="301"/>
      <c r="AR542" s="301"/>
      <c r="AS542" s="301"/>
      <c r="AT542" s="301"/>
      <c r="AU542" s="301"/>
      <c r="AV542" s="301"/>
      <c r="AW542" s="301"/>
      <c r="AX542" s="301"/>
      <c r="AY542" s="301"/>
      <c r="AZ542" s="301"/>
      <c r="BA542" s="301"/>
      <c r="BB542" s="301"/>
      <c r="BC542" s="301"/>
      <c r="BD542" s="301"/>
      <c r="BE542" s="301"/>
      <c r="BF542" s="301"/>
      <c r="BG542" s="303"/>
      <c r="BH542" s="304"/>
    </row>
    <row r="543" spans="1:60" s="305" customFormat="1" ht="16.5" hidden="1" customHeight="1" x14ac:dyDescent="0.4">
      <c r="A543" s="285">
        <v>520</v>
      </c>
      <c r="B543" s="286"/>
      <c r="C543" s="286"/>
      <c r="D543" s="287" t="s">
        <v>92</v>
      </c>
      <c r="E543" s="287" t="s">
        <v>235</v>
      </c>
      <c r="F543" s="288" t="s">
        <v>92</v>
      </c>
      <c r="G543" s="289" t="s">
        <v>689</v>
      </c>
      <c r="H543" s="307"/>
      <c r="I543" s="290"/>
      <c r="J543" s="291" t="s">
        <v>87</v>
      </c>
      <c r="K543" s="287"/>
      <c r="L543" s="287"/>
      <c r="M543" s="287">
        <v>42558</v>
      </c>
      <c r="N543" s="287" t="s">
        <v>32</v>
      </c>
      <c r="O543" s="287" t="s">
        <v>33</v>
      </c>
      <c r="P543" s="287" t="s">
        <v>44</v>
      </c>
      <c r="Q543" s="287" t="s">
        <v>49</v>
      </c>
      <c r="R543" s="287" t="s">
        <v>29</v>
      </c>
      <c r="S543" s="292" t="s">
        <v>29</v>
      </c>
      <c r="T543" s="293"/>
      <c r="U543" s="294">
        <v>200195410</v>
      </c>
      <c r="V543" s="294">
        <v>123632550</v>
      </c>
      <c r="W543" s="295">
        <v>90349840</v>
      </c>
      <c r="X543" s="296"/>
      <c r="Y543" s="287" t="s">
        <v>28</v>
      </c>
      <c r="Z543" s="297" t="s">
        <v>28</v>
      </c>
      <c r="AA543" s="313"/>
      <c r="AB543" s="313"/>
      <c r="AC543" s="298">
        <f t="shared" si="20"/>
        <v>157500000</v>
      </c>
      <c r="AD543" s="298">
        <v>157500000</v>
      </c>
      <c r="AE543" s="298">
        <f t="shared" si="21"/>
        <v>0</v>
      </c>
      <c r="AF543" s="299"/>
      <c r="AG543" s="300"/>
      <c r="AH543" s="299"/>
      <c r="AI543" s="299"/>
      <c r="AJ543" s="300"/>
      <c r="AK543" s="299"/>
      <c r="AL543" s="301"/>
      <c r="AM543" s="314"/>
      <c r="AN543" s="301"/>
      <c r="AO543" s="302"/>
      <c r="AP543" s="301"/>
      <c r="AQ543" s="301"/>
      <c r="AR543" s="301"/>
      <c r="AS543" s="301"/>
      <c r="AT543" s="301"/>
      <c r="AU543" s="301"/>
      <c r="AV543" s="301"/>
      <c r="AW543" s="301"/>
      <c r="AX543" s="301"/>
      <c r="AY543" s="301"/>
      <c r="AZ543" s="301"/>
      <c r="BA543" s="301"/>
      <c r="BB543" s="301"/>
      <c r="BC543" s="301"/>
      <c r="BD543" s="301"/>
      <c r="BE543" s="301">
        <v>157500000</v>
      </c>
      <c r="BF543" s="301"/>
      <c r="BG543" s="303"/>
      <c r="BH543" s="304"/>
    </row>
    <row r="544" spans="1:60" s="305" customFormat="1" ht="16.5" hidden="1" customHeight="1" x14ac:dyDescent="0.4">
      <c r="A544" s="285">
        <v>521</v>
      </c>
      <c r="B544" s="286"/>
      <c r="C544" s="286"/>
      <c r="D544" s="287" t="s">
        <v>92</v>
      </c>
      <c r="E544" s="287" t="s">
        <v>235</v>
      </c>
      <c r="F544" s="288" t="s">
        <v>92</v>
      </c>
      <c r="G544" s="289" t="s">
        <v>689</v>
      </c>
      <c r="H544" s="307"/>
      <c r="I544" s="290"/>
      <c r="J544" s="291" t="s">
        <v>87</v>
      </c>
      <c r="K544" s="287"/>
      <c r="L544" s="287"/>
      <c r="M544" s="287">
        <v>42558</v>
      </c>
      <c r="N544" s="287" t="s">
        <v>32</v>
      </c>
      <c r="O544" s="287" t="s">
        <v>33</v>
      </c>
      <c r="P544" s="287" t="s">
        <v>44</v>
      </c>
      <c r="Q544" s="287" t="s">
        <v>27</v>
      </c>
      <c r="R544" s="287" t="s">
        <v>340</v>
      </c>
      <c r="S544" s="292" t="s">
        <v>340</v>
      </c>
      <c r="T544" s="293"/>
      <c r="U544" s="294" t="s">
        <v>97</v>
      </c>
      <c r="V544" s="294">
        <v>0</v>
      </c>
      <c r="W544" s="295"/>
      <c r="X544" s="296"/>
      <c r="Y544" s="287" t="s">
        <v>26</v>
      </c>
      <c r="Z544" s="297" t="s">
        <v>26</v>
      </c>
      <c r="AA544" s="313"/>
      <c r="AB544" s="313"/>
      <c r="AC544" s="298">
        <f t="shared" si="20"/>
        <v>5000000</v>
      </c>
      <c r="AD544" s="298">
        <v>5000000</v>
      </c>
      <c r="AE544" s="298">
        <f t="shared" si="21"/>
        <v>0</v>
      </c>
      <c r="AF544" s="299"/>
      <c r="AG544" s="300"/>
      <c r="AH544" s="299"/>
      <c r="AI544" s="299"/>
      <c r="AJ544" s="300"/>
      <c r="AK544" s="299"/>
      <c r="AL544" s="301"/>
      <c r="AM544" s="314"/>
      <c r="AN544" s="301"/>
      <c r="AO544" s="302"/>
      <c r="AP544" s="301"/>
      <c r="AQ544" s="301"/>
      <c r="AR544" s="301"/>
      <c r="AS544" s="301"/>
      <c r="AT544" s="301"/>
      <c r="AU544" s="301">
        <v>5000000</v>
      </c>
      <c r="AV544" s="301"/>
      <c r="AW544" s="301"/>
      <c r="AX544" s="301"/>
      <c r="AY544" s="301"/>
      <c r="AZ544" s="301"/>
      <c r="BA544" s="301"/>
      <c r="BB544" s="301"/>
      <c r="BC544" s="301"/>
      <c r="BD544" s="301"/>
      <c r="BE544" s="301"/>
      <c r="BF544" s="301"/>
      <c r="BG544" s="303"/>
      <c r="BH544" s="304"/>
    </row>
    <row r="545" spans="1:60" s="305" customFormat="1" ht="16.5" hidden="1" customHeight="1" x14ac:dyDescent="0.4">
      <c r="A545" s="285">
        <v>522</v>
      </c>
      <c r="B545" s="286"/>
      <c r="C545" s="286"/>
      <c r="D545" s="287" t="s">
        <v>92</v>
      </c>
      <c r="E545" s="287" t="s">
        <v>184</v>
      </c>
      <c r="F545" s="288" t="s">
        <v>92</v>
      </c>
      <c r="G545" s="289" t="s">
        <v>689</v>
      </c>
      <c r="H545" s="307"/>
      <c r="I545" s="290"/>
      <c r="J545" s="291" t="s">
        <v>192</v>
      </c>
      <c r="K545" s="287"/>
      <c r="L545" s="287"/>
      <c r="M545" s="287">
        <v>6749</v>
      </c>
      <c r="N545" s="287" t="s">
        <v>40</v>
      </c>
      <c r="O545" s="287" t="s">
        <v>43</v>
      </c>
      <c r="P545" s="287" t="s">
        <v>44</v>
      </c>
      <c r="Q545" s="287" t="s">
        <v>19</v>
      </c>
      <c r="R545" s="287" t="s">
        <v>20</v>
      </c>
      <c r="S545" s="292" t="s">
        <v>31</v>
      </c>
      <c r="T545" s="293"/>
      <c r="U545" s="294"/>
      <c r="V545" s="294">
        <v>2478000</v>
      </c>
      <c r="W545" s="295">
        <v>2401000</v>
      </c>
      <c r="X545" s="296"/>
      <c r="Y545" s="287" t="s">
        <v>28</v>
      </c>
      <c r="Z545" s="297" t="s">
        <v>28</v>
      </c>
      <c r="AA545" s="313"/>
      <c r="AB545" s="313"/>
      <c r="AC545" s="298">
        <f t="shared" si="20"/>
        <v>2413000</v>
      </c>
      <c r="AD545" s="298">
        <v>2413000</v>
      </c>
      <c r="AE545" s="298">
        <f t="shared" si="21"/>
        <v>0</v>
      </c>
      <c r="AF545" s="299"/>
      <c r="AG545" s="300"/>
      <c r="AH545" s="299"/>
      <c r="AI545" s="299">
        <v>413000</v>
      </c>
      <c r="AJ545" s="300"/>
      <c r="AK545" s="299"/>
      <c r="AL545" s="301">
        <v>413000</v>
      </c>
      <c r="AM545" s="314">
        <v>413000</v>
      </c>
      <c r="AN545" s="301"/>
      <c r="AO545" s="302"/>
      <c r="AP545" s="301"/>
      <c r="AQ545" s="301"/>
      <c r="AR545" s="301"/>
      <c r="AS545" s="301">
        <v>1000000</v>
      </c>
      <c r="AT545" s="301"/>
      <c r="AU545" s="301"/>
      <c r="AV545" s="301"/>
      <c r="AW545" s="301"/>
      <c r="AX545" s="301"/>
      <c r="AY545" s="301"/>
      <c r="AZ545" s="301"/>
      <c r="BA545" s="301"/>
      <c r="BB545" s="301"/>
      <c r="BC545" s="301"/>
      <c r="BD545" s="301"/>
      <c r="BE545" s="301">
        <v>1000000</v>
      </c>
      <c r="BF545" s="301"/>
      <c r="BG545" s="303"/>
      <c r="BH545" s="304"/>
    </row>
    <row r="546" spans="1:60" s="305" customFormat="1" ht="16.5" hidden="1" customHeight="1" x14ac:dyDescent="0.4">
      <c r="A546" s="285">
        <v>523</v>
      </c>
      <c r="B546" s="286"/>
      <c r="C546" s="286"/>
      <c r="D546" s="287"/>
      <c r="E546" s="287"/>
      <c r="F546" s="288" t="s">
        <v>92</v>
      </c>
      <c r="G546" s="289" t="s">
        <v>535</v>
      </c>
      <c r="H546" s="307"/>
      <c r="I546" s="290"/>
      <c r="J546" s="291" t="s">
        <v>840</v>
      </c>
      <c r="K546" s="287" t="s">
        <v>841</v>
      </c>
      <c r="L546" s="287"/>
      <c r="M546" s="287">
        <v>24405</v>
      </c>
      <c r="N546" s="287"/>
      <c r="O546" s="287"/>
      <c r="P546" s="287"/>
      <c r="Q546" s="287"/>
      <c r="R546" s="287"/>
      <c r="S546" s="292" t="s">
        <v>20</v>
      </c>
      <c r="T546" s="293"/>
      <c r="U546" s="294"/>
      <c r="V546" s="294"/>
      <c r="W546" s="295"/>
      <c r="X546" s="296"/>
      <c r="Y546" s="287"/>
      <c r="Z546" s="297" t="s">
        <v>25</v>
      </c>
      <c r="AA546" s="313"/>
      <c r="AB546" s="313"/>
      <c r="AC546" s="298">
        <f t="shared" si="20"/>
        <v>0</v>
      </c>
      <c r="AD546" s="298">
        <v>0</v>
      </c>
      <c r="AE546" s="298">
        <f t="shared" si="21"/>
        <v>0</v>
      </c>
      <c r="AF546" s="299"/>
      <c r="AG546" s="300"/>
      <c r="AH546" s="299"/>
      <c r="AI546" s="299"/>
      <c r="AJ546" s="300"/>
      <c r="AK546" s="299"/>
      <c r="AL546" s="301">
        <v>100000</v>
      </c>
      <c r="AM546" s="314"/>
      <c r="AN546" s="301"/>
      <c r="AO546" s="302">
        <v>0</v>
      </c>
      <c r="AP546" s="301"/>
      <c r="AQ546" s="301">
        <v>0</v>
      </c>
      <c r="AR546" s="301"/>
      <c r="AS546" s="301">
        <v>0</v>
      </c>
      <c r="AT546" s="301"/>
      <c r="AU546" s="301">
        <v>0</v>
      </c>
      <c r="AV546" s="301"/>
      <c r="AW546" s="301">
        <v>0</v>
      </c>
      <c r="AX546" s="301"/>
      <c r="AY546" s="301">
        <v>0</v>
      </c>
      <c r="AZ546" s="301"/>
      <c r="BA546" s="301">
        <v>0</v>
      </c>
      <c r="BB546" s="301"/>
      <c r="BC546" s="301">
        <v>0</v>
      </c>
      <c r="BD546" s="301"/>
      <c r="BE546" s="301">
        <v>0</v>
      </c>
      <c r="BF546" s="301"/>
      <c r="BG546" s="303"/>
      <c r="BH546" s="304"/>
    </row>
    <row r="547" spans="1:60" s="305" customFormat="1" ht="16.5" customHeight="1" x14ac:dyDescent="0.4">
      <c r="A547" s="285">
        <v>524</v>
      </c>
      <c r="B547" s="286"/>
      <c r="C547" s="286"/>
      <c r="D547" s="287" t="s">
        <v>92</v>
      </c>
      <c r="E547" s="287" t="s">
        <v>184</v>
      </c>
      <c r="F547" s="288" t="s">
        <v>92</v>
      </c>
      <c r="G547" s="289" t="s">
        <v>535</v>
      </c>
      <c r="H547" s="307"/>
      <c r="I547" s="290"/>
      <c r="J547" s="291" t="s">
        <v>187</v>
      </c>
      <c r="K547" s="287"/>
      <c r="L547" s="287"/>
      <c r="M547" s="287">
        <v>59149</v>
      </c>
      <c r="N547" s="287"/>
      <c r="O547" s="287"/>
      <c r="P547" s="287"/>
      <c r="Q547" s="287" t="s">
        <v>49</v>
      </c>
      <c r="R547" s="287" t="s">
        <v>29</v>
      </c>
      <c r="S547" s="292" t="s">
        <v>29</v>
      </c>
      <c r="T547" s="293" t="s">
        <v>798</v>
      </c>
      <c r="U547" s="294"/>
      <c r="V547" s="294">
        <v>176602241</v>
      </c>
      <c r="W547" s="295">
        <v>236891261</v>
      </c>
      <c r="X547" s="296"/>
      <c r="Y547" s="287" t="s">
        <v>28</v>
      </c>
      <c r="Z547" s="297" t="s">
        <v>28</v>
      </c>
      <c r="AA547" s="313"/>
      <c r="AB547" s="313"/>
      <c r="AC547" s="298">
        <f t="shared" si="20"/>
        <v>190945093</v>
      </c>
      <c r="AD547" s="298">
        <v>188000000</v>
      </c>
      <c r="AE547" s="298">
        <f t="shared" si="21"/>
        <v>2945093</v>
      </c>
      <c r="AF547" s="299"/>
      <c r="AG547" s="300"/>
      <c r="AH547" s="299" t="s">
        <v>763</v>
      </c>
      <c r="AI547" s="299"/>
      <c r="AJ547" s="300"/>
      <c r="AK547" s="299" t="s">
        <v>794</v>
      </c>
      <c r="AL547" s="301">
        <v>43843112</v>
      </c>
      <c r="AM547" s="314"/>
      <c r="AN547" s="301" t="s">
        <v>853</v>
      </c>
      <c r="AO547" s="369">
        <v>22945093</v>
      </c>
      <c r="AP547" s="301"/>
      <c r="AQ547" s="301">
        <v>20000000</v>
      </c>
      <c r="AR547" s="301"/>
      <c r="AS547" s="301">
        <v>20000000</v>
      </c>
      <c r="AT547" s="301"/>
      <c r="AU547" s="301">
        <v>20000000</v>
      </c>
      <c r="AV547" s="301"/>
      <c r="AW547" s="301">
        <v>20000000</v>
      </c>
      <c r="AX547" s="301"/>
      <c r="AY547" s="301">
        <v>20000000</v>
      </c>
      <c r="AZ547" s="301"/>
      <c r="BA547" s="301">
        <v>20000000</v>
      </c>
      <c r="BB547" s="301"/>
      <c r="BC547" s="301">
        <v>20000000</v>
      </c>
      <c r="BD547" s="301"/>
      <c r="BE547" s="301">
        <v>28000000</v>
      </c>
      <c r="BF547" s="301"/>
      <c r="BG547" s="303"/>
      <c r="BH547" s="304"/>
    </row>
    <row r="548" spans="1:60" s="305" customFormat="1" ht="16.5" hidden="1" customHeight="1" x14ac:dyDescent="0.4">
      <c r="A548" s="285">
        <v>525</v>
      </c>
      <c r="B548" s="286"/>
      <c r="C548" s="286"/>
      <c r="D548" s="287" t="s">
        <v>92</v>
      </c>
      <c r="E548" s="287" t="s">
        <v>184</v>
      </c>
      <c r="F548" s="288" t="s">
        <v>92</v>
      </c>
      <c r="G548" s="289" t="s">
        <v>535</v>
      </c>
      <c r="H548" s="307"/>
      <c r="I548" s="290"/>
      <c r="J548" s="291" t="s">
        <v>187</v>
      </c>
      <c r="K548" s="287"/>
      <c r="L548" s="287"/>
      <c r="M548" s="287">
        <v>59149</v>
      </c>
      <c r="N548" s="287"/>
      <c r="O548" s="287"/>
      <c r="P548" s="287"/>
      <c r="Q548" s="287"/>
      <c r="R548" s="287" t="s">
        <v>342</v>
      </c>
      <c r="S548" s="292" t="s">
        <v>741</v>
      </c>
      <c r="T548" s="293"/>
      <c r="U548" s="294"/>
      <c r="V548" s="294"/>
      <c r="W548" s="295"/>
      <c r="X548" s="296"/>
      <c r="Y548" s="287" t="s">
        <v>28</v>
      </c>
      <c r="Z548" s="297" t="s">
        <v>25</v>
      </c>
      <c r="AA548" s="313"/>
      <c r="AB548" s="313"/>
      <c r="AC548" s="298">
        <f t="shared" si="20"/>
        <v>10000000</v>
      </c>
      <c r="AD548" s="298">
        <v>10000000</v>
      </c>
      <c r="AE548" s="298">
        <f t="shared" si="21"/>
        <v>0</v>
      </c>
      <c r="AF548" s="299"/>
      <c r="AG548" s="300"/>
      <c r="AH548" s="299"/>
      <c r="AI548" s="299"/>
      <c r="AJ548" s="300"/>
      <c r="AK548" s="299"/>
      <c r="AL548" s="301"/>
      <c r="AM548" s="314"/>
      <c r="AN548" s="301"/>
      <c r="AO548" s="302"/>
      <c r="AP548" s="301"/>
      <c r="AQ548" s="316">
        <v>10000000</v>
      </c>
      <c r="AR548" s="301"/>
      <c r="AS548" s="301"/>
      <c r="AT548" s="301"/>
      <c r="AU548" s="301"/>
      <c r="AV548" s="301"/>
      <c r="AW548" s="301"/>
      <c r="AX548" s="301"/>
      <c r="AY548" s="301"/>
      <c r="AZ548" s="301"/>
      <c r="BA548" s="301"/>
      <c r="BB548" s="301"/>
      <c r="BC548" s="301"/>
      <c r="BD548" s="301"/>
      <c r="BE548" s="301"/>
      <c r="BF548" s="301"/>
      <c r="BG548" s="303"/>
      <c r="BH548" s="304"/>
    </row>
    <row r="549" spans="1:60" s="305" customFormat="1" ht="16.5" hidden="1" customHeight="1" x14ac:dyDescent="0.4">
      <c r="A549" s="285">
        <v>526</v>
      </c>
      <c r="B549" s="286"/>
      <c r="C549" s="286"/>
      <c r="D549" s="287" t="s">
        <v>92</v>
      </c>
      <c r="E549" s="287" t="s">
        <v>184</v>
      </c>
      <c r="F549" s="288" t="s">
        <v>92</v>
      </c>
      <c r="G549" s="289" t="s">
        <v>535</v>
      </c>
      <c r="H549" s="307"/>
      <c r="I549" s="290"/>
      <c r="J549" s="291" t="s">
        <v>187</v>
      </c>
      <c r="K549" s="287"/>
      <c r="L549" s="287"/>
      <c r="M549" s="287">
        <v>59149</v>
      </c>
      <c r="N549" s="287"/>
      <c r="O549" s="287"/>
      <c r="P549" s="287"/>
      <c r="Q549" s="287"/>
      <c r="R549" s="287" t="s">
        <v>221</v>
      </c>
      <c r="S549" s="292" t="s">
        <v>745</v>
      </c>
      <c r="T549" s="293"/>
      <c r="U549" s="294"/>
      <c r="V549" s="294"/>
      <c r="W549" s="295"/>
      <c r="X549" s="296"/>
      <c r="Y549" s="287" t="s">
        <v>28</v>
      </c>
      <c r="Z549" s="297" t="s">
        <v>25</v>
      </c>
      <c r="AA549" s="313"/>
      <c r="AB549" s="313"/>
      <c r="AC549" s="298">
        <f t="shared" si="20"/>
        <v>5000000</v>
      </c>
      <c r="AD549" s="298">
        <v>5000000</v>
      </c>
      <c r="AE549" s="298">
        <f t="shared" si="21"/>
        <v>0</v>
      </c>
      <c r="AF549" s="299"/>
      <c r="AG549" s="300"/>
      <c r="AH549" s="299"/>
      <c r="AI549" s="299"/>
      <c r="AJ549" s="300"/>
      <c r="AK549" s="299"/>
      <c r="AL549" s="301"/>
      <c r="AM549" s="314"/>
      <c r="AN549" s="301"/>
      <c r="AO549" s="302"/>
      <c r="AP549" s="301"/>
      <c r="AQ549" s="301"/>
      <c r="AR549" s="301"/>
      <c r="AS549" s="301">
        <v>5000000</v>
      </c>
      <c r="AT549" s="301"/>
      <c r="AU549" s="301"/>
      <c r="AV549" s="301"/>
      <c r="AW549" s="301"/>
      <c r="AX549" s="301"/>
      <c r="AY549" s="301"/>
      <c r="AZ549" s="301"/>
      <c r="BA549" s="301"/>
      <c r="BB549" s="301"/>
      <c r="BC549" s="301"/>
      <c r="BD549" s="301"/>
      <c r="BE549" s="301"/>
      <c r="BF549" s="301"/>
      <c r="BG549" s="303"/>
      <c r="BH549" s="304"/>
    </row>
    <row r="550" spans="1:60" s="305" customFormat="1" ht="16.5" hidden="1" customHeight="1" x14ac:dyDescent="0.4">
      <c r="A550" s="285">
        <v>527</v>
      </c>
      <c r="B550" s="286"/>
      <c r="C550" s="286"/>
      <c r="D550" s="287" t="s">
        <v>92</v>
      </c>
      <c r="E550" s="287" t="s">
        <v>184</v>
      </c>
      <c r="F550" s="288" t="s">
        <v>92</v>
      </c>
      <c r="G550" s="289" t="s">
        <v>535</v>
      </c>
      <c r="H550" s="307"/>
      <c r="I550" s="290"/>
      <c r="J550" s="291" t="s">
        <v>613</v>
      </c>
      <c r="K550" s="287"/>
      <c r="L550" s="287"/>
      <c r="M550" s="287">
        <v>59149</v>
      </c>
      <c r="N550" s="287"/>
      <c r="O550" s="287"/>
      <c r="P550" s="287"/>
      <c r="Q550" s="287"/>
      <c r="R550" s="287" t="s">
        <v>338</v>
      </c>
      <c r="S550" s="292" t="s">
        <v>753</v>
      </c>
      <c r="T550" s="293"/>
      <c r="U550" s="294"/>
      <c r="V550" s="294"/>
      <c r="W550" s="295"/>
      <c r="X550" s="296"/>
      <c r="Y550" s="287" t="s">
        <v>28</v>
      </c>
      <c r="Z550" s="297" t="s">
        <v>25</v>
      </c>
      <c r="AA550" s="313"/>
      <c r="AB550" s="313"/>
      <c r="AC550" s="298">
        <f t="shared" si="20"/>
        <v>1000000</v>
      </c>
      <c r="AD550" s="298">
        <v>1000000</v>
      </c>
      <c r="AE550" s="298">
        <f t="shared" si="21"/>
        <v>0</v>
      </c>
      <c r="AF550" s="299"/>
      <c r="AG550" s="300"/>
      <c r="AH550" s="299"/>
      <c r="AI550" s="299"/>
      <c r="AJ550" s="300"/>
      <c r="AK550" s="299"/>
      <c r="AL550" s="301"/>
      <c r="AM550" s="314"/>
      <c r="AN550" s="301"/>
      <c r="AO550" s="302"/>
      <c r="AP550" s="301"/>
      <c r="AQ550" s="301"/>
      <c r="AR550" s="301"/>
      <c r="AS550" s="301"/>
      <c r="AT550" s="301"/>
      <c r="AU550" s="301"/>
      <c r="AV550" s="301"/>
      <c r="AW550" s="301"/>
      <c r="AX550" s="301"/>
      <c r="AY550" s="301">
        <v>1000000</v>
      </c>
      <c r="AZ550" s="301"/>
      <c r="BA550" s="301"/>
      <c r="BB550" s="301"/>
      <c r="BC550" s="301"/>
      <c r="BD550" s="301"/>
      <c r="BE550" s="301"/>
      <c r="BF550" s="301"/>
      <c r="BG550" s="303"/>
      <c r="BH550" s="304"/>
    </row>
    <row r="551" spans="1:60" s="305" customFormat="1" ht="16.5" hidden="1" customHeight="1" x14ac:dyDescent="0.4">
      <c r="A551" s="285">
        <v>528</v>
      </c>
      <c r="B551" s="286"/>
      <c r="C551" s="286"/>
      <c r="D551" s="287" t="s">
        <v>92</v>
      </c>
      <c r="E551" s="287" t="s">
        <v>184</v>
      </c>
      <c r="F551" s="288" t="s">
        <v>92</v>
      </c>
      <c r="G551" s="289" t="s">
        <v>535</v>
      </c>
      <c r="H551" s="307"/>
      <c r="I551" s="290"/>
      <c r="J551" s="291" t="s">
        <v>188</v>
      </c>
      <c r="K551" s="287"/>
      <c r="L551" s="287"/>
      <c r="M551" s="287">
        <v>21827</v>
      </c>
      <c r="N551" s="287"/>
      <c r="O551" s="287"/>
      <c r="P551" s="287"/>
      <c r="Q551" s="287" t="s">
        <v>19</v>
      </c>
      <c r="R551" s="287" t="s">
        <v>20</v>
      </c>
      <c r="S551" s="292" t="s">
        <v>20</v>
      </c>
      <c r="T551" s="293"/>
      <c r="U551" s="294">
        <v>3064000</v>
      </c>
      <c r="V551" s="294">
        <v>2975310</v>
      </c>
      <c r="W551" s="295">
        <v>704030</v>
      </c>
      <c r="X551" s="296"/>
      <c r="Y551" s="287" t="s">
        <v>28</v>
      </c>
      <c r="Z551" s="297" t="s">
        <v>25</v>
      </c>
      <c r="AA551" s="313"/>
      <c r="AB551" s="313"/>
      <c r="AC551" s="298">
        <f t="shared" si="20"/>
        <v>1800000</v>
      </c>
      <c r="AD551" s="298">
        <v>1800000</v>
      </c>
      <c r="AE551" s="298">
        <f t="shared" si="21"/>
        <v>0</v>
      </c>
      <c r="AF551" s="299">
        <v>0</v>
      </c>
      <c r="AG551" s="300"/>
      <c r="AH551" s="299"/>
      <c r="AI551" s="299">
        <v>0</v>
      </c>
      <c r="AJ551" s="300"/>
      <c r="AK551" s="299"/>
      <c r="AL551" s="301"/>
      <c r="AM551" s="314"/>
      <c r="AN551" s="301"/>
      <c r="AO551" s="302">
        <v>200000</v>
      </c>
      <c r="AP551" s="301"/>
      <c r="AQ551" s="301">
        <v>200000</v>
      </c>
      <c r="AR551" s="301"/>
      <c r="AS551" s="301">
        <v>200000</v>
      </c>
      <c r="AT551" s="301"/>
      <c r="AU551" s="301">
        <v>200000</v>
      </c>
      <c r="AV551" s="301"/>
      <c r="AW551" s="301">
        <v>200000</v>
      </c>
      <c r="AX551" s="301"/>
      <c r="AY551" s="301">
        <v>200000</v>
      </c>
      <c r="AZ551" s="301"/>
      <c r="BA551" s="301">
        <v>200000</v>
      </c>
      <c r="BB551" s="301"/>
      <c r="BC551" s="301">
        <v>200000</v>
      </c>
      <c r="BD551" s="301"/>
      <c r="BE551" s="301">
        <v>200000</v>
      </c>
      <c r="BF551" s="301"/>
      <c r="BG551" s="303"/>
      <c r="BH551" s="304"/>
    </row>
    <row r="552" spans="1:60" s="305" customFormat="1" ht="16.5" hidden="1" customHeight="1" x14ac:dyDescent="0.4">
      <c r="A552" s="285">
        <v>529</v>
      </c>
      <c r="B552" s="286"/>
      <c r="C552" s="286"/>
      <c r="D552" s="287" t="s">
        <v>92</v>
      </c>
      <c r="E552" s="287" t="s">
        <v>184</v>
      </c>
      <c r="F552" s="288" t="s">
        <v>92</v>
      </c>
      <c r="G552" s="289" t="s">
        <v>535</v>
      </c>
      <c r="H552" s="307"/>
      <c r="I552" s="290"/>
      <c r="J552" s="291" t="s">
        <v>493</v>
      </c>
      <c r="K552" s="287"/>
      <c r="L552" s="287"/>
      <c r="M552" s="287">
        <v>297</v>
      </c>
      <c r="N552" s="287"/>
      <c r="O552" s="287"/>
      <c r="P552" s="287"/>
      <c r="Q552" s="287" t="s">
        <v>19</v>
      </c>
      <c r="R552" s="287" t="s">
        <v>20</v>
      </c>
      <c r="S552" s="292" t="s">
        <v>20</v>
      </c>
      <c r="T552" s="293"/>
      <c r="U552" s="294">
        <v>11020000</v>
      </c>
      <c r="V552" s="294">
        <v>0</v>
      </c>
      <c r="W552" s="295"/>
      <c r="X552" s="296"/>
      <c r="Y552" s="287" t="s">
        <v>22</v>
      </c>
      <c r="Z552" s="297" t="s">
        <v>618</v>
      </c>
      <c r="AA552" s="313"/>
      <c r="AB552" s="313"/>
      <c r="AC552" s="298">
        <f t="shared" si="20"/>
        <v>0</v>
      </c>
      <c r="AD552" s="298">
        <v>0</v>
      </c>
      <c r="AE552" s="298">
        <f t="shared" si="21"/>
        <v>0</v>
      </c>
      <c r="AF552" s="299"/>
      <c r="AG552" s="300"/>
      <c r="AH552" s="299"/>
      <c r="AI552" s="299"/>
      <c r="AJ552" s="300"/>
      <c r="AK552" s="299"/>
      <c r="AL552" s="301"/>
      <c r="AM552" s="314"/>
      <c r="AN552" s="301"/>
      <c r="AO552" s="302"/>
      <c r="AP552" s="301"/>
      <c r="AQ552" s="301"/>
      <c r="AR552" s="301"/>
      <c r="AS552" s="301"/>
      <c r="AT552" s="301"/>
      <c r="AU552" s="301"/>
      <c r="AV552" s="301"/>
      <c r="AW552" s="301"/>
      <c r="AX552" s="301"/>
      <c r="AY552" s="301"/>
      <c r="AZ552" s="301"/>
      <c r="BA552" s="301"/>
      <c r="BB552" s="301"/>
      <c r="BC552" s="301"/>
      <c r="BD552" s="301"/>
      <c r="BE552" s="301"/>
      <c r="BF552" s="301"/>
      <c r="BG552" s="303"/>
      <c r="BH552" s="304"/>
    </row>
    <row r="553" spans="1:60" s="305" customFormat="1" ht="16.5" hidden="1" customHeight="1" x14ac:dyDescent="0.4">
      <c r="A553" s="285">
        <v>530</v>
      </c>
      <c r="B553" s="286"/>
      <c r="C553" s="286"/>
      <c r="D553" s="287"/>
      <c r="E553" s="287"/>
      <c r="F553" s="288" t="s">
        <v>92</v>
      </c>
      <c r="G553" s="289" t="s">
        <v>535</v>
      </c>
      <c r="H553" s="307"/>
      <c r="I553" s="290"/>
      <c r="J553" s="291" t="s">
        <v>787</v>
      </c>
      <c r="K553" s="287"/>
      <c r="L553" s="287"/>
      <c r="M553" s="287">
        <v>65679</v>
      </c>
      <c r="N553" s="287"/>
      <c r="O553" s="287"/>
      <c r="P553" s="287"/>
      <c r="Q553" s="287"/>
      <c r="R553" s="287"/>
      <c r="S553" s="292" t="s">
        <v>753</v>
      </c>
      <c r="T553" s="293"/>
      <c r="U553" s="294"/>
      <c r="V553" s="294"/>
      <c r="W553" s="295">
        <v>2400000</v>
      </c>
      <c r="X553" s="296"/>
      <c r="Y553" s="287"/>
      <c r="Z553" s="297" t="s">
        <v>656</v>
      </c>
      <c r="AA553" s="313"/>
      <c r="AB553" s="313"/>
      <c r="AC553" s="298">
        <f t="shared" si="20"/>
        <v>0</v>
      </c>
      <c r="AD553" s="298">
        <v>0</v>
      </c>
      <c r="AE553" s="298">
        <f t="shared" si="21"/>
        <v>0</v>
      </c>
      <c r="AF553" s="299"/>
      <c r="AG553" s="300"/>
      <c r="AH553" s="299"/>
      <c r="AI553" s="299"/>
      <c r="AJ553" s="300"/>
      <c r="AK553" s="299"/>
      <c r="AL553" s="301"/>
      <c r="AM553" s="314"/>
      <c r="AN553" s="301"/>
      <c r="AO553" s="302"/>
      <c r="AP553" s="301"/>
      <c r="AQ553" s="301"/>
      <c r="AR553" s="301"/>
      <c r="AS553" s="301"/>
      <c r="AT553" s="301"/>
      <c r="AU553" s="301"/>
      <c r="AV553" s="301"/>
      <c r="AW553" s="301"/>
      <c r="AX553" s="301"/>
      <c r="AY553" s="301"/>
      <c r="AZ553" s="301"/>
      <c r="BA553" s="301"/>
      <c r="BB553" s="301"/>
      <c r="BC553" s="301"/>
      <c r="BD553" s="301"/>
      <c r="BE553" s="301"/>
      <c r="BF553" s="301"/>
      <c r="BG553" s="303"/>
      <c r="BH553" s="304"/>
    </row>
    <row r="554" spans="1:60" s="305" customFormat="1" ht="16.5" customHeight="1" x14ac:dyDescent="0.4">
      <c r="A554" s="285">
        <v>531</v>
      </c>
      <c r="B554" s="286"/>
      <c r="C554" s="286"/>
      <c r="D554" s="287" t="s">
        <v>92</v>
      </c>
      <c r="E554" s="287" t="s">
        <v>535</v>
      </c>
      <c r="F554" s="288" t="s">
        <v>92</v>
      </c>
      <c r="G554" s="289" t="s">
        <v>535</v>
      </c>
      <c r="H554" s="307"/>
      <c r="I554" s="290"/>
      <c r="J554" s="291" t="s">
        <v>832</v>
      </c>
      <c r="K554" s="287"/>
      <c r="L554" s="287"/>
      <c r="M554" s="287">
        <v>11800</v>
      </c>
      <c r="N554" s="287" t="s">
        <v>35</v>
      </c>
      <c r="O554" s="287"/>
      <c r="P554" s="287"/>
      <c r="Q554" s="287" t="s">
        <v>99</v>
      </c>
      <c r="R554" s="287" t="s">
        <v>20</v>
      </c>
      <c r="S554" s="292" t="s">
        <v>751</v>
      </c>
      <c r="T554" s="293"/>
      <c r="U554" s="294"/>
      <c r="V554" s="294">
        <v>436331300</v>
      </c>
      <c r="W554" s="295">
        <v>545999500</v>
      </c>
      <c r="X554" s="296"/>
      <c r="Y554" s="287" t="s">
        <v>28</v>
      </c>
      <c r="Z554" s="297" t="s">
        <v>28</v>
      </c>
      <c r="AA554" s="313"/>
      <c r="AB554" s="313"/>
      <c r="AC554" s="298">
        <f t="shared" si="20"/>
        <v>436239200</v>
      </c>
      <c r="AD554" s="298">
        <v>436239200</v>
      </c>
      <c r="AE554" s="298">
        <f t="shared" si="21"/>
        <v>0</v>
      </c>
      <c r="AF554" s="299">
        <v>66507260</v>
      </c>
      <c r="AG554" s="300">
        <v>68801200</v>
      </c>
      <c r="AH554" s="299"/>
      <c r="AI554" s="299">
        <v>33000000</v>
      </c>
      <c r="AJ554" s="300">
        <v>32180700</v>
      </c>
      <c r="AK554" s="299" t="s">
        <v>795</v>
      </c>
      <c r="AL554" s="301">
        <v>38257300</v>
      </c>
      <c r="AM554" s="314">
        <v>38257300</v>
      </c>
      <c r="AN554" s="301"/>
      <c r="AO554" s="302">
        <v>33000000</v>
      </c>
      <c r="AP554" s="301"/>
      <c r="AQ554" s="301">
        <v>33000000</v>
      </c>
      <c r="AR554" s="301"/>
      <c r="AS554" s="301">
        <v>33000000</v>
      </c>
      <c r="AT554" s="301"/>
      <c r="AU554" s="301">
        <v>33000000</v>
      </c>
      <c r="AV554" s="301"/>
      <c r="AW554" s="301">
        <v>33000000</v>
      </c>
      <c r="AX554" s="301"/>
      <c r="AY554" s="301">
        <v>33000000</v>
      </c>
      <c r="AZ554" s="301"/>
      <c r="BA554" s="301">
        <v>33000000</v>
      </c>
      <c r="BB554" s="301"/>
      <c r="BC554" s="301">
        <v>33000000</v>
      </c>
      <c r="BD554" s="301"/>
      <c r="BE554" s="301">
        <v>33000000</v>
      </c>
      <c r="BF554" s="301" t="s">
        <v>722</v>
      </c>
      <c r="BG554" s="303"/>
      <c r="BH554" s="304"/>
    </row>
    <row r="555" spans="1:60" s="305" customFormat="1" ht="16.5" hidden="1" customHeight="1" x14ac:dyDescent="0.4">
      <c r="A555" s="285">
        <v>532</v>
      </c>
      <c r="B555" s="286"/>
      <c r="C555" s="286"/>
      <c r="D555" s="287"/>
      <c r="E555" s="287"/>
      <c r="F555" s="288" t="s">
        <v>92</v>
      </c>
      <c r="G555" s="289" t="s">
        <v>535</v>
      </c>
      <c r="H555" s="307"/>
      <c r="I555" s="290"/>
      <c r="J555" s="291" t="s">
        <v>786</v>
      </c>
      <c r="K555" s="287"/>
      <c r="L555" s="287"/>
      <c r="M555" s="287">
        <v>59655</v>
      </c>
      <c r="N555" s="287"/>
      <c r="O555" s="287"/>
      <c r="P555" s="287"/>
      <c r="Q555" s="287"/>
      <c r="R555" s="287"/>
      <c r="S555" s="292" t="s">
        <v>31</v>
      </c>
      <c r="T555" s="293"/>
      <c r="U555" s="294"/>
      <c r="V555" s="294"/>
      <c r="W555" s="295">
        <v>666000</v>
      </c>
      <c r="X555" s="296"/>
      <c r="Y555" s="287"/>
      <c r="Z555" s="297" t="s">
        <v>656</v>
      </c>
      <c r="AA555" s="313"/>
      <c r="AB555" s="313"/>
      <c r="AC555" s="298">
        <f t="shared" si="20"/>
        <v>0</v>
      </c>
      <c r="AD555" s="298">
        <v>0</v>
      </c>
      <c r="AE555" s="298">
        <f t="shared" si="21"/>
        <v>0</v>
      </c>
      <c r="AF555" s="299"/>
      <c r="AG555" s="300"/>
      <c r="AH555" s="299"/>
      <c r="AI555" s="299"/>
      <c r="AJ555" s="300"/>
      <c r="AK555" s="299"/>
      <c r="AL555" s="301"/>
      <c r="AM555" s="314"/>
      <c r="AN555" s="301"/>
      <c r="AO555" s="302"/>
      <c r="AP555" s="301"/>
      <c r="AQ555" s="301"/>
      <c r="AR555" s="301"/>
      <c r="AS555" s="301"/>
      <c r="AT555" s="301"/>
      <c r="AU555" s="301"/>
      <c r="AV555" s="301"/>
      <c r="AW555" s="301"/>
      <c r="AX555" s="301"/>
      <c r="AY555" s="301"/>
      <c r="AZ555" s="301"/>
      <c r="BA555" s="301"/>
      <c r="BB555" s="301"/>
      <c r="BC555" s="301"/>
      <c r="BD555" s="301"/>
      <c r="BE555" s="301"/>
      <c r="BF555" s="301"/>
      <c r="BG555" s="303"/>
      <c r="BH555" s="304"/>
    </row>
    <row r="556" spans="1:60" s="305" customFormat="1" ht="16.5" customHeight="1" x14ac:dyDescent="0.4">
      <c r="A556" s="285">
        <v>533</v>
      </c>
      <c r="B556" s="286"/>
      <c r="C556" s="286"/>
      <c r="D556" s="287" t="s">
        <v>92</v>
      </c>
      <c r="E556" s="287" t="s">
        <v>184</v>
      </c>
      <c r="F556" s="288" t="s">
        <v>92</v>
      </c>
      <c r="G556" s="289" t="s">
        <v>535</v>
      </c>
      <c r="H556" s="307"/>
      <c r="I556" s="290"/>
      <c r="J556" s="291" t="s">
        <v>824</v>
      </c>
      <c r="K556" s="287"/>
      <c r="L556" s="287"/>
      <c r="M556" s="287">
        <v>59148</v>
      </c>
      <c r="N556" s="287" t="s">
        <v>97</v>
      </c>
      <c r="O556" s="287" t="s">
        <v>101</v>
      </c>
      <c r="P556" s="287" t="s">
        <v>44</v>
      </c>
      <c r="Q556" s="287" t="s">
        <v>49</v>
      </c>
      <c r="R556" s="287" t="s">
        <v>29</v>
      </c>
      <c r="S556" s="292" t="s">
        <v>29</v>
      </c>
      <c r="T556" s="293" t="s">
        <v>798</v>
      </c>
      <c r="U556" s="294">
        <v>6520000</v>
      </c>
      <c r="V556" s="294">
        <v>1102475277</v>
      </c>
      <c r="W556" s="295">
        <v>1120677694</v>
      </c>
      <c r="X556" s="296"/>
      <c r="Y556" s="287" t="s">
        <v>28</v>
      </c>
      <c r="Z556" s="297" t="s">
        <v>28</v>
      </c>
      <c r="AA556" s="313"/>
      <c r="AB556" s="313"/>
      <c r="AC556" s="298">
        <f t="shared" si="20"/>
        <v>1248204820</v>
      </c>
      <c r="AD556" s="298">
        <v>1250901442</v>
      </c>
      <c r="AE556" s="298">
        <f t="shared" si="21"/>
        <v>-2696622</v>
      </c>
      <c r="AF556" s="299">
        <v>74134538</v>
      </c>
      <c r="AG556" s="300">
        <v>74134490</v>
      </c>
      <c r="AH556" s="299"/>
      <c r="AI556" s="299">
        <v>88091500</v>
      </c>
      <c r="AJ556" s="300">
        <v>88091500</v>
      </c>
      <c r="AK556" s="299"/>
      <c r="AL556" s="301">
        <v>84832340</v>
      </c>
      <c r="AM556" s="314">
        <v>128675452</v>
      </c>
      <c r="AN556" s="301"/>
      <c r="AO556" s="369">
        <v>87303378</v>
      </c>
      <c r="AP556" s="301"/>
      <c r="AQ556" s="314">
        <v>100000000</v>
      </c>
      <c r="AR556" s="301"/>
      <c r="AS556" s="301">
        <v>110000000</v>
      </c>
      <c r="AT556" s="301"/>
      <c r="AU556" s="301">
        <v>110000000</v>
      </c>
      <c r="AV556" s="301"/>
      <c r="AW556" s="301">
        <v>110000000</v>
      </c>
      <c r="AX556" s="301"/>
      <c r="AY556" s="301">
        <v>110000000</v>
      </c>
      <c r="AZ556" s="301"/>
      <c r="BA556" s="301">
        <v>110000000</v>
      </c>
      <c r="BB556" s="301"/>
      <c r="BC556" s="301">
        <v>110000000</v>
      </c>
      <c r="BD556" s="301"/>
      <c r="BE556" s="301">
        <v>110000000</v>
      </c>
      <c r="BF556" s="301"/>
      <c r="BG556" s="303"/>
      <c r="BH556" s="304"/>
    </row>
    <row r="557" spans="1:60" s="305" customFormat="1" ht="16.5" customHeight="1" x14ac:dyDescent="0.4">
      <c r="A557" s="285">
        <v>534</v>
      </c>
      <c r="B557" s="286"/>
      <c r="C557" s="286"/>
      <c r="D557" s="287" t="s">
        <v>92</v>
      </c>
      <c r="E557" s="287" t="s">
        <v>184</v>
      </c>
      <c r="F557" s="288" t="s">
        <v>92</v>
      </c>
      <c r="G557" s="289" t="s">
        <v>535</v>
      </c>
      <c r="H557" s="307"/>
      <c r="I557" s="290"/>
      <c r="J557" s="291" t="s">
        <v>326</v>
      </c>
      <c r="K557" s="287"/>
      <c r="L557" s="287"/>
      <c r="M557" s="287">
        <v>59148</v>
      </c>
      <c r="N557" s="287"/>
      <c r="O557" s="287"/>
      <c r="P557" s="287"/>
      <c r="Q557" s="287" t="s">
        <v>19</v>
      </c>
      <c r="R557" s="287" t="s">
        <v>20</v>
      </c>
      <c r="S557" s="292" t="s">
        <v>20</v>
      </c>
      <c r="T557" s="293"/>
      <c r="U557" s="294" t="s">
        <v>97</v>
      </c>
      <c r="V557" s="294">
        <v>8610000</v>
      </c>
      <c r="W557" s="295"/>
      <c r="X557" s="296"/>
      <c r="Y557" s="287" t="s">
        <v>21</v>
      </c>
      <c r="Z557" s="297" t="s">
        <v>28</v>
      </c>
      <c r="AA557" s="313"/>
      <c r="AB557" s="313"/>
      <c r="AC557" s="298">
        <f t="shared" si="20"/>
        <v>99000000</v>
      </c>
      <c r="AD557" s="298">
        <v>99000000</v>
      </c>
      <c r="AE557" s="298">
        <f t="shared" si="21"/>
        <v>0</v>
      </c>
      <c r="AF557" s="299"/>
      <c r="AG557" s="300"/>
      <c r="AH557" s="299"/>
      <c r="AI557" s="299"/>
      <c r="AJ557" s="300"/>
      <c r="AK557" s="299"/>
      <c r="AL557" s="301"/>
      <c r="AM557" s="314"/>
      <c r="AN557" s="301"/>
      <c r="AO557" s="302"/>
      <c r="AP557" s="301"/>
      <c r="AQ557" s="301"/>
      <c r="AR557" s="301"/>
      <c r="AS557" s="301"/>
      <c r="AT557" s="301"/>
      <c r="AU557" s="301"/>
      <c r="AV557" s="301"/>
      <c r="AW557" s="301"/>
      <c r="AX557" s="301"/>
      <c r="AY557" s="301"/>
      <c r="AZ557" s="301"/>
      <c r="BA557" s="301"/>
      <c r="BB557" s="301"/>
      <c r="BC557" s="301"/>
      <c r="BD557" s="301"/>
      <c r="BE557" s="301">
        <v>99000000</v>
      </c>
      <c r="BF557" s="301"/>
      <c r="BG557" s="303"/>
      <c r="BH557" s="304"/>
    </row>
    <row r="558" spans="1:60" s="305" customFormat="1" ht="16.5" hidden="1" customHeight="1" x14ac:dyDescent="0.4">
      <c r="A558" s="285">
        <v>535</v>
      </c>
      <c r="B558" s="286"/>
      <c r="C558" s="286"/>
      <c r="D558" s="287" t="s">
        <v>92</v>
      </c>
      <c r="E558" s="287" t="s">
        <v>184</v>
      </c>
      <c r="F558" s="288" t="s">
        <v>92</v>
      </c>
      <c r="G558" s="289" t="s">
        <v>535</v>
      </c>
      <c r="H558" s="307"/>
      <c r="I558" s="290"/>
      <c r="J558" s="291" t="s">
        <v>326</v>
      </c>
      <c r="K558" s="287"/>
      <c r="L558" s="287"/>
      <c r="M558" s="287">
        <v>59148</v>
      </c>
      <c r="N558" s="287"/>
      <c r="O558" s="287"/>
      <c r="P558" s="287"/>
      <c r="Q558" s="287" t="s">
        <v>36</v>
      </c>
      <c r="R558" s="287" t="s">
        <v>341</v>
      </c>
      <c r="S558" s="292" t="s">
        <v>341</v>
      </c>
      <c r="T558" s="293"/>
      <c r="U558" s="294">
        <v>1509091</v>
      </c>
      <c r="V558" s="294">
        <v>0</v>
      </c>
      <c r="W558" s="295"/>
      <c r="X558" s="296"/>
      <c r="Y558" s="287" t="s">
        <v>22</v>
      </c>
      <c r="Z558" s="297" t="s">
        <v>618</v>
      </c>
      <c r="AA558" s="313"/>
      <c r="AB558" s="313"/>
      <c r="AC558" s="298">
        <f t="shared" si="20"/>
        <v>0</v>
      </c>
      <c r="AD558" s="298">
        <v>0</v>
      </c>
      <c r="AE558" s="298">
        <f t="shared" si="21"/>
        <v>0</v>
      </c>
      <c r="AF558" s="299"/>
      <c r="AG558" s="300"/>
      <c r="AH558" s="299"/>
      <c r="AI558" s="299"/>
      <c r="AJ558" s="300"/>
      <c r="AK558" s="299"/>
      <c r="AL558" s="301"/>
      <c r="AM558" s="314"/>
      <c r="AN558" s="301"/>
      <c r="AO558" s="302"/>
      <c r="AP558" s="301"/>
      <c r="AQ558" s="301"/>
      <c r="AR558" s="301"/>
      <c r="AS558" s="301"/>
      <c r="AT558" s="301"/>
      <c r="AU558" s="301"/>
      <c r="AV558" s="301"/>
      <c r="AW558" s="301"/>
      <c r="AX558" s="301"/>
      <c r="AY558" s="301"/>
      <c r="AZ558" s="301"/>
      <c r="BA558" s="301"/>
      <c r="BB558" s="301"/>
      <c r="BC558" s="301"/>
      <c r="BD558" s="301"/>
      <c r="BE558" s="301"/>
      <c r="BF558" s="301"/>
      <c r="BG558" s="303"/>
      <c r="BH558" s="304"/>
    </row>
    <row r="559" spans="1:60" s="305" customFormat="1" ht="16.5" hidden="1" customHeight="1" x14ac:dyDescent="0.4">
      <c r="A559" s="285">
        <v>536</v>
      </c>
      <c r="B559" s="286"/>
      <c r="C559" s="286"/>
      <c r="D559" s="287" t="s">
        <v>92</v>
      </c>
      <c r="E559" s="287" t="s">
        <v>184</v>
      </c>
      <c r="F559" s="288" t="s">
        <v>92</v>
      </c>
      <c r="G559" s="289" t="s">
        <v>535</v>
      </c>
      <c r="H559" s="307"/>
      <c r="I559" s="290"/>
      <c r="J559" s="291" t="s">
        <v>326</v>
      </c>
      <c r="K559" s="287"/>
      <c r="L559" s="287"/>
      <c r="M559" s="287">
        <v>59148</v>
      </c>
      <c r="N559" s="287"/>
      <c r="O559" s="287"/>
      <c r="P559" s="287"/>
      <c r="Q559" s="287" t="s">
        <v>27</v>
      </c>
      <c r="R559" s="287" t="s">
        <v>340</v>
      </c>
      <c r="S559" s="292" t="s">
        <v>340</v>
      </c>
      <c r="T559" s="293"/>
      <c r="U559" s="294">
        <v>300000</v>
      </c>
      <c r="V559" s="294">
        <v>42840000</v>
      </c>
      <c r="W559" s="295"/>
      <c r="X559" s="296"/>
      <c r="Y559" s="287" t="s">
        <v>25</v>
      </c>
      <c r="Z559" s="297" t="s">
        <v>618</v>
      </c>
      <c r="AA559" s="313"/>
      <c r="AB559" s="313"/>
      <c r="AC559" s="298">
        <f t="shared" si="20"/>
        <v>0</v>
      </c>
      <c r="AD559" s="298">
        <v>0</v>
      </c>
      <c r="AE559" s="298">
        <f t="shared" si="21"/>
        <v>0</v>
      </c>
      <c r="AF559" s="299"/>
      <c r="AG559" s="300"/>
      <c r="AH559" s="299"/>
      <c r="AI559" s="299"/>
      <c r="AJ559" s="300"/>
      <c r="AK559" s="299"/>
      <c r="AL559" s="301"/>
      <c r="AM559" s="314"/>
      <c r="AN559" s="301"/>
      <c r="AO559" s="302"/>
      <c r="AP559" s="301"/>
      <c r="AQ559" s="301"/>
      <c r="AR559" s="301"/>
      <c r="AS559" s="301"/>
      <c r="AT559" s="301"/>
      <c r="AU559" s="301"/>
      <c r="AV559" s="301"/>
      <c r="AW559" s="301"/>
      <c r="AX559" s="301"/>
      <c r="AY559" s="301"/>
      <c r="AZ559" s="301"/>
      <c r="BA559" s="301"/>
      <c r="BB559" s="301"/>
      <c r="BC559" s="301"/>
      <c r="BD559" s="301"/>
      <c r="BE559" s="301"/>
      <c r="BF559" s="301"/>
      <c r="BG559" s="303"/>
      <c r="BH559" s="304"/>
    </row>
    <row r="560" spans="1:60" s="305" customFormat="1" ht="16.5" hidden="1" customHeight="1" x14ac:dyDescent="0.4">
      <c r="A560" s="285">
        <v>537</v>
      </c>
      <c r="B560" s="286"/>
      <c r="C560" s="286"/>
      <c r="D560" s="287" t="s">
        <v>92</v>
      </c>
      <c r="E560" s="287" t="s">
        <v>184</v>
      </c>
      <c r="F560" s="288" t="s">
        <v>92</v>
      </c>
      <c r="G560" s="289" t="s">
        <v>535</v>
      </c>
      <c r="H560" s="307"/>
      <c r="I560" s="290"/>
      <c r="J560" s="291" t="s">
        <v>326</v>
      </c>
      <c r="K560" s="287"/>
      <c r="L560" s="287"/>
      <c r="M560" s="287">
        <v>59148</v>
      </c>
      <c r="N560" s="287" t="s">
        <v>23</v>
      </c>
      <c r="O560" s="287"/>
      <c r="P560" s="287" t="s">
        <v>44</v>
      </c>
      <c r="Q560" s="287" t="s">
        <v>27</v>
      </c>
      <c r="R560" s="287" t="s">
        <v>349</v>
      </c>
      <c r="S560" s="292" t="s">
        <v>349</v>
      </c>
      <c r="T560" s="293"/>
      <c r="U560" s="294">
        <v>0</v>
      </c>
      <c r="V560" s="294">
        <v>0</v>
      </c>
      <c r="W560" s="295">
        <v>34776000</v>
      </c>
      <c r="X560" s="296"/>
      <c r="Y560" s="287" t="s">
        <v>28</v>
      </c>
      <c r="Z560" s="297" t="s">
        <v>25</v>
      </c>
      <c r="AA560" s="313"/>
      <c r="AB560" s="313"/>
      <c r="AC560" s="298">
        <f t="shared" si="20"/>
        <v>25000000</v>
      </c>
      <c r="AD560" s="298">
        <v>25000000</v>
      </c>
      <c r="AE560" s="298">
        <f t="shared" si="21"/>
        <v>0</v>
      </c>
      <c r="AF560" s="299"/>
      <c r="AG560" s="300"/>
      <c r="AH560" s="299"/>
      <c r="AI560" s="299">
        <v>25000000</v>
      </c>
      <c r="AJ560" s="300"/>
      <c r="AK560" s="299"/>
      <c r="AL560" s="301"/>
      <c r="AM560" s="314"/>
      <c r="AN560" s="301"/>
      <c r="AO560" s="302"/>
      <c r="AP560" s="301"/>
      <c r="AQ560" s="301"/>
      <c r="AR560" s="301"/>
      <c r="AS560" s="301"/>
      <c r="AT560" s="301"/>
      <c r="AU560" s="301"/>
      <c r="AV560" s="301"/>
      <c r="AW560" s="301"/>
      <c r="AX560" s="301"/>
      <c r="AY560" s="301">
        <v>25000000</v>
      </c>
      <c r="AZ560" s="301"/>
      <c r="BA560" s="301"/>
      <c r="BB560" s="301"/>
      <c r="BC560" s="301"/>
      <c r="BD560" s="301"/>
      <c r="BE560" s="301"/>
      <c r="BF560" s="301"/>
      <c r="BG560" s="303"/>
      <c r="BH560" s="304"/>
    </row>
    <row r="561" spans="1:60" s="305" customFormat="1" ht="16.5" customHeight="1" x14ac:dyDescent="0.4">
      <c r="A561" s="285">
        <v>538</v>
      </c>
      <c r="B561" s="286"/>
      <c r="C561" s="286"/>
      <c r="D561" s="287" t="s">
        <v>92</v>
      </c>
      <c r="E561" s="287" t="s">
        <v>184</v>
      </c>
      <c r="F561" s="288" t="s">
        <v>92</v>
      </c>
      <c r="G561" s="289" t="s">
        <v>535</v>
      </c>
      <c r="H561" s="307"/>
      <c r="I561" s="290"/>
      <c r="J561" s="291" t="s">
        <v>326</v>
      </c>
      <c r="K561" s="287"/>
      <c r="L561" s="287"/>
      <c r="M561" s="287">
        <v>59148</v>
      </c>
      <c r="N561" s="287"/>
      <c r="O561" s="287"/>
      <c r="P561" s="287"/>
      <c r="Q561" s="287"/>
      <c r="R561" s="287" t="s">
        <v>221</v>
      </c>
      <c r="S561" s="292" t="s">
        <v>745</v>
      </c>
      <c r="T561" s="293"/>
      <c r="U561" s="294"/>
      <c r="V561" s="294"/>
      <c r="W561" s="295">
        <v>119100000</v>
      </c>
      <c r="X561" s="296"/>
      <c r="Y561" s="287" t="s">
        <v>28</v>
      </c>
      <c r="Z561" s="297" t="s">
        <v>28</v>
      </c>
      <c r="AA561" s="313"/>
      <c r="AB561" s="313"/>
      <c r="AC561" s="298">
        <f t="shared" si="20"/>
        <v>30000000</v>
      </c>
      <c r="AD561" s="298">
        <v>30000000</v>
      </c>
      <c r="AE561" s="298">
        <f t="shared" si="21"/>
        <v>0</v>
      </c>
      <c r="AF561" s="299"/>
      <c r="AG561" s="300"/>
      <c r="AH561" s="299"/>
      <c r="AI561" s="299"/>
      <c r="AJ561" s="300"/>
      <c r="AK561" s="299"/>
      <c r="AL561" s="301"/>
      <c r="AM561" s="314"/>
      <c r="AN561" s="301"/>
      <c r="AO561" s="302"/>
      <c r="AP561" s="301"/>
      <c r="AQ561" s="301">
        <v>30000000</v>
      </c>
      <c r="AR561" s="301"/>
      <c r="AS561" s="301"/>
      <c r="AT561" s="301"/>
      <c r="AU561" s="301"/>
      <c r="AV561" s="301"/>
      <c r="AW561" s="301"/>
      <c r="AX561" s="301"/>
      <c r="AY561" s="301"/>
      <c r="AZ561" s="301"/>
      <c r="BA561" s="301">
        <v>0</v>
      </c>
      <c r="BB561" s="301"/>
      <c r="BC561" s="301"/>
      <c r="BD561" s="301"/>
      <c r="BE561" s="301"/>
      <c r="BF561" s="301"/>
      <c r="BG561" s="303"/>
      <c r="BH561" s="304"/>
    </row>
    <row r="562" spans="1:60" s="305" customFormat="1" ht="16.5" hidden="1" customHeight="1" x14ac:dyDescent="0.4">
      <c r="A562" s="285">
        <v>539</v>
      </c>
      <c r="B562" s="286"/>
      <c r="C562" s="286"/>
      <c r="D562" s="287" t="s">
        <v>92</v>
      </c>
      <c r="E562" s="287" t="s">
        <v>196</v>
      </c>
      <c r="F562" s="288" t="s">
        <v>92</v>
      </c>
      <c r="G562" s="289" t="s">
        <v>535</v>
      </c>
      <c r="H562" s="307"/>
      <c r="I562" s="290"/>
      <c r="J562" s="291" t="s">
        <v>326</v>
      </c>
      <c r="K562" s="287"/>
      <c r="L562" s="287"/>
      <c r="M562" s="287">
        <v>59148</v>
      </c>
      <c r="N562" s="287"/>
      <c r="O562" s="287"/>
      <c r="P562" s="287"/>
      <c r="Q562" s="287"/>
      <c r="R562" s="287" t="s">
        <v>221</v>
      </c>
      <c r="S562" s="292" t="s">
        <v>745</v>
      </c>
      <c r="T562" s="293"/>
      <c r="U562" s="294"/>
      <c r="V562" s="294"/>
      <c r="W562" s="295">
        <v>0</v>
      </c>
      <c r="X562" s="296"/>
      <c r="Y562" s="287" t="s">
        <v>28</v>
      </c>
      <c r="Z562" s="297" t="s">
        <v>25</v>
      </c>
      <c r="AA562" s="313"/>
      <c r="AB562" s="313"/>
      <c r="AC562" s="298">
        <f t="shared" si="20"/>
        <v>10000000</v>
      </c>
      <c r="AD562" s="298">
        <v>10000000</v>
      </c>
      <c r="AE562" s="298">
        <f t="shared" si="21"/>
        <v>0</v>
      </c>
      <c r="AF562" s="299"/>
      <c r="AG562" s="300"/>
      <c r="AH562" s="299"/>
      <c r="AI562" s="299"/>
      <c r="AJ562" s="300"/>
      <c r="AK562" s="299"/>
      <c r="AL562" s="301"/>
      <c r="AM562" s="314"/>
      <c r="AN562" s="301"/>
      <c r="AO562" s="302"/>
      <c r="AP562" s="301"/>
      <c r="AQ562" s="301"/>
      <c r="AR562" s="301"/>
      <c r="AS562" s="301">
        <v>10000000</v>
      </c>
      <c r="AT562" s="301"/>
      <c r="AU562" s="301"/>
      <c r="AV562" s="301"/>
      <c r="AW562" s="301"/>
      <c r="AX562" s="301"/>
      <c r="AY562" s="301"/>
      <c r="AZ562" s="301"/>
      <c r="BA562" s="301"/>
      <c r="BB562" s="301"/>
      <c r="BC562" s="301"/>
      <c r="BD562" s="301"/>
      <c r="BE562" s="301"/>
      <c r="BF562" s="301"/>
      <c r="BG562" s="303"/>
      <c r="BH562" s="304"/>
    </row>
    <row r="563" spans="1:60" s="305" customFormat="1" ht="16.5" hidden="1" customHeight="1" x14ac:dyDescent="0.4">
      <c r="A563" s="285">
        <v>540</v>
      </c>
      <c r="B563" s="286"/>
      <c r="C563" s="286"/>
      <c r="D563" s="287" t="s">
        <v>92</v>
      </c>
      <c r="E563" s="287" t="s">
        <v>184</v>
      </c>
      <c r="F563" s="288" t="s">
        <v>92</v>
      </c>
      <c r="G563" s="289" t="s">
        <v>535</v>
      </c>
      <c r="H563" s="307"/>
      <c r="I563" s="290"/>
      <c r="J563" s="291" t="s">
        <v>326</v>
      </c>
      <c r="K563" s="287"/>
      <c r="L563" s="287"/>
      <c r="M563" s="287">
        <v>59148</v>
      </c>
      <c r="N563" s="287" t="s">
        <v>97</v>
      </c>
      <c r="O563" s="287" t="s">
        <v>101</v>
      </c>
      <c r="P563" s="287" t="s">
        <v>44</v>
      </c>
      <c r="Q563" s="287" t="s">
        <v>24</v>
      </c>
      <c r="R563" s="287" t="s">
        <v>221</v>
      </c>
      <c r="S563" s="292" t="s">
        <v>745</v>
      </c>
      <c r="T563" s="293"/>
      <c r="U563" s="294">
        <v>25500000</v>
      </c>
      <c r="V563" s="294">
        <v>154680000</v>
      </c>
      <c r="W563" s="295">
        <v>0</v>
      </c>
      <c r="X563" s="296"/>
      <c r="Y563" s="287" t="s">
        <v>544</v>
      </c>
      <c r="Z563" s="297" t="s">
        <v>618</v>
      </c>
      <c r="AA563" s="313"/>
      <c r="AB563" s="313"/>
      <c r="AC563" s="298">
        <f t="shared" si="20"/>
        <v>0</v>
      </c>
      <c r="AD563" s="298">
        <v>0</v>
      </c>
      <c r="AE563" s="298">
        <f t="shared" si="21"/>
        <v>0</v>
      </c>
      <c r="AF563" s="299"/>
      <c r="AG563" s="300"/>
      <c r="AH563" s="299"/>
      <c r="AI563" s="299"/>
      <c r="AJ563" s="300"/>
      <c r="AK563" s="299"/>
      <c r="AL563" s="301"/>
      <c r="AM563" s="314"/>
      <c r="AN563" s="301"/>
      <c r="AO563" s="302"/>
      <c r="AP563" s="301"/>
      <c r="AQ563" s="301"/>
      <c r="AR563" s="301"/>
      <c r="AS563" s="301"/>
      <c r="AT563" s="301"/>
      <c r="AU563" s="301"/>
      <c r="AV563" s="301"/>
      <c r="AW563" s="301"/>
      <c r="AX563" s="301"/>
      <c r="AY563" s="301"/>
      <c r="AZ563" s="301"/>
      <c r="BA563" s="301"/>
      <c r="BB563" s="301"/>
      <c r="BC563" s="301"/>
      <c r="BD563" s="301"/>
      <c r="BE563" s="301"/>
      <c r="BF563" s="301"/>
      <c r="BG563" s="303"/>
      <c r="BH563" s="304"/>
    </row>
    <row r="564" spans="1:60" s="305" customFormat="1" ht="16.5" hidden="1" customHeight="1" x14ac:dyDescent="0.4">
      <c r="A564" s="285">
        <v>541</v>
      </c>
      <c r="B564" s="286"/>
      <c r="C564" s="286"/>
      <c r="D564" s="287" t="s">
        <v>92</v>
      </c>
      <c r="E564" s="287" t="s">
        <v>184</v>
      </c>
      <c r="F564" s="288" t="s">
        <v>92</v>
      </c>
      <c r="G564" s="289" t="s">
        <v>535</v>
      </c>
      <c r="H564" s="307"/>
      <c r="I564" s="290"/>
      <c r="J564" s="291" t="s">
        <v>676</v>
      </c>
      <c r="K564" s="287"/>
      <c r="L564" s="287"/>
      <c r="M564" s="287">
        <v>59148</v>
      </c>
      <c r="N564" s="287"/>
      <c r="O564" s="287"/>
      <c r="P564" s="287"/>
      <c r="Q564" s="287"/>
      <c r="R564" s="287" t="s">
        <v>338</v>
      </c>
      <c r="S564" s="292" t="s">
        <v>753</v>
      </c>
      <c r="T564" s="293"/>
      <c r="U564" s="294"/>
      <c r="V564" s="294"/>
      <c r="W564" s="295">
        <v>5508000</v>
      </c>
      <c r="X564" s="296"/>
      <c r="Y564" s="287" t="s">
        <v>28</v>
      </c>
      <c r="Z564" s="297" t="s">
        <v>25</v>
      </c>
      <c r="AA564" s="313"/>
      <c r="AB564" s="313"/>
      <c r="AC564" s="298">
        <f t="shared" si="20"/>
        <v>1000000</v>
      </c>
      <c r="AD564" s="298">
        <v>1000000</v>
      </c>
      <c r="AE564" s="298">
        <f t="shared" si="21"/>
        <v>0</v>
      </c>
      <c r="AF564" s="299"/>
      <c r="AG564" s="300"/>
      <c r="AH564" s="299"/>
      <c r="AI564" s="299"/>
      <c r="AJ564" s="300"/>
      <c r="AK564" s="299"/>
      <c r="AL564" s="301"/>
      <c r="AM564" s="314"/>
      <c r="AN564" s="301"/>
      <c r="AO564" s="302"/>
      <c r="AP564" s="301"/>
      <c r="AQ564" s="301"/>
      <c r="AR564" s="301"/>
      <c r="AS564" s="301"/>
      <c r="AT564" s="301"/>
      <c r="AU564" s="301"/>
      <c r="AV564" s="301"/>
      <c r="AW564" s="301"/>
      <c r="AX564" s="301"/>
      <c r="AY564" s="301">
        <v>1000000</v>
      </c>
      <c r="AZ564" s="301"/>
      <c r="BA564" s="301"/>
      <c r="BB564" s="301"/>
      <c r="BC564" s="301"/>
      <c r="BD564" s="301"/>
      <c r="BE564" s="301"/>
      <c r="BF564" s="301"/>
      <c r="BG564" s="303"/>
      <c r="BH564" s="304"/>
    </row>
    <row r="565" spans="1:60" s="305" customFormat="1" ht="16.5" customHeight="1" x14ac:dyDescent="0.4">
      <c r="A565" s="285">
        <v>542</v>
      </c>
      <c r="B565" s="286"/>
      <c r="C565" s="286"/>
      <c r="D565" s="287" t="s">
        <v>92</v>
      </c>
      <c r="E565" s="287" t="s">
        <v>184</v>
      </c>
      <c r="F565" s="288" t="s">
        <v>92</v>
      </c>
      <c r="G565" s="289" t="s">
        <v>535</v>
      </c>
      <c r="H565" s="307"/>
      <c r="I565" s="290"/>
      <c r="J565" s="291" t="s">
        <v>190</v>
      </c>
      <c r="K565" s="287"/>
      <c r="L565" s="287"/>
      <c r="M565" s="287">
        <v>42920</v>
      </c>
      <c r="N565" s="287"/>
      <c r="O565" s="287"/>
      <c r="P565" s="287"/>
      <c r="Q565" s="287" t="s">
        <v>19</v>
      </c>
      <c r="R565" s="287" t="s">
        <v>20</v>
      </c>
      <c r="S565" s="292" t="s">
        <v>20</v>
      </c>
      <c r="T565" s="293"/>
      <c r="U565" s="294"/>
      <c r="V565" s="294">
        <v>13375058</v>
      </c>
      <c r="W565" s="295">
        <v>9081098</v>
      </c>
      <c r="X565" s="296"/>
      <c r="Y565" s="287" t="s">
        <v>28</v>
      </c>
      <c r="Z565" s="297" t="s">
        <v>28</v>
      </c>
      <c r="AA565" s="313"/>
      <c r="AB565" s="313"/>
      <c r="AC565" s="298">
        <f t="shared" si="20"/>
        <v>7500000</v>
      </c>
      <c r="AD565" s="298">
        <v>7500000</v>
      </c>
      <c r="AE565" s="298">
        <f t="shared" si="21"/>
        <v>0</v>
      </c>
      <c r="AF565" s="299"/>
      <c r="AG565" s="300"/>
      <c r="AH565" s="299"/>
      <c r="AI565" s="299"/>
      <c r="AJ565" s="300"/>
      <c r="AK565" s="299"/>
      <c r="AL565" s="301">
        <v>0</v>
      </c>
      <c r="AM565" s="314"/>
      <c r="AN565" s="301"/>
      <c r="AO565" s="302"/>
      <c r="AP565" s="301"/>
      <c r="AQ565" s="301"/>
      <c r="AR565" s="301"/>
      <c r="AS565" s="301">
        <v>2500000</v>
      </c>
      <c r="AT565" s="301"/>
      <c r="AU565" s="301"/>
      <c r="AV565" s="301"/>
      <c r="AW565" s="301"/>
      <c r="AX565" s="301"/>
      <c r="AY565" s="301">
        <v>2500000</v>
      </c>
      <c r="AZ565" s="301"/>
      <c r="BA565" s="301"/>
      <c r="BB565" s="301"/>
      <c r="BC565" s="301"/>
      <c r="BD565" s="301"/>
      <c r="BE565" s="301">
        <v>2500000</v>
      </c>
      <c r="BF565" s="301"/>
      <c r="BG565" s="303"/>
      <c r="BH565" s="304"/>
    </row>
    <row r="566" spans="1:60" s="305" customFormat="1" ht="16.5" hidden="1" customHeight="1" x14ac:dyDescent="0.4">
      <c r="A566" s="285">
        <v>543</v>
      </c>
      <c r="B566" s="286"/>
      <c r="C566" s="286"/>
      <c r="D566" s="287" t="s">
        <v>92</v>
      </c>
      <c r="E566" s="287" t="s">
        <v>184</v>
      </c>
      <c r="F566" s="288" t="s">
        <v>92</v>
      </c>
      <c r="G566" s="289" t="s">
        <v>535</v>
      </c>
      <c r="H566" s="307"/>
      <c r="I566" s="290"/>
      <c r="J566" s="291" t="s">
        <v>476</v>
      </c>
      <c r="K566" s="287"/>
      <c r="L566" s="287"/>
      <c r="M566" s="287">
        <v>21495</v>
      </c>
      <c r="N566" s="287" t="s">
        <v>32</v>
      </c>
      <c r="O566" s="287" t="s">
        <v>43</v>
      </c>
      <c r="P566" s="287" t="s">
        <v>44</v>
      </c>
      <c r="Q566" s="287" t="s">
        <v>49</v>
      </c>
      <c r="R566" s="287" t="s">
        <v>29</v>
      </c>
      <c r="S566" s="292" t="s">
        <v>29</v>
      </c>
      <c r="T566" s="293"/>
      <c r="U566" s="294">
        <v>531039632</v>
      </c>
      <c r="V566" s="294">
        <v>308125910</v>
      </c>
      <c r="W566" s="295"/>
      <c r="X566" s="296"/>
      <c r="Y566" s="287" t="s">
        <v>21</v>
      </c>
      <c r="Z566" s="297" t="s">
        <v>544</v>
      </c>
      <c r="AA566" s="313"/>
      <c r="AB566" s="313"/>
      <c r="AC566" s="298">
        <f t="shared" si="20"/>
        <v>0</v>
      </c>
      <c r="AD566" s="298">
        <v>0</v>
      </c>
      <c r="AE566" s="298">
        <f t="shared" si="21"/>
        <v>0</v>
      </c>
      <c r="AF566" s="299"/>
      <c r="AG566" s="300"/>
      <c r="AH566" s="299"/>
      <c r="AI566" s="299"/>
      <c r="AJ566" s="300"/>
      <c r="AK566" s="299"/>
      <c r="AL566" s="301"/>
      <c r="AM566" s="314"/>
      <c r="AN566" s="301"/>
      <c r="AO566" s="302"/>
      <c r="AP566" s="301"/>
      <c r="AQ566" s="301"/>
      <c r="AR566" s="301"/>
      <c r="AS566" s="301"/>
      <c r="AT566" s="301"/>
      <c r="AU566" s="301"/>
      <c r="AV566" s="301"/>
      <c r="AW566" s="301"/>
      <c r="AX566" s="301"/>
      <c r="AY566" s="301"/>
      <c r="AZ566" s="301"/>
      <c r="BA566" s="301"/>
      <c r="BB566" s="301"/>
      <c r="BC566" s="301"/>
      <c r="BD566" s="301"/>
      <c r="BE566" s="301"/>
      <c r="BF566" s="301"/>
      <c r="BG566" s="303"/>
      <c r="BH566" s="304"/>
    </row>
    <row r="567" spans="1:60" s="305" customFormat="1" ht="16.5" customHeight="1" x14ac:dyDescent="0.4">
      <c r="A567" s="285">
        <v>544</v>
      </c>
      <c r="B567" s="286"/>
      <c r="C567" s="286"/>
      <c r="D567" s="287" t="s">
        <v>92</v>
      </c>
      <c r="E567" s="287" t="s">
        <v>184</v>
      </c>
      <c r="F567" s="288" t="s">
        <v>92</v>
      </c>
      <c r="G567" s="289" t="s">
        <v>535</v>
      </c>
      <c r="H567" s="307"/>
      <c r="I567" s="290"/>
      <c r="J567" s="291" t="s">
        <v>476</v>
      </c>
      <c r="K567" s="287"/>
      <c r="L567" s="287"/>
      <c r="M567" s="287">
        <v>21495</v>
      </c>
      <c r="N567" s="287" t="s">
        <v>32</v>
      </c>
      <c r="O567" s="287"/>
      <c r="P567" s="287" t="s">
        <v>44</v>
      </c>
      <c r="Q567" s="287" t="s">
        <v>27</v>
      </c>
      <c r="R567" s="287" t="s">
        <v>349</v>
      </c>
      <c r="S567" s="292" t="s">
        <v>349</v>
      </c>
      <c r="T567" s="293"/>
      <c r="U567" s="294">
        <v>0</v>
      </c>
      <c r="V567" s="294">
        <v>0</v>
      </c>
      <c r="W567" s="295"/>
      <c r="X567" s="296"/>
      <c r="Y567" s="287" t="s">
        <v>26</v>
      </c>
      <c r="Z567" s="297" t="s">
        <v>28</v>
      </c>
      <c r="AA567" s="313"/>
      <c r="AB567" s="313"/>
      <c r="AC567" s="298">
        <f t="shared" si="20"/>
        <v>7200000</v>
      </c>
      <c r="AD567" s="298">
        <v>7200000</v>
      </c>
      <c r="AE567" s="298">
        <f t="shared" si="21"/>
        <v>0</v>
      </c>
      <c r="AF567" s="299"/>
      <c r="AG567" s="300">
        <v>7200000</v>
      </c>
      <c r="AH567" s="299"/>
      <c r="AI567" s="299"/>
      <c r="AJ567" s="300"/>
      <c r="AK567" s="299"/>
      <c r="AL567" s="301"/>
      <c r="AM567" s="314"/>
      <c r="AN567" s="301"/>
      <c r="AO567" s="302"/>
      <c r="AP567" s="301"/>
      <c r="AQ567" s="301"/>
      <c r="AR567" s="301"/>
      <c r="AS567" s="301"/>
      <c r="AT567" s="301"/>
      <c r="AU567" s="301"/>
      <c r="AV567" s="301"/>
      <c r="AW567" s="301"/>
      <c r="AX567" s="301"/>
      <c r="AY567" s="301"/>
      <c r="AZ567" s="301"/>
      <c r="BA567" s="301"/>
      <c r="BB567" s="301"/>
      <c r="BC567" s="301"/>
      <c r="BD567" s="301"/>
      <c r="BE567" s="301"/>
      <c r="BF567" s="301"/>
      <c r="BG567" s="303"/>
      <c r="BH567" s="304"/>
    </row>
    <row r="568" spans="1:60" s="305" customFormat="1" ht="16.5" hidden="1" customHeight="1" x14ac:dyDescent="0.4">
      <c r="A568" s="285">
        <v>545</v>
      </c>
      <c r="B568" s="286"/>
      <c r="C568" s="286"/>
      <c r="D568" s="287" t="s">
        <v>92</v>
      </c>
      <c r="E568" s="287" t="s">
        <v>276</v>
      </c>
      <c r="F568" s="288" t="s">
        <v>92</v>
      </c>
      <c r="G568" s="289" t="s">
        <v>535</v>
      </c>
      <c r="H568" s="307"/>
      <c r="I568" s="290"/>
      <c r="J568" s="291" t="s">
        <v>86</v>
      </c>
      <c r="K568" s="287"/>
      <c r="L568" s="287"/>
      <c r="M568" s="287">
        <v>15270</v>
      </c>
      <c r="N568" s="287" t="s">
        <v>32</v>
      </c>
      <c r="O568" s="287"/>
      <c r="P568" s="287"/>
      <c r="Q568" s="287" t="s">
        <v>49</v>
      </c>
      <c r="R568" s="287" t="s">
        <v>29</v>
      </c>
      <c r="S568" s="292" t="s">
        <v>29</v>
      </c>
      <c r="T568" s="293"/>
      <c r="U568" s="294">
        <v>850705253</v>
      </c>
      <c r="V568" s="294">
        <v>525068232</v>
      </c>
      <c r="W568" s="295"/>
      <c r="X568" s="296"/>
      <c r="Y568" s="287" t="s">
        <v>56</v>
      </c>
      <c r="Z568" s="297" t="s">
        <v>56</v>
      </c>
      <c r="AA568" s="313"/>
      <c r="AB568" s="313"/>
      <c r="AC568" s="298">
        <f t="shared" si="20"/>
        <v>0</v>
      </c>
      <c r="AD568" s="298">
        <v>0</v>
      </c>
      <c r="AE568" s="298">
        <f t="shared" si="21"/>
        <v>0</v>
      </c>
      <c r="AF568" s="299"/>
      <c r="AG568" s="300"/>
      <c r="AH568" s="299"/>
      <c r="AI568" s="299"/>
      <c r="AJ568" s="300"/>
      <c r="AK568" s="299"/>
      <c r="AL568" s="301"/>
      <c r="AM568" s="314"/>
      <c r="AN568" s="301"/>
      <c r="AO568" s="302"/>
      <c r="AP568" s="301"/>
      <c r="AQ568" s="301"/>
      <c r="AR568" s="301"/>
      <c r="AS568" s="301"/>
      <c r="AT568" s="301"/>
      <c r="AU568" s="301"/>
      <c r="AV568" s="301"/>
      <c r="AW568" s="301"/>
      <c r="AX568" s="301"/>
      <c r="AY568" s="301"/>
      <c r="AZ568" s="301"/>
      <c r="BA568" s="301"/>
      <c r="BB568" s="301"/>
      <c r="BC568" s="301"/>
      <c r="BD568" s="301"/>
      <c r="BE568" s="301"/>
      <c r="BF568" s="301"/>
      <c r="BG568" s="303"/>
      <c r="BH568" s="304"/>
    </row>
    <row r="569" spans="1:60" s="305" customFormat="1" ht="16.5" hidden="1" customHeight="1" x14ac:dyDescent="0.4">
      <c r="A569" s="285">
        <v>546</v>
      </c>
      <c r="B569" s="286"/>
      <c r="C569" s="286"/>
      <c r="D569" s="287" t="s">
        <v>92</v>
      </c>
      <c r="E569" s="287" t="s">
        <v>276</v>
      </c>
      <c r="F569" s="288" t="s">
        <v>92</v>
      </c>
      <c r="G569" s="289" t="s">
        <v>535</v>
      </c>
      <c r="H569" s="307"/>
      <c r="I569" s="290"/>
      <c r="J569" s="291" t="s">
        <v>86</v>
      </c>
      <c r="K569" s="287"/>
      <c r="L569" s="287"/>
      <c r="M569" s="287">
        <v>15270</v>
      </c>
      <c r="N569" s="287" t="s">
        <v>32</v>
      </c>
      <c r="O569" s="287"/>
      <c r="P569" s="287"/>
      <c r="Q569" s="287" t="s">
        <v>27</v>
      </c>
      <c r="R569" s="287" t="s">
        <v>340</v>
      </c>
      <c r="S569" s="292" t="s">
        <v>340</v>
      </c>
      <c r="T569" s="293"/>
      <c r="U569" s="294">
        <v>1560000</v>
      </c>
      <c r="V569" s="294">
        <v>0</v>
      </c>
      <c r="W569" s="295"/>
      <c r="X569" s="296"/>
      <c r="Y569" s="287" t="s">
        <v>25</v>
      </c>
      <c r="Z569" s="297" t="s">
        <v>56</v>
      </c>
      <c r="AA569" s="313"/>
      <c r="AB569" s="313"/>
      <c r="AC569" s="298">
        <f t="shared" si="20"/>
        <v>0</v>
      </c>
      <c r="AD569" s="298">
        <v>0</v>
      </c>
      <c r="AE569" s="298">
        <f t="shared" si="21"/>
        <v>0</v>
      </c>
      <c r="AF569" s="299"/>
      <c r="AG569" s="300"/>
      <c r="AH569" s="299"/>
      <c r="AI569" s="299"/>
      <c r="AJ569" s="300"/>
      <c r="AK569" s="299"/>
      <c r="AL569" s="301"/>
      <c r="AM569" s="314"/>
      <c r="AN569" s="301"/>
      <c r="AO569" s="302"/>
      <c r="AP569" s="301"/>
      <c r="AQ569" s="301"/>
      <c r="AR569" s="301"/>
      <c r="AS569" s="301"/>
      <c r="AT569" s="301"/>
      <c r="AU569" s="301"/>
      <c r="AV569" s="301"/>
      <c r="AW569" s="301"/>
      <c r="AX569" s="301"/>
      <c r="AY569" s="301"/>
      <c r="AZ569" s="301"/>
      <c r="BA569" s="301"/>
      <c r="BB569" s="301"/>
      <c r="BC569" s="301"/>
      <c r="BD569" s="301"/>
      <c r="BE569" s="301"/>
      <c r="BF569" s="301"/>
      <c r="BG569" s="303"/>
      <c r="BH569" s="304"/>
    </row>
    <row r="570" spans="1:60" s="305" customFormat="1" ht="16.5" hidden="1" customHeight="1" x14ac:dyDescent="0.4">
      <c r="A570" s="285">
        <v>547</v>
      </c>
      <c r="B570" s="286"/>
      <c r="C570" s="286"/>
      <c r="D570" s="287" t="s">
        <v>71</v>
      </c>
      <c r="E570" s="287" t="s">
        <v>271</v>
      </c>
      <c r="F570" s="288" t="s">
        <v>92</v>
      </c>
      <c r="G570" s="289" t="s">
        <v>837</v>
      </c>
      <c r="H570" s="307"/>
      <c r="I570" s="290"/>
      <c r="J570" s="291" t="s">
        <v>724</v>
      </c>
      <c r="K570" s="287"/>
      <c r="L570" s="287"/>
      <c r="M570" s="287">
        <v>61806</v>
      </c>
      <c r="N570" s="287" t="s">
        <v>40</v>
      </c>
      <c r="O570" s="287" t="s">
        <v>43</v>
      </c>
      <c r="P570" s="287"/>
      <c r="Q570" s="287" t="s">
        <v>19</v>
      </c>
      <c r="R570" s="287" t="s">
        <v>20</v>
      </c>
      <c r="S570" s="292" t="s">
        <v>20</v>
      </c>
      <c r="T570" s="293"/>
      <c r="U570" s="294"/>
      <c r="V570" s="294">
        <v>12020000</v>
      </c>
      <c r="W570" s="295">
        <v>12435000</v>
      </c>
      <c r="X570" s="296"/>
      <c r="Y570" s="287" t="s">
        <v>25</v>
      </c>
      <c r="Z570" s="297" t="s">
        <v>656</v>
      </c>
      <c r="AA570" s="313"/>
      <c r="AB570" s="313"/>
      <c r="AC570" s="298">
        <f t="shared" si="20"/>
        <v>0</v>
      </c>
      <c r="AD570" s="298">
        <v>0</v>
      </c>
      <c r="AE570" s="298">
        <f t="shared" si="21"/>
        <v>0</v>
      </c>
      <c r="AF570" s="299" t="s">
        <v>725</v>
      </c>
      <c r="AG570" s="300"/>
      <c r="AH570" s="299"/>
      <c r="AI570" s="299" t="s">
        <v>725</v>
      </c>
      <c r="AJ570" s="300"/>
      <c r="AK570" s="299"/>
      <c r="AL570" s="301"/>
      <c r="AM570" s="314"/>
      <c r="AN570" s="301"/>
      <c r="AO570" s="302" t="s">
        <v>725</v>
      </c>
      <c r="AP570" s="301"/>
      <c r="AQ570" s="301" t="s">
        <v>725</v>
      </c>
      <c r="AR570" s="301"/>
      <c r="AS570" s="301" t="s">
        <v>725</v>
      </c>
      <c r="AT570" s="301"/>
      <c r="AU570" s="301" t="s">
        <v>725</v>
      </c>
      <c r="AV570" s="301"/>
      <c r="AW570" s="301" t="s">
        <v>725</v>
      </c>
      <c r="AX570" s="301"/>
      <c r="AY570" s="301" t="s">
        <v>725</v>
      </c>
      <c r="AZ570" s="301"/>
      <c r="BA570" s="301" t="s">
        <v>725</v>
      </c>
      <c r="BB570" s="301"/>
      <c r="BC570" s="301" t="s">
        <v>725</v>
      </c>
      <c r="BD570" s="301"/>
      <c r="BE570" s="301" t="s">
        <v>725</v>
      </c>
      <c r="BF570" s="301"/>
      <c r="BG570" s="303"/>
      <c r="BH570" s="304"/>
    </row>
    <row r="571" spans="1:60" s="305" customFormat="1" ht="16.5" hidden="1" customHeight="1" x14ac:dyDescent="0.4">
      <c r="A571" s="285">
        <v>548</v>
      </c>
      <c r="B571" s="286"/>
      <c r="C571" s="286"/>
      <c r="D571" s="287" t="s">
        <v>92</v>
      </c>
      <c r="E571" s="287" t="s">
        <v>249</v>
      </c>
      <c r="F571" s="288" t="s">
        <v>92</v>
      </c>
      <c r="G571" s="289" t="s">
        <v>727</v>
      </c>
      <c r="H571" s="307"/>
      <c r="I571" s="290"/>
      <c r="J571" s="291" t="s">
        <v>166</v>
      </c>
      <c r="K571" s="287"/>
      <c r="L571" s="287"/>
      <c r="M571" s="287">
        <v>47485</v>
      </c>
      <c r="N571" s="287" t="s">
        <v>40</v>
      </c>
      <c r="O571" s="287" t="s">
        <v>43</v>
      </c>
      <c r="P571" s="287" t="s">
        <v>44</v>
      </c>
      <c r="Q571" s="287" t="s">
        <v>30</v>
      </c>
      <c r="R571" s="287" t="s">
        <v>31</v>
      </c>
      <c r="S571" s="292" t="s">
        <v>31</v>
      </c>
      <c r="T571" s="293"/>
      <c r="U571" s="294">
        <v>5000000</v>
      </c>
      <c r="V571" s="294">
        <v>3270000</v>
      </c>
      <c r="W571" s="295">
        <v>4657500</v>
      </c>
      <c r="X571" s="296"/>
      <c r="Y571" s="287" t="s">
        <v>28</v>
      </c>
      <c r="Z571" s="297" t="s">
        <v>28</v>
      </c>
      <c r="AA571" s="313"/>
      <c r="AB571" s="313"/>
      <c r="AC571" s="298">
        <f t="shared" si="20"/>
        <v>4500000</v>
      </c>
      <c r="AD571" s="298">
        <v>4500000</v>
      </c>
      <c r="AE571" s="298">
        <f t="shared" si="21"/>
        <v>0</v>
      </c>
      <c r="AF571" s="299"/>
      <c r="AG571" s="300"/>
      <c r="AH571" s="299"/>
      <c r="AI571" s="299"/>
      <c r="AJ571" s="300"/>
      <c r="AK571" s="299"/>
      <c r="AL571" s="301"/>
      <c r="AM571" s="314"/>
      <c r="AN571" s="301"/>
      <c r="AO571" s="302">
        <v>1500000</v>
      </c>
      <c r="AP571" s="301"/>
      <c r="AQ571" s="301"/>
      <c r="AR571" s="301"/>
      <c r="AS571" s="301"/>
      <c r="AT571" s="301"/>
      <c r="AU571" s="301">
        <v>1500000</v>
      </c>
      <c r="AV571" s="301"/>
      <c r="AW571" s="301"/>
      <c r="AX571" s="301"/>
      <c r="AY571" s="301"/>
      <c r="AZ571" s="301"/>
      <c r="BA571" s="301">
        <v>1500000</v>
      </c>
      <c r="BB571" s="301"/>
      <c r="BC571" s="301"/>
      <c r="BD571" s="301"/>
      <c r="BE571" s="301"/>
      <c r="BF571" s="301"/>
      <c r="BG571" s="303"/>
      <c r="BH571" s="304"/>
    </row>
    <row r="572" spans="1:60" s="305" customFormat="1" ht="16.5" hidden="1" customHeight="1" x14ac:dyDescent="0.4">
      <c r="A572" s="285">
        <v>549</v>
      </c>
      <c r="B572" s="286"/>
      <c r="C572" s="286"/>
      <c r="D572" s="287" t="s">
        <v>92</v>
      </c>
      <c r="E572" s="287" t="s">
        <v>249</v>
      </c>
      <c r="F572" s="288" t="s">
        <v>92</v>
      </c>
      <c r="G572" s="289" t="s">
        <v>727</v>
      </c>
      <c r="H572" s="307"/>
      <c r="I572" s="290"/>
      <c r="J572" s="291" t="s">
        <v>213</v>
      </c>
      <c r="K572" s="287"/>
      <c r="L572" s="287"/>
      <c r="M572" s="287">
        <v>22101</v>
      </c>
      <c r="N572" s="287" t="s">
        <v>23</v>
      </c>
      <c r="O572" s="287" t="s">
        <v>43</v>
      </c>
      <c r="P572" s="287" t="s">
        <v>93</v>
      </c>
      <c r="Q572" s="287" t="s">
        <v>27</v>
      </c>
      <c r="R572" s="287" t="s">
        <v>31</v>
      </c>
      <c r="S572" s="292" t="s">
        <v>31</v>
      </c>
      <c r="T572" s="293"/>
      <c r="U572" s="294"/>
      <c r="V572" s="294">
        <v>0</v>
      </c>
      <c r="W572" s="295">
        <v>4454000</v>
      </c>
      <c r="X572" s="296"/>
      <c r="Y572" s="287" t="s">
        <v>28</v>
      </c>
      <c r="Z572" s="297" t="s">
        <v>25</v>
      </c>
      <c r="AA572" s="313"/>
      <c r="AB572" s="313"/>
      <c r="AC572" s="298">
        <f t="shared" si="20"/>
        <v>4000000</v>
      </c>
      <c r="AD572" s="298">
        <v>4000000</v>
      </c>
      <c r="AE572" s="298">
        <f t="shared" si="21"/>
        <v>0</v>
      </c>
      <c r="AF572" s="299"/>
      <c r="AG572" s="300"/>
      <c r="AH572" s="299"/>
      <c r="AI572" s="299"/>
      <c r="AJ572" s="300"/>
      <c r="AK572" s="299"/>
      <c r="AL572" s="301"/>
      <c r="AM572" s="314"/>
      <c r="AN572" s="301"/>
      <c r="AO572" s="302"/>
      <c r="AP572" s="301"/>
      <c r="AQ572" s="301"/>
      <c r="AR572" s="301"/>
      <c r="AS572" s="301"/>
      <c r="AT572" s="301"/>
      <c r="AU572" s="301"/>
      <c r="AV572" s="301"/>
      <c r="AW572" s="301"/>
      <c r="AX572" s="301"/>
      <c r="AY572" s="301"/>
      <c r="AZ572" s="301"/>
      <c r="BA572" s="301"/>
      <c r="BB572" s="301"/>
      <c r="BC572" s="301">
        <v>4000000</v>
      </c>
      <c r="BD572" s="301"/>
      <c r="BE572" s="301"/>
      <c r="BF572" s="301"/>
      <c r="BG572" s="303"/>
      <c r="BH572" s="304"/>
    </row>
    <row r="573" spans="1:60" s="305" customFormat="1" ht="16.5" hidden="1" customHeight="1" x14ac:dyDescent="0.4">
      <c r="A573" s="285">
        <v>550</v>
      </c>
      <c r="B573" s="286"/>
      <c r="C573" s="286"/>
      <c r="D573" s="287" t="s">
        <v>92</v>
      </c>
      <c r="E573" s="287" t="s">
        <v>535</v>
      </c>
      <c r="F573" s="288" t="s">
        <v>92</v>
      </c>
      <c r="G573" s="289" t="s">
        <v>727</v>
      </c>
      <c r="H573" s="307"/>
      <c r="I573" s="290"/>
      <c r="J573" s="291" t="s">
        <v>213</v>
      </c>
      <c r="K573" s="287"/>
      <c r="L573" s="287"/>
      <c r="M573" s="287">
        <v>22101</v>
      </c>
      <c r="N573" s="287" t="s">
        <v>23</v>
      </c>
      <c r="O573" s="287" t="s">
        <v>33</v>
      </c>
      <c r="P573" s="287"/>
      <c r="Q573" s="287" t="s">
        <v>27</v>
      </c>
      <c r="R573" s="287" t="s">
        <v>340</v>
      </c>
      <c r="S573" s="292" t="s">
        <v>340</v>
      </c>
      <c r="T573" s="293"/>
      <c r="U573" s="294">
        <v>1200000</v>
      </c>
      <c r="V573" s="294">
        <v>0</v>
      </c>
      <c r="W573" s="295"/>
      <c r="X573" s="296"/>
      <c r="Y573" s="287" t="s">
        <v>22</v>
      </c>
      <c r="Z573" s="297" t="s">
        <v>25</v>
      </c>
      <c r="AA573" s="313"/>
      <c r="AB573" s="313"/>
      <c r="AC573" s="298">
        <f t="shared" si="20"/>
        <v>5000000</v>
      </c>
      <c r="AD573" s="298">
        <v>5000000</v>
      </c>
      <c r="AE573" s="298">
        <f t="shared" si="21"/>
        <v>0</v>
      </c>
      <c r="AF573" s="299"/>
      <c r="AG573" s="300"/>
      <c r="AH573" s="299"/>
      <c r="AI573" s="299"/>
      <c r="AJ573" s="300"/>
      <c r="AK573" s="299"/>
      <c r="AL573" s="301"/>
      <c r="AM573" s="314"/>
      <c r="AN573" s="301"/>
      <c r="AO573" s="302"/>
      <c r="AP573" s="301"/>
      <c r="AQ573" s="301"/>
      <c r="AR573" s="301"/>
      <c r="AS573" s="301">
        <v>5000000</v>
      </c>
      <c r="AT573" s="301"/>
      <c r="AU573" s="301"/>
      <c r="AV573" s="301"/>
      <c r="AW573" s="301"/>
      <c r="AX573" s="301"/>
      <c r="AY573" s="301"/>
      <c r="AZ573" s="301"/>
      <c r="BA573" s="301"/>
      <c r="BB573" s="301"/>
      <c r="BC573" s="301"/>
      <c r="BD573" s="301"/>
      <c r="BE573" s="301"/>
      <c r="BF573" s="301"/>
      <c r="BG573" s="303"/>
      <c r="BH573" s="304"/>
    </row>
    <row r="574" spans="1:60" s="305" customFormat="1" ht="16.5" hidden="1" customHeight="1" x14ac:dyDescent="0.4">
      <c r="A574" s="285">
        <v>551</v>
      </c>
      <c r="B574" s="286"/>
      <c r="C574" s="286"/>
      <c r="D574" s="287"/>
      <c r="E574" s="287"/>
      <c r="F574" s="288" t="s">
        <v>92</v>
      </c>
      <c r="G574" s="289" t="s">
        <v>727</v>
      </c>
      <c r="H574" s="307"/>
      <c r="I574" s="290"/>
      <c r="J574" s="291" t="s">
        <v>213</v>
      </c>
      <c r="K574" s="287"/>
      <c r="L574" s="287"/>
      <c r="M574" s="287">
        <v>22101</v>
      </c>
      <c r="N574" s="287" t="s">
        <v>23</v>
      </c>
      <c r="O574" s="287" t="s">
        <v>33</v>
      </c>
      <c r="P574" s="287"/>
      <c r="Q574" s="287"/>
      <c r="R574" s="287"/>
      <c r="S574" s="292" t="s">
        <v>349</v>
      </c>
      <c r="T574" s="293"/>
      <c r="U574" s="294"/>
      <c r="V574" s="294"/>
      <c r="W574" s="295">
        <v>1850000</v>
      </c>
      <c r="X574" s="296"/>
      <c r="Y574" s="287"/>
      <c r="Z574" s="297" t="s">
        <v>656</v>
      </c>
      <c r="AA574" s="313"/>
      <c r="AB574" s="313"/>
      <c r="AC574" s="298">
        <f t="shared" si="20"/>
        <v>0</v>
      </c>
      <c r="AD574" s="298">
        <v>0</v>
      </c>
      <c r="AE574" s="298">
        <f t="shared" si="21"/>
        <v>0</v>
      </c>
      <c r="AF574" s="299"/>
      <c r="AG574" s="300"/>
      <c r="AH574" s="299"/>
      <c r="AI574" s="299"/>
      <c r="AJ574" s="300"/>
      <c r="AK574" s="299"/>
      <c r="AL574" s="301"/>
      <c r="AM574" s="314"/>
      <c r="AN574" s="301"/>
      <c r="AO574" s="302"/>
      <c r="AP574" s="301"/>
      <c r="AQ574" s="301"/>
      <c r="AR574" s="301"/>
      <c r="AS574" s="301"/>
      <c r="AT574" s="301"/>
      <c r="AU574" s="301"/>
      <c r="AV574" s="301"/>
      <c r="AW574" s="301"/>
      <c r="AX574" s="301"/>
      <c r="AY574" s="301"/>
      <c r="AZ574" s="301"/>
      <c r="BA574" s="301"/>
      <c r="BB574" s="301"/>
      <c r="BC574" s="301"/>
      <c r="BD574" s="301"/>
      <c r="BE574" s="301"/>
      <c r="BF574" s="301"/>
      <c r="BG574" s="303"/>
      <c r="BH574" s="304"/>
    </row>
    <row r="575" spans="1:60" s="305" customFormat="1" ht="16.5" hidden="1" customHeight="1" x14ac:dyDescent="0.4">
      <c r="A575" s="285">
        <v>552</v>
      </c>
      <c r="B575" s="286"/>
      <c r="C575" s="286"/>
      <c r="D575" s="287"/>
      <c r="E575" s="287"/>
      <c r="F575" s="288" t="s">
        <v>92</v>
      </c>
      <c r="G575" s="289" t="s">
        <v>727</v>
      </c>
      <c r="H575" s="307"/>
      <c r="I575" s="290"/>
      <c r="J575" s="291" t="s">
        <v>776</v>
      </c>
      <c r="K575" s="287"/>
      <c r="L575" s="287"/>
      <c r="M575" s="287">
        <v>65570</v>
      </c>
      <c r="N575" s="287" t="s">
        <v>23</v>
      </c>
      <c r="O575" s="287" t="s">
        <v>43</v>
      </c>
      <c r="P575" s="287" t="s">
        <v>93</v>
      </c>
      <c r="Q575" s="287"/>
      <c r="R575" s="287"/>
      <c r="S575" s="292" t="s">
        <v>31</v>
      </c>
      <c r="T575" s="293"/>
      <c r="U575" s="294"/>
      <c r="V575" s="294"/>
      <c r="W575" s="295">
        <v>1419000</v>
      </c>
      <c r="X575" s="296"/>
      <c r="Y575" s="287"/>
      <c r="Z575" s="297" t="s">
        <v>656</v>
      </c>
      <c r="AA575" s="313"/>
      <c r="AB575" s="313"/>
      <c r="AC575" s="298">
        <f t="shared" si="20"/>
        <v>0</v>
      </c>
      <c r="AD575" s="298">
        <v>0</v>
      </c>
      <c r="AE575" s="298">
        <f t="shared" si="21"/>
        <v>0</v>
      </c>
      <c r="AF575" s="299"/>
      <c r="AG575" s="300"/>
      <c r="AH575" s="299"/>
      <c r="AI575" s="299"/>
      <c r="AJ575" s="300"/>
      <c r="AK575" s="299"/>
      <c r="AL575" s="301"/>
      <c r="AM575" s="314"/>
      <c r="AN575" s="301"/>
      <c r="AO575" s="302"/>
      <c r="AP575" s="301"/>
      <c r="AQ575" s="301"/>
      <c r="AR575" s="301"/>
      <c r="AS575" s="301"/>
      <c r="AT575" s="301"/>
      <c r="AU575" s="301"/>
      <c r="AV575" s="301"/>
      <c r="AW575" s="301"/>
      <c r="AX575" s="301"/>
      <c r="AY575" s="301"/>
      <c r="AZ575" s="301"/>
      <c r="BA575" s="301"/>
      <c r="BB575" s="301"/>
      <c r="BC575" s="301"/>
      <c r="BD575" s="301"/>
      <c r="BE575" s="301"/>
      <c r="BF575" s="301"/>
      <c r="BG575" s="303"/>
      <c r="BH575" s="304"/>
    </row>
    <row r="576" spans="1:60" s="305" customFormat="1" ht="16.5" hidden="1" customHeight="1" x14ac:dyDescent="0.4">
      <c r="A576" s="285">
        <v>553</v>
      </c>
      <c r="B576" s="286"/>
      <c r="C576" s="286"/>
      <c r="D576" s="287" t="s">
        <v>92</v>
      </c>
      <c r="E576" s="287" t="s">
        <v>249</v>
      </c>
      <c r="F576" s="288" t="s">
        <v>92</v>
      </c>
      <c r="G576" s="289" t="s">
        <v>727</v>
      </c>
      <c r="H576" s="307"/>
      <c r="I576" s="290"/>
      <c r="J576" s="291" t="s">
        <v>252</v>
      </c>
      <c r="K576" s="287"/>
      <c r="L576" s="287"/>
      <c r="M576" s="287">
        <v>61169</v>
      </c>
      <c r="N576" s="287" t="s">
        <v>40</v>
      </c>
      <c r="O576" s="287" t="s">
        <v>33</v>
      </c>
      <c r="P576" s="287"/>
      <c r="Q576" s="287" t="s">
        <v>24</v>
      </c>
      <c r="R576" s="287" t="s">
        <v>221</v>
      </c>
      <c r="S576" s="292" t="s">
        <v>745</v>
      </c>
      <c r="T576" s="293"/>
      <c r="U576" s="294"/>
      <c r="V576" s="294"/>
      <c r="W576" s="295">
        <v>59090909</v>
      </c>
      <c r="X576" s="296"/>
      <c r="Y576" s="287" t="s">
        <v>56</v>
      </c>
      <c r="Z576" s="297" t="s">
        <v>618</v>
      </c>
      <c r="AA576" s="313"/>
      <c r="AB576" s="313"/>
      <c r="AC576" s="298">
        <f t="shared" si="20"/>
        <v>0</v>
      </c>
      <c r="AD576" s="298">
        <v>0</v>
      </c>
      <c r="AE576" s="298">
        <f t="shared" si="21"/>
        <v>0</v>
      </c>
      <c r="AF576" s="299"/>
      <c r="AG576" s="300"/>
      <c r="AH576" s="299"/>
      <c r="AI576" s="299"/>
      <c r="AJ576" s="300"/>
      <c r="AK576" s="299"/>
      <c r="AL576" s="301"/>
      <c r="AM576" s="314"/>
      <c r="AN576" s="301"/>
      <c r="AO576" s="302"/>
      <c r="AP576" s="301"/>
      <c r="AQ576" s="301"/>
      <c r="AR576" s="301"/>
      <c r="AS576" s="301"/>
      <c r="AT576" s="301"/>
      <c r="AU576" s="301"/>
      <c r="AV576" s="301"/>
      <c r="AW576" s="301"/>
      <c r="AX576" s="301"/>
      <c r="AY576" s="301"/>
      <c r="AZ576" s="301"/>
      <c r="BA576" s="301"/>
      <c r="BB576" s="301"/>
      <c r="BC576" s="301"/>
      <c r="BD576" s="301"/>
      <c r="BE576" s="301"/>
      <c r="BF576" s="301"/>
      <c r="BG576" s="303"/>
      <c r="BH576" s="304"/>
    </row>
    <row r="577" spans="1:60" s="305" customFormat="1" ht="16.5" hidden="1" customHeight="1" x14ac:dyDescent="0.4">
      <c r="A577" s="285">
        <v>554</v>
      </c>
      <c r="B577" s="286"/>
      <c r="C577" s="286"/>
      <c r="D577" s="287" t="s">
        <v>92</v>
      </c>
      <c r="E577" s="287" t="s">
        <v>249</v>
      </c>
      <c r="F577" s="288" t="s">
        <v>92</v>
      </c>
      <c r="G577" s="289" t="s">
        <v>727</v>
      </c>
      <c r="H577" s="307"/>
      <c r="I577" s="290"/>
      <c r="J577" s="291" t="s">
        <v>252</v>
      </c>
      <c r="K577" s="287"/>
      <c r="L577" s="287"/>
      <c r="M577" s="287">
        <v>61169</v>
      </c>
      <c r="N577" s="287" t="s">
        <v>40</v>
      </c>
      <c r="O577" s="287" t="s">
        <v>33</v>
      </c>
      <c r="P577" s="287"/>
      <c r="Q577" s="287" t="s">
        <v>24</v>
      </c>
      <c r="R577" s="287" t="s">
        <v>221</v>
      </c>
      <c r="S577" s="292" t="s">
        <v>745</v>
      </c>
      <c r="T577" s="293"/>
      <c r="U577" s="294"/>
      <c r="V577" s="294">
        <v>59090909</v>
      </c>
      <c r="W577" s="295">
        <v>0</v>
      </c>
      <c r="X577" s="296"/>
      <c r="Y577" s="287" t="s">
        <v>28</v>
      </c>
      <c r="Z577" s="297" t="s">
        <v>544</v>
      </c>
      <c r="AA577" s="313"/>
      <c r="AB577" s="313"/>
      <c r="AC577" s="298">
        <f t="shared" si="20"/>
        <v>60000000</v>
      </c>
      <c r="AD577" s="298">
        <v>60000000</v>
      </c>
      <c r="AE577" s="298">
        <f t="shared" si="21"/>
        <v>0</v>
      </c>
      <c r="AF577" s="299"/>
      <c r="AG577" s="300"/>
      <c r="AH577" s="299"/>
      <c r="AI577" s="299"/>
      <c r="AJ577" s="300"/>
      <c r="AK577" s="299"/>
      <c r="AL577" s="301"/>
      <c r="AM577" s="314"/>
      <c r="AN577" s="301"/>
      <c r="AO577" s="302"/>
      <c r="AP577" s="301"/>
      <c r="AQ577" s="301">
        <v>30000000</v>
      </c>
      <c r="AR577" s="301"/>
      <c r="AS577" s="301"/>
      <c r="AT577" s="301"/>
      <c r="AU577" s="301"/>
      <c r="AV577" s="301"/>
      <c r="AW577" s="301"/>
      <c r="AX577" s="301"/>
      <c r="AY577" s="301"/>
      <c r="AZ577" s="301"/>
      <c r="BA577" s="301"/>
      <c r="BB577" s="301"/>
      <c r="BC577" s="301"/>
      <c r="BD577" s="301"/>
      <c r="BE577" s="301">
        <v>30000000</v>
      </c>
      <c r="BF577" s="301"/>
      <c r="BG577" s="303"/>
      <c r="BH577" s="304"/>
    </row>
    <row r="578" spans="1:60" s="305" customFormat="1" ht="16.5" hidden="1" customHeight="1" x14ac:dyDescent="0.4">
      <c r="A578" s="285">
        <v>555</v>
      </c>
      <c r="B578" s="286"/>
      <c r="C578" s="286"/>
      <c r="D578" s="287" t="s">
        <v>92</v>
      </c>
      <c r="E578" s="287" t="s">
        <v>196</v>
      </c>
      <c r="F578" s="288" t="s">
        <v>92</v>
      </c>
      <c r="G578" s="289" t="s">
        <v>727</v>
      </c>
      <c r="H578" s="307"/>
      <c r="I578" s="290"/>
      <c r="J578" s="291" t="s">
        <v>469</v>
      </c>
      <c r="K578" s="287"/>
      <c r="L578" s="287"/>
      <c r="M578" s="287">
        <v>16315</v>
      </c>
      <c r="N578" s="287" t="s">
        <v>32</v>
      </c>
      <c r="O578" s="287" t="s">
        <v>33</v>
      </c>
      <c r="P578" s="287" t="s">
        <v>44</v>
      </c>
      <c r="Q578" s="287" t="s">
        <v>49</v>
      </c>
      <c r="R578" s="287" t="s">
        <v>29</v>
      </c>
      <c r="S578" s="292" t="s">
        <v>29</v>
      </c>
      <c r="T578" s="293"/>
      <c r="U578" s="294"/>
      <c r="V578" s="294">
        <v>0</v>
      </c>
      <c r="W578" s="295">
        <v>52637870</v>
      </c>
      <c r="X578" s="296"/>
      <c r="Y578" s="287" t="s">
        <v>25</v>
      </c>
      <c r="Z578" s="297" t="s">
        <v>25</v>
      </c>
      <c r="AA578" s="313"/>
      <c r="AB578" s="313"/>
      <c r="AC578" s="298">
        <f t="shared" si="20"/>
        <v>48000000</v>
      </c>
      <c r="AD578" s="298">
        <v>48000000</v>
      </c>
      <c r="AE578" s="298">
        <f t="shared" si="21"/>
        <v>0</v>
      </c>
      <c r="AF578" s="299"/>
      <c r="AG578" s="300"/>
      <c r="AH578" s="299"/>
      <c r="AI578" s="299"/>
      <c r="AJ578" s="300"/>
      <c r="AK578" s="299"/>
      <c r="AL578" s="301"/>
      <c r="AM578" s="314"/>
      <c r="AN578" s="301"/>
      <c r="AO578" s="302"/>
      <c r="AP578" s="301"/>
      <c r="AQ578" s="301"/>
      <c r="AR578" s="301"/>
      <c r="AS578" s="301"/>
      <c r="AT578" s="301"/>
      <c r="AU578" s="301">
        <v>8000000</v>
      </c>
      <c r="AV578" s="301"/>
      <c r="AW578" s="301">
        <v>8000000</v>
      </c>
      <c r="AX578" s="301"/>
      <c r="AY578" s="301">
        <v>8000000</v>
      </c>
      <c r="AZ578" s="301"/>
      <c r="BA578" s="301">
        <v>8000000</v>
      </c>
      <c r="BB578" s="301"/>
      <c r="BC578" s="301">
        <v>8000000</v>
      </c>
      <c r="BD578" s="301"/>
      <c r="BE578" s="301">
        <v>8000000</v>
      </c>
      <c r="BF578" s="301"/>
      <c r="BG578" s="303"/>
      <c r="BH578" s="304"/>
    </row>
    <row r="579" spans="1:60" s="305" customFormat="1" ht="16.5" hidden="1" customHeight="1" x14ac:dyDescent="0.4">
      <c r="A579" s="285">
        <v>556</v>
      </c>
      <c r="B579" s="286"/>
      <c r="C579" s="286"/>
      <c r="D579" s="287" t="s">
        <v>92</v>
      </c>
      <c r="E579" s="287" t="s">
        <v>196</v>
      </c>
      <c r="F579" s="288" t="s">
        <v>92</v>
      </c>
      <c r="G579" s="289" t="s">
        <v>727</v>
      </c>
      <c r="H579" s="307"/>
      <c r="I579" s="290"/>
      <c r="J579" s="291" t="s">
        <v>469</v>
      </c>
      <c r="K579" s="287"/>
      <c r="L579" s="287"/>
      <c r="M579" s="287">
        <v>16315</v>
      </c>
      <c r="N579" s="287" t="s">
        <v>32</v>
      </c>
      <c r="O579" s="287" t="s">
        <v>33</v>
      </c>
      <c r="P579" s="287" t="s">
        <v>44</v>
      </c>
      <c r="Q579" s="287" t="s">
        <v>49</v>
      </c>
      <c r="R579" s="287" t="s">
        <v>29</v>
      </c>
      <c r="S579" s="292" t="s">
        <v>29</v>
      </c>
      <c r="T579" s="293"/>
      <c r="U579" s="294">
        <v>47954620</v>
      </c>
      <c r="V579" s="294">
        <v>97423870</v>
      </c>
      <c r="W579" s="295">
        <v>0</v>
      </c>
      <c r="X579" s="296"/>
      <c r="Y579" s="287" t="s">
        <v>28</v>
      </c>
      <c r="Z579" s="297" t="s">
        <v>656</v>
      </c>
      <c r="AA579" s="313"/>
      <c r="AB579" s="313"/>
      <c r="AC579" s="298">
        <f t="shared" si="20"/>
        <v>0</v>
      </c>
      <c r="AD579" s="298">
        <v>0</v>
      </c>
      <c r="AE579" s="298">
        <f t="shared" si="21"/>
        <v>0</v>
      </c>
      <c r="AF579" s="299"/>
      <c r="AG579" s="300"/>
      <c r="AH579" s="299"/>
      <c r="AI579" s="299"/>
      <c r="AJ579" s="300"/>
      <c r="AK579" s="299"/>
      <c r="AL579" s="301"/>
      <c r="AM579" s="314"/>
      <c r="AN579" s="301"/>
      <c r="AO579" s="302"/>
      <c r="AP579" s="301"/>
      <c r="AQ579" s="301"/>
      <c r="AR579" s="301"/>
      <c r="AS579" s="301"/>
      <c r="AT579" s="301"/>
      <c r="AU579" s="301"/>
      <c r="AV579" s="301"/>
      <c r="AW579" s="301"/>
      <c r="AX579" s="301"/>
      <c r="AY579" s="301"/>
      <c r="AZ579" s="301"/>
      <c r="BA579" s="301"/>
      <c r="BB579" s="301"/>
      <c r="BC579" s="301"/>
      <c r="BD579" s="301"/>
      <c r="BE579" s="301"/>
      <c r="BF579" s="301"/>
      <c r="BG579" s="303"/>
      <c r="BH579" s="304"/>
    </row>
    <row r="580" spans="1:60" s="305" customFormat="1" ht="16.5" hidden="1" customHeight="1" x14ac:dyDescent="0.4">
      <c r="A580" s="285">
        <v>557</v>
      </c>
      <c r="B580" s="286"/>
      <c r="C580" s="286"/>
      <c r="D580" s="287"/>
      <c r="E580" s="287"/>
      <c r="F580" s="288" t="s">
        <v>92</v>
      </c>
      <c r="G580" s="289" t="s">
        <v>727</v>
      </c>
      <c r="H580" s="307"/>
      <c r="I580" s="290"/>
      <c r="J580" s="291" t="s">
        <v>469</v>
      </c>
      <c r="K580" s="287"/>
      <c r="L580" s="287"/>
      <c r="M580" s="287">
        <v>16315</v>
      </c>
      <c r="N580" s="287" t="s">
        <v>32</v>
      </c>
      <c r="O580" s="287" t="s">
        <v>33</v>
      </c>
      <c r="P580" s="287"/>
      <c r="Q580" s="287"/>
      <c r="R580" s="287"/>
      <c r="S580" s="292" t="s">
        <v>340</v>
      </c>
      <c r="T580" s="293"/>
      <c r="U580" s="294"/>
      <c r="V580" s="294"/>
      <c r="W580" s="295">
        <v>1000000</v>
      </c>
      <c r="X580" s="296"/>
      <c r="Y580" s="287"/>
      <c r="Z580" s="297" t="s">
        <v>656</v>
      </c>
      <c r="AA580" s="313"/>
      <c r="AB580" s="313"/>
      <c r="AC580" s="298">
        <f t="shared" si="20"/>
        <v>0</v>
      </c>
      <c r="AD580" s="298">
        <v>0</v>
      </c>
      <c r="AE580" s="298">
        <f t="shared" si="21"/>
        <v>0</v>
      </c>
      <c r="AF580" s="299"/>
      <c r="AG580" s="300"/>
      <c r="AH580" s="299"/>
      <c r="AI580" s="299"/>
      <c r="AJ580" s="300"/>
      <c r="AK580" s="299"/>
      <c r="AL580" s="301"/>
      <c r="AM580" s="314"/>
      <c r="AN580" s="301"/>
      <c r="AO580" s="302"/>
      <c r="AP580" s="301"/>
      <c r="AQ580" s="301"/>
      <c r="AR580" s="301"/>
      <c r="AS580" s="301"/>
      <c r="AT580" s="301"/>
      <c r="AU580" s="301"/>
      <c r="AV580" s="301"/>
      <c r="AW580" s="301"/>
      <c r="AX580" s="301"/>
      <c r="AY580" s="301"/>
      <c r="AZ580" s="301"/>
      <c r="BA580" s="301"/>
      <c r="BB580" s="301"/>
      <c r="BC580" s="301"/>
      <c r="BD580" s="301"/>
      <c r="BE580" s="301"/>
      <c r="BF580" s="301"/>
      <c r="BG580" s="303"/>
      <c r="BH580" s="304"/>
    </row>
    <row r="581" spans="1:60" s="305" customFormat="1" ht="16.5" hidden="1" customHeight="1" x14ac:dyDescent="0.4">
      <c r="A581" s="285">
        <v>558</v>
      </c>
      <c r="B581" s="286"/>
      <c r="C581" s="286"/>
      <c r="D581" s="287" t="s">
        <v>92</v>
      </c>
      <c r="E581" s="287" t="s">
        <v>235</v>
      </c>
      <c r="F581" s="288" t="s">
        <v>92</v>
      </c>
      <c r="G581" s="289" t="s">
        <v>727</v>
      </c>
      <c r="H581" s="307"/>
      <c r="I581" s="290"/>
      <c r="J581" s="291" t="s">
        <v>477</v>
      </c>
      <c r="K581" s="287"/>
      <c r="L581" s="287"/>
      <c r="M581" s="287">
        <v>21540</v>
      </c>
      <c r="N581" s="287" t="s">
        <v>23</v>
      </c>
      <c r="O581" s="287" t="s">
        <v>33</v>
      </c>
      <c r="P581" s="287"/>
      <c r="Q581" s="287" t="s">
        <v>24</v>
      </c>
      <c r="R581" s="287" t="s">
        <v>221</v>
      </c>
      <c r="S581" s="292" t="s">
        <v>745</v>
      </c>
      <c r="T581" s="293"/>
      <c r="U581" s="294"/>
      <c r="V581" s="294">
        <v>0</v>
      </c>
      <c r="W581" s="295"/>
      <c r="X581" s="296"/>
      <c r="Y581" s="287" t="s">
        <v>26</v>
      </c>
      <c r="Z581" s="297" t="s">
        <v>26</v>
      </c>
      <c r="AA581" s="313"/>
      <c r="AB581" s="313"/>
      <c r="AC581" s="298">
        <f t="shared" si="20"/>
        <v>10000000</v>
      </c>
      <c r="AD581" s="298">
        <v>10000000</v>
      </c>
      <c r="AE581" s="298">
        <f t="shared" si="21"/>
        <v>0</v>
      </c>
      <c r="AF581" s="299"/>
      <c r="AG581" s="300"/>
      <c r="AH581" s="299"/>
      <c r="AI581" s="299"/>
      <c r="AJ581" s="300"/>
      <c r="AK581" s="299"/>
      <c r="AL581" s="301"/>
      <c r="AM581" s="314"/>
      <c r="AN581" s="301"/>
      <c r="AO581" s="302"/>
      <c r="AP581" s="301"/>
      <c r="AQ581" s="301"/>
      <c r="AR581" s="301"/>
      <c r="AS581" s="301">
        <v>10000000</v>
      </c>
      <c r="AT581" s="301"/>
      <c r="AU581" s="301"/>
      <c r="AV581" s="301"/>
      <c r="AW581" s="301"/>
      <c r="AX581" s="301"/>
      <c r="AY581" s="301"/>
      <c r="AZ581" s="301"/>
      <c r="BA581" s="301"/>
      <c r="BB581" s="301"/>
      <c r="BC581" s="301"/>
      <c r="BD581" s="301"/>
      <c r="BE581" s="301"/>
      <c r="BF581" s="301"/>
      <c r="BG581" s="303"/>
      <c r="BH581" s="304"/>
    </row>
    <row r="582" spans="1:60" s="305" customFormat="1" ht="16.5" hidden="1" customHeight="1" x14ac:dyDescent="0.4">
      <c r="A582" s="285">
        <v>559</v>
      </c>
      <c r="B582" s="286"/>
      <c r="C582" s="286"/>
      <c r="D582" s="287" t="s">
        <v>92</v>
      </c>
      <c r="E582" s="287" t="s">
        <v>249</v>
      </c>
      <c r="F582" s="288" t="s">
        <v>92</v>
      </c>
      <c r="G582" s="289" t="s">
        <v>727</v>
      </c>
      <c r="H582" s="307"/>
      <c r="I582" s="290"/>
      <c r="J582" s="291" t="s">
        <v>167</v>
      </c>
      <c r="K582" s="287"/>
      <c r="L582" s="287"/>
      <c r="M582" s="287">
        <v>24534</v>
      </c>
      <c r="N582" s="287" t="s">
        <v>40</v>
      </c>
      <c r="O582" s="287" t="s">
        <v>43</v>
      </c>
      <c r="P582" s="287" t="s">
        <v>44</v>
      </c>
      <c r="Q582" s="287" t="s">
        <v>30</v>
      </c>
      <c r="R582" s="287" t="s">
        <v>31</v>
      </c>
      <c r="S582" s="292" t="s">
        <v>31</v>
      </c>
      <c r="T582" s="293"/>
      <c r="U582" s="294" t="s">
        <v>97</v>
      </c>
      <c r="V582" s="294">
        <v>500000</v>
      </c>
      <c r="W582" s="295">
        <v>1020000</v>
      </c>
      <c r="X582" s="296"/>
      <c r="Y582" s="287" t="s">
        <v>25</v>
      </c>
      <c r="Z582" s="297" t="s">
        <v>28</v>
      </c>
      <c r="AA582" s="313"/>
      <c r="AB582" s="313"/>
      <c r="AC582" s="298">
        <f t="shared" si="20"/>
        <v>1000000</v>
      </c>
      <c r="AD582" s="298">
        <v>1000000</v>
      </c>
      <c r="AE582" s="298">
        <f t="shared" si="21"/>
        <v>0</v>
      </c>
      <c r="AF582" s="299"/>
      <c r="AG582" s="300"/>
      <c r="AH582" s="299"/>
      <c r="AI582" s="299"/>
      <c r="AJ582" s="300"/>
      <c r="AK582" s="299"/>
      <c r="AL582" s="301"/>
      <c r="AM582" s="314"/>
      <c r="AN582" s="301"/>
      <c r="AO582" s="302"/>
      <c r="AP582" s="301"/>
      <c r="AQ582" s="301"/>
      <c r="AR582" s="301"/>
      <c r="AS582" s="301"/>
      <c r="AT582" s="301"/>
      <c r="AU582" s="301"/>
      <c r="AV582" s="301"/>
      <c r="AW582" s="301">
        <v>1000000</v>
      </c>
      <c r="AX582" s="301"/>
      <c r="AY582" s="301"/>
      <c r="AZ582" s="301"/>
      <c r="BA582" s="301"/>
      <c r="BB582" s="301"/>
      <c r="BC582" s="301"/>
      <c r="BD582" s="301"/>
      <c r="BE582" s="301"/>
      <c r="BF582" s="301"/>
      <c r="BG582" s="303"/>
      <c r="BH582" s="304"/>
    </row>
    <row r="583" spans="1:60" s="305" customFormat="1" ht="16.5" hidden="1" customHeight="1" x14ac:dyDescent="0.4">
      <c r="A583" s="285">
        <v>560</v>
      </c>
      <c r="B583" s="286"/>
      <c r="C583" s="286"/>
      <c r="D583" s="287" t="s">
        <v>92</v>
      </c>
      <c r="E583" s="287" t="s">
        <v>249</v>
      </c>
      <c r="F583" s="288" t="s">
        <v>92</v>
      </c>
      <c r="G583" s="289" t="s">
        <v>727</v>
      </c>
      <c r="H583" s="307"/>
      <c r="I583" s="290"/>
      <c r="J583" s="291" t="s">
        <v>168</v>
      </c>
      <c r="K583" s="287"/>
      <c r="L583" s="287"/>
      <c r="M583" s="287">
        <v>53468</v>
      </c>
      <c r="N583" s="287" t="s">
        <v>23</v>
      </c>
      <c r="O583" s="287" t="s">
        <v>43</v>
      </c>
      <c r="P583" s="287" t="s">
        <v>44</v>
      </c>
      <c r="Q583" s="287" t="s">
        <v>30</v>
      </c>
      <c r="R583" s="287" t="s">
        <v>31</v>
      </c>
      <c r="S583" s="292" t="s">
        <v>31</v>
      </c>
      <c r="T583" s="293"/>
      <c r="U583" s="294">
        <v>812000</v>
      </c>
      <c r="V583" s="294">
        <v>605000</v>
      </c>
      <c r="W583" s="295">
        <v>3184000</v>
      </c>
      <c r="X583" s="296"/>
      <c r="Y583" s="287" t="s">
        <v>28</v>
      </c>
      <c r="Z583" s="297" t="s">
        <v>28</v>
      </c>
      <c r="AA583" s="313"/>
      <c r="AB583" s="313"/>
      <c r="AC583" s="298">
        <f t="shared" si="20"/>
        <v>1000000</v>
      </c>
      <c r="AD583" s="298">
        <v>1000000</v>
      </c>
      <c r="AE583" s="298">
        <f t="shared" si="21"/>
        <v>0</v>
      </c>
      <c r="AF583" s="299"/>
      <c r="AG583" s="300"/>
      <c r="AH583" s="299"/>
      <c r="AI583" s="299"/>
      <c r="AJ583" s="300"/>
      <c r="AK583" s="299"/>
      <c r="AL583" s="301"/>
      <c r="AM583" s="314"/>
      <c r="AN583" s="301"/>
      <c r="AO583" s="302"/>
      <c r="AP583" s="301"/>
      <c r="AQ583" s="301"/>
      <c r="AR583" s="301"/>
      <c r="AS583" s="301"/>
      <c r="AT583" s="301"/>
      <c r="AU583" s="301"/>
      <c r="AV583" s="301"/>
      <c r="AW583" s="301">
        <v>1000000</v>
      </c>
      <c r="AX583" s="301"/>
      <c r="AY583" s="301"/>
      <c r="AZ583" s="301"/>
      <c r="BA583" s="301"/>
      <c r="BB583" s="301"/>
      <c r="BC583" s="301"/>
      <c r="BD583" s="301"/>
      <c r="BE583" s="301"/>
      <c r="BF583" s="301"/>
      <c r="BG583" s="303"/>
      <c r="BH583" s="304"/>
    </row>
    <row r="584" spans="1:60" s="305" customFormat="1" ht="16.5" hidden="1" customHeight="1" x14ac:dyDescent="0.4">
      <c r="A584" s="285">
        <v>561</v>
      </c>
      <c r="B584" s="286"/>
      <c r="C584" s="286"/>
      <c r="D584" s="287" t="s">
        <v>92</v>
      </c>
      <c r="E584" s="287" t="s">
        <v>249</v>
      </c>
      <c r="F584" s="288" t="s">
        <v>92</v>
      </c>
      <c r="G584" s="289" t="s">
        <v>727</v>
      </c>
      <c r="H584" s="307"/>
      <c r="I584" s="290"/>
      <c r="J584" s="291" t="s">
        <v>169</v>
      </c>
      <c r="K584" s="287"/>
      <c r="L584" s="287"/>
      <c r="M584" s="287">
        <v>16137</v>
      </c>
      <c r="N584" s="287" t="s">
        <v>23</v>
      </c>
      <c r="O584" s="287" t="s">
        <v>43</v>
      </c>
      <c r="P584" s="287" t="s">
        <v>44</v>
      </c>
      <c r="Q584" s="287" t="s">
        <v>30</v>
      </c>
      <c r="R584" s="287" t="s">
        <v>31</v>
      </c>
      <c r="S584" s="292" t="s">
        <v>31</v>
      </c>
      <c r="T584" s="293"/>
      <c r="U584" s="294" t="s">
        <v>97</v>
      </c>
      <c r="V584" s="294">
        <v>627000</v>
      </c>
      <c r="W584" s="295">
        <v>6000000</v>
      </c>
      <c r="X584" s="296"/>
      <c r="Y584" s="287" t="s">
        <v>28</v>
      </c>
      <c r="Z584" s="297" t="s">
        <v>28</v>
      </c>
      <c r="AA584" s="313"/>
      <c r="AB584" s="313"/>
      <c r="AC584" s="298">
        <f t="shared" si="20"/>
        <v>5628000</v>
      </c>
      <c r="AD584" s="298">
        <v>5628000</v>
      </c>
      <c r="AE584" s="298">
        <f t="shared" si="21"/>
        <v>0</v>
      </c>
      <c r="AF584" s="299"/>
      <c r="AG584" s="300"/>
      <c r="AH584" s="299"/>
      <c r="AI584" s="299"/>
      <c r="AJ584" s="300"/>
      <c r="AK584" s="299"/>
      <c r="AL584" s="301"/>
      <c r="AM584" s="314">
        <v>1628000</v>
      </c>
      <c r="AN584" s="301"/>
      <c r="AO584" s="302"/>
      <c r="AP584" s="301"/>
      <c r="AQ584" s="301"/>
      <c r="AR584" s="301"/>
      <c r="AS584" s="301"/>
      <c r="AT584" s="301"/>
      <c r="AU584" s="301">
        <v>2000000</v>
      </c>
      <c r="AV584" s="301"/>
      <c r="AW584" s="301"/>
      <c r="AX584" s="301"/>
      <c r="AY584" s="301"/>
      <c r="AZ584" s="301"/>
      <c r="BA584" s="301">
        <v>2000000</v>
      </c>
      <c r="BB584" s="301"/>
      <c r="BC584" s="301"/>
      <c r="BD584" s="301"/>
      <c r="BE584" s="301"/>
      <c r="BF584" s="301"/>
      <c r="BG584" s="303"/>
      <c r="BH584" s="304"/>
    </row>
    <row r="585" spans="1:60" s="305" customFormat="1" ht="16.5" hidden="1" customHeight="1" x14ac:dyDescent="0.4">
      <c r="A585" s="285">
        <v>562</v>
      </c>
      <c r="B585" s="286"/>
      <c r="C585" s="286"/>
      <c r="D585" s="287" t="s">
        <v>92</v>
      </c>
      <c r="E585" s="287" t="s">
        <v>249</v>
      </c>
      <c r="F585" s="288" t="s">
        <v>92</v>
      </c>
      <c r="G585" s="289" t="s">
        <v>727</v>
      </c>
      <c r="H585" s="307"/>
      <c r="I585" s="290"/>
      <c r="J585" s="291" t="s">
        <v>169</v>
      </c>
      <c r="K585" s="287"/>
      <c r="L585" s="287"/>
      <c r="M585" s="287">
        <v>16137</v>
      </c>
      <c r="N585" s="287" t="s">
        <v>23</v>
      </c>
      <c r="O585" s="287" t="s">
        <v>43</v>
      </c>
      <c r="P585" s="287"/>
      <c r="Q585" s="287" t="s">
        <v>30</v>
      </c>
      <c r="R585" s="287" t="s">
        <v>349</v>
      </c>
      <c r="S585" s="292" t="s">
        <v>349</v>
      </c>
      <c r="T585" s="293"/>
      <c r="U585" s="294" t="s">
        <v>97</v>
      </c>
      <c r="V585" s="294"/>
      <c r="W585" s="295">
        <v>5070000</v>
      </c>
      <c r="X585" s="296"/>
      <c r="Y585" s="287" t="s">
        <v>28</v>
      </c>
      <c r="Z585" s="297" t="s">
        <v>28</v>
      </c>
      <c r="AA585" s="313"/>
      <c r="AB585" s="313"/>
      <c r="AC585" s="298">
        <f t="shared" si="20"/>
        <v>4596000</v>
      </c>
      <c r="AD585" s="298">
        <v>4596000</v>
      </c>
      <c r="AE585" s="298">
        <f t="shared" si="21"/>
        <v>0</v>
      </c>
      <c r="AF585" s="299"/>
      <c r="AG585" s="300"/>
      <c r="AH585" s="299"/>
      <c r="AI585" s="299"/>
      <c r="AJ585" s="300"/>
      <c r="AK585" s="299"/>
      <c r="AL585" s="301"/>
      <c r="AM585" s="314"/>
      <c r="AN585" s="301"/>
      <c r="AO585" s="302">
        <v>2596000</v>
      </c>
      <c r="AP585" s="301"/>
      <c r="AQ585" s="301"/>
      <c r="AR585" s="301"/>
      <c r="AS585" s="301"/>
      <c r="AT585" s="301"/>
      <c r="AU585" s="301">
        <v>2000000</v>
      </c>
      <c r="AV585" s="301"/>
      <c r="AW585" s="301"/>
      <c r="AX585" s="301"/>
      <c r="AY585" s="301"/>
      <c r="AZ585" s="301"/>
      <c r="BA585" s="301"/>
      <c r="BB585" s="301"/>
      <c r="BC585" s="301"/>
      <c r="BD585" s="301"/>
      <c r="BE585" s="301"/>
      <c r="BF585" s="301"/>
      <c r="BG585" s="303"/>
      <c r="BH585" s="304"/>
    </row>
    <row r="586" spans="1:60" s="305" customFormat="1" ht="16.5" hidden="1" customHeight="1" x14ac:dyDescent="0.4">
      <c r="A586" s="285">
        <v>563</v>
      </c>
      <c r="B586" s="286"/>
      <c r="C586" s="286"/>
      <c r="D586" s="287" t="s">
        <v>92</v>
      </c>
      <c r="E586" s="287" t="s">
        <v>196</v>
      </c>
      <c r="F586" s="288" t="s">
        <v>92</v>
      </c>
      <c r="G586" s="289" t="s">
        <v>727</v>
      </c>
      <c r="H586" s="307"/>
      <c r="I586" s="290"/>
      <c r="J586" s="291" t="s">
        <v>204</v>
      </c>
      <c r="K586" s="287"/>
      <c r="L586" s="287"/>
      <c r="M586" s="287">
        <v>17601</v>
      </c>
      <c r="N586" s="287" t="s">
        <v>40</v>
      </c>
      <c r="O586" s="287" t="s">
        <v>33</v>
      </c>
      <c r="P586" s="287" t="s">
        <v>44</v>
      </c>
      <c r="Q586" s="287" t="s">
        <v>30</v>
      </c>
      <c r="R586" s="287" t="s">
        <v>31</v>
      </c>
      <c r="S586" s="292" t="s">
        <v>31</v>
      </c>
      <c r="T586" s="293"/>
      <c r="U586" s="294">
        <v>11599200</v>
      </c>
      <c r="V586" s="294">
        <v>7046000</v>
      </c>
      <c r="W586" s="295">
        <v>5955500</v>
      </c>
      <c r="X586" s="296"/>
      <c r="Y586" s="287" t="s">
        <v>28</v>
      </c>
      <c r="Z586" s="297" t="s">
        <v>25</v>
      </c>
      <c r="AA586" s="313"/>
      <c r="AB586" s="313"/>
      <c r="AC586" s="298">
        <f t="shared" si="20"/>
        <v>2000000</v>
      </c>
      <c r="AD586" s="298">
        <v>2000000</v>
      </c>
      <c r="AE586" s="298">
        <f t="shared" si="21"/>
        <v>0</v>
      </c>
      <c r="AF586" s="299"/>
      <c r="AG586" s="300"/>
      <c r="AH586" s="299"/>
      <c r="AI586" s="299"/>
      <c r="AJ586" s="300"/>
      <c r="AK586" s="299"/>
      <c r="AL586" s="301"/>
      <c r="AM586" s="314"/>
      <c r="AN586" s="301"/>
      <c r="AO586" s="302"/>
      <c r="AP586" s="301"/>
      <c r="AQ586" s="301"/>
      <c r="AR586" s="301"/>
      <c r="AS586" s="301">
        <v>2000000</v>
      </c>
      <c r="AT586" s="301"/>
      <c r="AU586" s="301"/>
      <c r="AV586" s="301"/>
      <c r="AW586" s="301"/>
      <c r="AX586" s="301"/>
      <c r="AY586" s="301"/>
      <c r="AZ586" s="301"/>
      <c r="BA586" s="301"/>
      <c r="BB586" s="301"/>
      <c r="BC586" s="301"/>
      <c r="BD586" s="301"/>
      <c r="BE586" s="301"/>
      <c r="BF586" s="301"/>
      <c r="BG586" s="303"/>
      <c r="BH586" s="304"/>
    </row>
    <row r="587" spans="1:60" s="305" customFormat="1" ht="16.5" hidden="1" customHeight="1" x14ac:dyDescent="0.4">
      <c r="A587" s="285">
        <v>564</v>
      </c>
      <c r="B587" s="286"/>
      <c r="C587" s="286"/>
      <c r="D587" s="287" t="s">
        <v>92</v>
      </c>
      <c r="E587" s="287" t="s">
        <v>184</v>
      </c>
      <c r="F587" s="288" t="s">
        <v>92</v>
      </c>
      <c r="G587" s="289" t="s">
        <v>727</v>
      </c>
      <c r="H587" s="307"/>
      <c r="I587" s="290"/>
      <c r="J587" s="291" t="s">
        <v>461</v>
      </c>
      <c r="K587" s="287"/>
      <c r="L587" s="287"/>
      <c r="M587" s="287">
        <v>1471</v>
      </c>
      <c r="N587" s="287" t="s">
        <v>23</v>
      </c>
      <c r="O587" s="287" t="s">
        <v>33</v>
      </c>
      <c r="P587" s="287" t="s">
        <v>44</v>
      </c>
      <c r="Q587" s="287" t="s">
        <v>19</v>
      </c>
      <c r="R587" s="287" t="s">
        <v>20</v>
      </c>
      <c r="S587" s="292" t="s">
        <v>20</v>
      </c>
      <c r="T587" s="293"/>
      <c r="U587" s="294">
        <v>185449490</v>
      </c>
      <c r="V587" s="294">
        <v>0</v>
      </c>
      <c r="W587" s="295"/>
      <c r="X587" s="296"/>
      <c r="Y587" s="287" t="s">
        <v>544</v>
      </c>
      <c r="Z587" s="297" t="s">
        <v>56</v>
      </c>
      <c r="AA587" s="313"/>
      <c r="AB587" s="313"/>
      <c r="AC587" s="298">
        <f t="shared" si="20"/>
        <v>0</v>
      </c>
      <c r="AD587" s="298">
        <v>0</v>
      </c>
      <c r="AE587" s="298">
        <f t="shared" si="21"/>
        <v>0</v>
      </c>
      <c r="AF587" s="299"/>
      <c r="AG587" s="300"/>
      <c r="AH587" s="299"/>
      <c r="AI587" s="299"/>
      <c r="AJ587" s="300"/>
      <c r="AK587" s="299"/>
      <c r="AL587" s="301"/>
      <c r="AM587" s="314"/>
      <c r="AN587" s="301"/>
      <c r="AO587" s="302"/>
      <c r="AP587" s="301"/>
      <c r="AQ587" s="301"/>
      <c r="AR587" s="301"/>
      <c r="AS587" s="301"/>
      <c r="AT587" s="301"/>
      <c r="AU587" s="301"/>
      <c r="AV587" s="301"/>
      <c r="AW587" s="301"/>
      <c r="AX587" s="301"/>
      <c r="AY587" s="301"/>
      <c r="AZ587" s="301"/>
      <c r="BA587" s="301"/>
      <c r="BB587" s="301"/>
      <c r="BC587" s="301"/>
      <c r="BD587" s="301"/>
      <c r="BE587" s="301"/>
      <c r="BF587" s="301"/>
      <c r="BG587" s="303"/>
      <c r="BH587" s="304"/>
    </row>
    <row r="588" spans="1:60" s="305" customFormat="1" ht="16.5" hidden="1" customHeight="1" x14ac:dyDescent="0.4">
      <c r="A588" s="285">
        <v>565</v>
      </c>
      <c r="B588" s="286"/>
      <c r="C588" s="286"/>
      <c r="D588" s="287" t="s">
        <v>92</v>
      </c>
      <c r="E588" s="287" t="s">
        <v>184</v>
      </c>
      <c r="F588" s="288" t="s">
        <v>92</v>
      </c>
      <c r="G588" s="289" t="s">
        <v>727</v>
      </c>
      <c r="H588" s="307"/>
      <c r="I588" s="290"/>
      <c r="J588" s="291" t="s">
        <v>461</v>
      </c>
      <c r="K588" s="287"/>
      <c r="L588" s="287"/>
      <c r="M588" s="287">
        <v>1471</v>
      </c>
      <c r="N588" s="287" t="s">
        <v>23</v>
      </c>
      <c r="O588" s="287" t="s">
        <v>33</v>
      </c>
      <c r="P588" s="287"/>
      <c r="Q588" s="287" t="s">
        <v>47</v>
      </c>
      <c r="R588" s="287" t="s">
        <v>340</v>
      </c>
      <c r="S588" s="292" t="s">
        <v>340</v>
      </c>
      <c r="T588" s="293"/>
      <c r="U588" s="294"/>
      <c r="V588" s="294">
        <v>33200000</v>
      </c>
      <c r="W588" s="295"/>
      <c r="X588" s="296"/>
      <c r="Y588" s="287" t="s">
        <v>21</v>
      </c>
      <c r="Z588" s="297" t="s">
        <v>618</v>
      </c>
      <c r="AA588" s="313"/>
      <c r="AB588" s="313"/>
      <c r="AC588" s="298">
        <f t="shared" si="20"/>
        <v>0</v>
      </c>
      <c r="AD588" s="298">
        <v>0</v>
      </c>
      <c r="AE588" s="298">
        <f t="shared" si="21"/>
        <v>0</v>
      </c>
      <c r="AF588" s="299"/>
      <c r="AG588" s="300"/>
      <c r="AH588" s="299"/>
      <c r="AI588" s="299"/>
      <c r="AJ588" s="300"/>
      <c r="AK588" s="299"/>
      <c r="AL588" s="301"/>
      <c r="AM588" s="314"/>
      <c r="AN588" s="301"/>
      <c r="AO588" s="302"/>
      <c r="AP588" s="301"/>
      <c r="AQ588" s="301"/>
      <c r="AR588" s="301"/>
      <c r="AS588" s="301"/>
      <c r="AT588" s="301"/>
      <c r="AU588" s="301"/>
      <c r="AV588" s="301"/>
      <c r="AW588" s="301"/>
      <c r="AX588" s="301"/>
      <c r="AY588" s="301"/>
      <c r="AZ588" s="301"/>
      <c r="BA588" s="301"/>
      <c r="BB588" s="301"/>
      <c r="BC588" s="301"/>
      <c r="BD588" s="301"/>
      <c r="BE588" s="301"/>
      <c r="BF588" s="301"/>
      <c r="BG588" s="303"/>
      <c r="BH588" s="304"/>
    </row>
    <row r="589" spans="1:60" s="305" customFormat="1" ht="16.5" hidden="1" customHeight="1" x14ac:dyDescent="0.4">
      <c r="A589" s="285">
        <v>566</v>
      </c>
      <c r="B589" s="286"/>
      <c r="C589" s="286"/>
      <c r="D589" s="287" t="s">
        <v>92</v>
      </c>
      <c r="E589" s="287" t="s">
        <v>184</v>
      </c>
      <c r="F589" s="288" t="s">
        <v>92</v>
      </c>
      <c r="G589" s="289" t="s">
        <v>727</v>
      </c>
      <c r="H589" s="307"/>
      <c r="I589" s="290"/>
      <c r="J589" s="291" t="s">
        <v>461</v>
      </c>
      <c r="K589" s="287"/>
      <c r="L589" s="287"/>
      <c r="M589" s="287">
        <v>1471</v>
      </c>
      <c r="N589" s="287" t="s">
        <v>23</v>
      </c>
      <c r="O589" s="287" t="s">
        <v>33</v>
      </c>
      <c r="P589" s="287"/>
      <c r="Q589" s="287" t="s">
        <v>24</v>
      </c>
      <c r="R589" s="287" t="s">
        <v>221</v>
      </c>
      <c r="S589" s="292" t="s">
        <v>745</v>
      </c>
      <c r="T589" s="293"/>
      <c r="U589" s="294">
        <v>12500000</v>
      </c>
      <c r="V589" s="294">
        <v>0</v>
      </c>
      <c r="W589" s="295"/>
      <c r="X589" s="296"/>
      <c r="Y589" s="287" t="s">
        <v>22</v>
      </c>
      <c r="Z589" s="297" t="s">
        <v>618</v>
      </c>
      <c r="AA589" s="313"/>
      <c r="AB589" s="313"/>
      <c r="AC589" s="298">
        <f t="shared" si="20"/>
        <v>0</v>
      </c>
      <c r="AD589" s="298">
        <v>0</v>
      </c>
      <c r="AE589" s="298">
        <f t="shared" si="21"/>
        <v>0</v>
      </c>
      <c r="AF589" s="299"/>
      <c r="AG589" s="300"/>
      <c r="AH589" s="299"/>
      <c r="AI589" s="299"/>
      <c r="AJ589" s="300"/>
      <c r="AK589" s="299"/>
      <c r="AL589" s="301"/>
      <c r="AM589" s="314"/>
      <c r="AN589" s="301"/>
      <c r="AO589" s="302"/>
      <c r="AP589" s="301"/>
      <c r="AQ589" s="301"/>
      <c r="AR589" s="301"/>
      <c r="AS589" s="301"/>
      <c r="AT589" s="301"/>
      <c r="AU589" s="301"/>
      <c r="AV589" s="301"/>
      <c r="AW589" s="301"/>
      <c r="AX589" s="301"/>
      <c r="AY589" s="301"/>
      <c r="AZ589" s="301"/>
      <c r="BA589" s="301"/>
      <c r="BB589" s="301"/>
      <c r="BC589" s="301"/>
      <c r="BD589" s="301"/>
      <c r="BE589" s="301"/>
      <c r="BF589" s="301"/>
      <c r="BG589" s="303"/>
      <c r="BH589" s="304"/>
    </row>
    <row r="590" spans="1:60" s="305" customFormat="1" ht="16.5" hidden="1" customHeight="1" x14ac:dyDescent="0.4">
      <c r="A590" s="285">
        <v>567</v>
      </c>
      <c r="B590" s="286"/>
      <c r="C590" s="286"/>
      <c r="D590" s="287" t="s">
        <v>92</v>
      </c>
      <c r="E590" s="287" t="s">
        <v>184</v>
      </c>
      <c r="F590" s="288" t="s">
        <v>92</v>
      </c>
      <c r="G590" s="289" t="s">
        <v>727</v>
      </c>
      <c r="H590" s="307"/>
      <c r="I590" s="290"/>
      <c r="J590" s="291" t="s">
        <v>481</v>
      </c>
      <c r="K590" s="287"/>
      <c r="L590" s="287"/>
      <c r="M590" s="287">
        <v>22605</v>
      </c>
      <c r="N590" s="287" t="s">
        <v>18</v>
      </c>
      <c r="O590" s="287" t="s">
        <v>43</v>
      </c>
      <c r="P590" s="287" t="s">
        <v>44</v>
      </c>
      <c r="Q590" s="287" t="s">
        <v>30</v>
      </c>
      <c r="R590" s="287" t="s">
        <v>20</v>
      </c>
      <c r="S590" s="292" t="s">
        <v>31</v>
      </c>
      <c r="T590" s="293"/>
      <c r="U590" s="294"/>
      <c r="V590" s="294">
        <v>2341800</v>
      </c>
      <c r="W590" s="295">
        <v>1568000</v>
      </c>
      <c r="X590" s="296"/>
      <c r="Y590" s="287" t="s">
        <v>28</v>
      </c>
      <c r="Z590" s="297" t="s">
        <v>28</v>
      </c>
      <c r="AA590" s="313"/>
      <c r="AB590" s="313"/>
      <c r="AC590" s="298">
        <f t="shared" si="20"/>
        <v>1164000</v>
      </c>
      <c r="AD590" s="298">
        <v>1164000</v>
      </c>
      <c r="AE590" s="298">
        <f t="shared" si="21"/>
        <v>0</v>
      </c>
      <c r="AF590" s="299">
        <v>0</v>
      </c>
      <c r="AG590" s="300"/>
      <c r="AH590" s="299"/>
      <c r="AI590" s="299">
        <v>0</v>
      </c>
      <c r="AJ590" s="300"/>
      <c r="AK590" s="299"/>
      <c r="AL590" s="301"/>
      <c r="AM590" s="314">
        <v>264000</v>
      </c>
      <c r="AN590" s="301"/>
      <c r="AO590" s="302">
        <v>100000</v>
      </c>
      <c r="AP590" s="301"/>
      <c r="AQ590" s="301">
        <v>100000</v>
      </c>
      <c r="AR590" s="301"/>
      <c r="AS590" s="301">
        <v>100000</v>
      </c>
      <c r="AT590" s="301"/>
      <c r="AU590" s="301">
        <v>100000</v>
      </c>
      <c r="AV590" s="301"/>
      <c r="AW590" s="301">
        <v>100000</v>
      </c>
      <c r="AX590" s="301"/>
      <c r="AY590" s="301">
        <v>100000</v>
      </c>
      <c r="AZ590" s="301"/>
      <c r="BA590" s="301">
        <v>100000</v>
      </c>
      <c r="BB590" s="301"/>
      <c r="BC590" s="301">
        <v>100000</v>
      </c>
      <c r="BD590" s="301"/>
      <c r="BE590" s="301">
        <v>100000</v>
      </c>
      <c r="BF590" s="301"/>
      <c r="BG590" s="303"/>
      <c r="BH590" s="304"/>
    </row>
    <row r="591" spans="1:60" s="305" customFormat="1" ht="16.5" hidden="1" customHeight="1" x14ac:dyDescent="0.4">
      <c r="A591" s="285">
        <v>568</v>
      </c>
      <c r="B591" s="286"/>
      <c r="C591" s="286"/>
      <c r="D591" s="287" t="s">
        <v>92</v>
      </c>
      <c r="E591" s="287" t="s">
        <v>249</v>
      </c>
      <c r="F591" s="288" t="s">
        <v>92</v>
      </c>
      <c r="G591" s="289" t="s">
        <v>727</v>
      </c>
      <c r="H591" s="307"/>
      <c r="I591" s="290"/>
      <c r="J591" s="291" t="s">
        <v>503</v>
      </c>
      <c r="K591" s="287"/>
      <c r="L591" s="287"/>
      <c r="M591" s="287">
        <v>45082</v>
      </c>
      <c r="N591" s="287" t="s">
        <v>23</v>
      </c>
      <c r="O591" s="287" t="s">
        <v>43</v>
      </c>
      <c r="P591" s="287" t="s">
        <v>44</v>
      </c>
      <c r="Q591" s="287" t="s">
        <v>19</v>
      </c>
      <c r="R591" s="287" t="s">
        <v>20</v>
      </c>
      <c r="S591" s="292" t="s">
        <v>20</v>
      </c>
      <c r="T591" s="293"/>
      <c r="U591" s="294">
        <v>162000</v>
      </c>
      <c r="V591" s="294">
        <v>0</v>
      </c>
      <c r="W591" s="295">
        <v>246000</v>
      </c>
      <c r="X591" s="296"/>
      <c r="Y591" s="287" t="s">
        <v>22</v>
      </c>
      <c r="Z591" s="297" t="s">
        <v>618</v>
      </c>
      <c r="AA591" s="313"/>
      <c r="AB591" s="313"/>
      <c r="AC591" s="298">
        <f t="shared" si="20"/>
        <v>0</v>
      </c>
      <c r="AD591" s="298">
        <v>0</v>
      </c>
      <c r="AE591" s="298">
        <f t="shared" si="21"/>
        <v>0</v>
      </c>
      <c r="AF591" s="299"/>
      <c r="AG591" s="300"/>
      <c r="AH591" s="299"/>
      <c r="AI591" s="299"/>
      <c r="AJ591" s="300"/>
      <c r="AK591" s="299"/>
      <c r="AL591" s="301"/>
      <c r="AM591" s="314"/>
      <c r="AN591" s="301"/>
      <c r="AO591" s="302"/>
      <c r="AP591" s="301"/>
      <c r="AQ591" s="301"/>
      <c r="AR591" s="301"/>
      <c r="AS591" s="301"/>
      <c r="AT591" s="301"/>
      <c r="AU591" s="301"/>
      <c r="AV591" s="301"/>
      <c r="AW591" s="301"/>
      <c r="AX591" s="301"/>
      <c r="AY591" s="301"/>
      <c r="AZ591" s="301"/>
      <c r="BA591" s="301"/>
      <c r="BB591" s="301"/>
      <c r="BC591" s="301"/>
      <c r="BD591" s="301"/>
      <c r="BE591" s="301"/>
      <c r="BF591" s="301"/>
      <c r="BG591" s="303"/>
      <c r="BH591" s="304"/>
    </row>
    <row r="592" spans="1:60" s="305" customFormat="1" ht="16.5" hidden="1" customHeight="1" x14ac:dyDescent="0.4">
      <c r="A592" s="285">
        <v>569</v>
      </c>
      <c r="B592" s="286"/>
      <c r="C592" s="286"/>
      <c r="D592" s="287"/>
      <c r="E592" s="287"/>
      <c r="F592" s="288" t="s">
        <v>92</v>
      </c>
      <c r="G592" s="289" t="s">
        <v>727</v>
      </c>
      <c r="H592" s="307"/>
      <c r="I592" s="290"/>
      <c r="J592" s="291" t="s">
        <v>503</v>
      </c>
      <c r="K592" s="287"/>
      <c r="L592" s="287"/>
      <c r="M592" s="287">
        <v>45082</v>
      </c>
      <c r="N592" s="287" t="s">
        <v>23</v>
      </c>
      <c r="O592" s="287" t="s">
        <v>43</v>
      </c>
      <c r="P592" s="287" t="s">
        <v>44</v>
      </c>
      <c r="Q592" s="287">
        <v>0</v>
      </c>
      <c r="R592" s="287">
        <v>0</v>
      </c>
      <c r="S592" s="292" t="s">
        <v>31</v>
      </c>
      <c r="T592" s="293"/>
      <c r="U592" s="294">
        <v>0</v>
      </c>
      <c r="V592" s="294"/>
      <c r="W592" s="295"/>
      <c r="X592" s="296"/>
      <c r="Y592" s="287"/>
      <c r="Z592" s="297" t="s">
        <v>28</v>
      </c>
      <c r="AA592" s="313"/>
      <c r="AB592" s="313"/>
      <c r="AC592" s="298">
        <f t="shared" si="20"/>
        <v>318000</v>
      </c>
      <c r="AD592" s="298">
        <v>318000</v>
      </c>
      <c r="AE592" s="298">
        <f t="shared" si="21"/>
        <v>0</v>
      </c>
      <c r="AF592" s="299"/>
      <c r="AG592" s="300"/>
      <c r="AH592" s="299">
        <v>318000</v>
      </c>
      <c r="AI592" s="299"/>
      <c r="AJ592" s="300"/>
      <c r="AK592" s="299"/>
      <c r="AL592" s="301"/>
      <c r="AM592" s="314">
        <v>318000</v>
      </c>
      <c r="AN592" s="301"/>
      <c r="AO592" s="302"/>
      <c r="AP592" s="301"/>
      <c r="AQ592" s="301"/>
      <c r="AR592" s="301"/>
      <c r="AS592" s="301"/>
      <c r="AT592" s="301"/>
      <c r="AU592" s="301"/>
      <c r="AV592" s="301"/>
      <c r="AW592" s="301"/>
      <c r="AX592" s="301"/>
      <c r="AY592" s="301"/>
      <c r="AZ592" s="301"/>
      <c r="BA592" s="301"/>
      <c r="BB592" s="301"/>
      <c r="BC592" s="301"/>
      <c r="BD592" s="301"/>
      <c r="BE592" s="301"/>
      <c r="BF592" s="301"/>
      <c r="BG592" s="303"/>
      <c r="BH592" s="304"/>
    </row>
    <row r="593" spans="1:60" s="305" customFormat="1" ht="16.5" hidden="1" customHeight="1" x14ac:dyDescent="0.4">
      <c r="A593" s="285">
        <v>570</v>
      </c>
      <c r="B593" s="286"/>
      <c r="C593" s="286"/>
      <c r="D593" s="287" t="s">
        <v>92</v>
      </c>
      <c r="E593" s="287" t="s">
        <v>249</v>
      </c>
      <c r="F593" s="288" t="s">
        <v>92</v>
      </c>
      <c r="G593" s="289" t="s">
        <v>727</v>
      </c>
      <c r="H593" s="307"/>
      <c r="I593" s="290"/>
      <c r="J593" s="291" t="s">
        <v>455</v>
      </c>
      <c r="K593" s="287"/>
      <c r="L593" s="287"/>
      <c r="M593" s="287">
        <v>10646</v>
      </c>
      <c r="N593" s="287" t="s">
        <v>23</v>
      </c>
      <c r="O593" s="287" t="s">
        <v>43</v>
      </c>
      <c r="P593" s="287" t="s">
        <v>44</v>
      </c>
      <c r="Q593" s="287" t="s">
        <v>19</v>
      </c>
      <c r="R593" s="287" t="s">
        <v>20</v>
      </c>
      <c r="S593" s="292" t="s">
        <v>20</v>
      </c>
      <c r="T593" s="293"/>
      <c r="U593" s="294">
        <v>33524420</v>
      </c>
      <c r="V593" s="294">
        <v>35348100</v>
      </c>
      <c r="W593" s="295">
        <v>4830000</v>
      </c>
      <c r="X593" s="296"/>
      <c r="Y593" s="287" t="s">
        <v>28</v>
      </c>
      <c r="Z593" s="297" t="s">
        <v>25</v>
      </c>
      <c r="AA593" s="313"/>
      <c r="AB593" s="313"/>
      <c r="AC593" s="298">
        <f t="shared" si="20"/>
        <v>11000000</v>
      </c>
      <c r="AD593" s="298">
        <v>11000000</v>
      </c>
      <c r="AE593" s="298">
        <f t="shared" si="21"/>
        <v>0</v>
      </c>
      <c r="AF593" s="299"/>
      <c r="AG593" s="300"/>
      <c r="AH593" s="299"/>
      <c r="AI593" s="299"/>
      <c r="AJ593" s="300"/>
      <c r="AK593" s="299"/>
      <c r="AL593" s="301"/>
      <c r="AM593" s="314"/>
      <c r="AN593" s="301"/>
      <c r="AO593" s="302"/>
      <c r="AP593" s="301"/>
      <c r="AQ593" s="316">
        <v>4000000</v>
      </c>
      <c r="AR593" s="301"/>
      <c r="AS593" s="301"/>
      <c r="AT593" s="301"/>
      <c r="AU593" s="301"/>
      <c r="AV593" s="301"/>
      <c r="AW593" s="301"/>
      <c r="AX593" s="301"/>
      <c r="AY593" s="301"/>
      <c r="AZ593" s="301"/>
      <c r="BA593" s="301">
        <v>7000000</v>
      </c>
      <c r="BB593" s="301"/>
      <c r="BC593" s="301"/>
      <c r="BD593" s="301"/>
      <c r="BE593" s="301"/>
      <c r="BF593" s="301"/>
      <c r="BG593" s="303"/>
      <c r="BH593" s="304"/>
    </row>
    <row r="594" spans="1:60" s="305" customFormat="1" ht="16.5" hidden="1" customHeight="1" x14ac:dyDescent="0.4">
      <c r="A594" s="285">
        <v>571</v>
      </c>
      <c r="B594" s="286"/>
      <c r="C594" s="286"/>
      <c r="D594" s="287" t="s">
        <v>92</v>
      </c>
      <c r="E594" s="287" t="s">
        <v>249</v>
      </c>
      <c r="F594" s="288" t="s">
        <v>92</v>
      </c>
      <c r="G594" s="289" t="s">
        <v>727</v>
      </c>
      <c r="H594" s="307"/>
      <c r="I594" s="290"/>
      <c r="J594" s="291" t="s">
        <v>499</v>
      </c>
      <c r="K594" s="287"/>
      <c r="L594" s="287"/>
      <c r="M594" s="287">
        <v>4073</v>
      </c>
      <c r="N594" s="287" t="s">
        <v>23</v>
      </c>
      <c r="O594" s="287" t="s">
        <v>43</v>
      </c>
      <c r="P594" s="287" t="s">
        <v>44</v>
      </c>
      <c r="Q594" s="287" t="s">
        <v>19</v>
      </c>
      <c r="R594" s="287" t="s">
        <v>20</v>
      </c>
      <c r="S594" s="292" t="s">
        <v>29</v>
      </c>
      <c r="T594" s="293"/>
      <c r="U594" s="294">
        <v>12548720</v>
      </c>
      <c r="V594" s="294">
        <v>18337400</v>
      </c>
      <c r="W594" s="295">
        <v>15017300</v>
      </c>
      <c r="X594" s="296"/>
      <c r="Y594" s="287" t="s">
        <v>28</v>
      </c>
      <c r="Z594" s="297" t="s">
        <v>28</v>
      </c>
      <c r="AA594" s="313"/>
      <c r="AB594" s="313"/>
      <c r="AC594" s="298">
        <f t="shared" si="20"/>
        <v>10720000</v>
      </c>
      <c r="AD594" s="298">
        <v>10720000</v>
      </c>
      <c r="AE594" s="298">
        <f t="shared" si="21"/>
        <v>0</v>
      </c>
      <c r="AF594" s="299">
        <v>650000</v>
      </c>
      <c r="AG594" s="300">
        <v>650000</v>
      </c>
      <c r="AH594" s="299"/>
      <c r="AI594" s="299">
        <v>310000</v>
      </c>
      <c r="AJ594" s="300">
        <v>310000</v>
      </c>
      <c r="AK594" s="299"/>
      <c r="AL594" s="301"/>
      <c r="AM594" s="314">
        <v>240000</v>
      </c>
      <c r="AN594" s="301"/>
      <c r="AO594" s="302">
        <v>520000</v>
      </c>
      <c r="AP594" s="301"/>
      <c r="AQ594" s="301">
        <v>1000000</v>
      </c>
      <c r="AR594" s="301"/>
      <c r="AS594" s="301">
        <v>1000000</v>
      </c>
      <c r="AT594" s="301"/>
      <c r="AU594" s="301">
        <v>1000000</v>
      </c>
      <c r="AV594" s="301"/>
      <c r="AW594" s="301">
        <v>1000000</v>
      </c>
      <c r="AX594" s="301"/>
      <c r="AY594" s="301">
        <v>1000000</v>
      </c>
      <c r="AZ594" s="301"/>
      <c r="BA594" s="301">
        <v>1000000</v>
      </c>
      <c r="BB594" s="301"/>
      <c r="BC594" s="301">
        <v>1000000</v>
      </c>
      <c r="BD594" s="301"/>
      <c r="BE594" s="301">
        <v>2000000</v>
      </c>
      <c r="BF594" s="301"/>
      <c r="BG594" s="303"/>
      <c r="BH594" s="304"/>
    </row>
    <row r="595" spans="1:60" s="305" customFormat="1" ht="16.5" hidden="1" customHeight="1" x14ac:dyDescent="0.4">
      <c r="A595" s="285">
        <v>572</v>
      </c>
      <c r="B595" s="286"/>
      <c r="C595" s="286"/>
      <c r="D595" s="287" t="s">
        <v>92</v>
      </c>
      <c r="E595" s="287" t="s">
        <v>249</v>
      </c>
      <c r="F595" s="288" t="s">
        <v>92</v>
      </c>
      <c r="G595" s="289" t="s">
        <v>727</v>
      </c>
      <c r="H595" s="307"/>
      <c r="I595" s="290"/>
      <c r="J595" s="291" t="s">
        <v>462</v>
      </c>
      <c r="K595" s="287"/>
      <c r="L595" s="287"/>
      <c r="M595" s="287">
        <v>14752</v>
      </c>
      <c r="N595" s="287" t="s">
        <v>40</v>
      </c>
      <c r="O595" s="287" t="s">
        <v>43</v>
      </c>
      <c r="P595" s="287" t="s">
        <v>44</v>
      </c>
      <c r="Q595" s="287" t="s">
        <v>19</v>
      </c>
      <c r="R595" s="287" t="s">
        <v>20</v>
      </c>
      <c r="S595" s="292" t="s">
        <v>20</v>
      </c>
      <c r="T595" s="293"/>
      <c r="U595" s="294">
        <v>11333860</v>
      </c>
      <c r="V595" s="294">
        <v>13215640</v>
      </c>
      <c r="W595" s="295">
        <v>2586000</v>
      </c>
      <c r="X595" s="296"/>
      <c r="Y595" s="287" t="s">
        <v>28</v>
      </c>
      <c r="Z595" s="297" t="s">
        <v>28</v>
      </c>
      <c r="AA595" s="313"/>
      <c r="AB595" s="313"/>
      <c r="AC595" s="298">
        <f t="shared" si="20"/>
        <v>9000000</v>
      </c>
      <c r="AD595" s="298">
        <v>9000000</v>
      </c>
      <c r="AE595" s="298">
        <f t="shared" si="21"/>
        <v>0</v>
      </c>
      <c r="AF595" s="299">
        <v>0</v>
      </c>
      <c r="AG595" s="300"/>
      <c r="AH595" s="299"/>
      <c r="AI595" s="299">
        <v>0</v>
      </c>
      <c r="AJ595" s="300"/>
      <c r="AK595" s="299"/>
      <c r="AL595" s="301"/>
      <c r="AM595" s="314"/>
      <c r="AN595" s="301"/>
      <c r="AO595" s="302">
        <v>1000000</v>
      </c>
      <c r="AP595" s="301"/>
      <c r="AQ595" s="301">
        <v>1000000</v>
      </c>
      <c r="AR595" s="301"/>
      <c r="AS595" s="301">
        <v>1000000</v>
      </c>
      <c r="AT595" s="301"/>
      <c r="AU595" s="301">
        <v>1000000</v>
      </c>
      <c r="AV595" s="301"/>
      <c r="AW595" s="301">
        <v>1000000</v>
      </c>
      <c r="AX595" s="301"/>
      <c r="AY595" s="301">
        <v>1000000</v>
      </c>
      <c r="AZ595" s="301"/>
      <c r="BA595" s="301">
        <v>1000000</v>
      </c>
      <c r="BB595" s="301"/>
      <c r="BC595" s="301">
        <v>1000000</v>
      </c>
      <c r="BD595" s="301"/>
      <c r="BE595" s="301">
        <v>1000000</v>
      </c>
      <c r="BF595" s="301"/>
      <c r="BG595" s="303"/>
      <c r="BH595" s="304"/>
    </row>
    <row r="596" spans="1:60" s="305" customFormat="1" ht="16.5" hidden="1" customHeight="1" x14ac:dyDescent="0.4">
      <c r="A596" s="285">
        <v>573</v>
      </c>
      <c r="B596" s="286"/>
      <c r="C596" s="286"/>
      <c r="D596" s="287" t="s">
        <v>92</v>
      </c>
      <c r="E596" s="287" t="s">
        <v>249</v>
      </c>
      <c r="F596" s="288" t="s">
        <v>92</v>
      </c>
      <c r="G596" s="289" t="s">
        <v>727</v>
      </c>
      <c r="H596" s="307"/>
      <c r="I596" s="290"/>
      <c r="J596" s="291" t="s">
        <v>590</v>
      </c>
      <c r="K596" s="287"/>
      <c r="L596" s="287"/>
      <c r="M596" s="287">
        <v>60014</v>
      </c>
      <c r="N596" s="287" t="s">
        <v>40</v>
      </c>
      <c r="O596" s="287" t="s">
        <v>33</v>
      </c>
      <c r="P596" s="287" t="s">
        <v>44</v>
      </c>
      <c r="Q596" s="287" t="s">
        <v>48</v>
      </c>
      <c r="R596" s="287" t="s">
        <v>563</v>
      </c>
      <c r="S596" s="292" t="s">
        <v>739</v>
      </c>
      <c r="T596" s="293"/>
      <c r="U596" s="294"/>
      <c r="V596" s="294"/>
      <c r="W596" s="295">
        <v>17094000</v>
      </c>
      <c r="X596" s="296"/>
      <c r="Y596" s="287" t="s">
        <v>28</v>
      </c>
      <c r="Z596" s="297" t="s">
        <v>618</v>
      </c>
      <c r="AA596" s="313"/>
      <c r="AB596" s="313"/>
      <c r="AC596" s="298">
        <f t="shared" si="20"/>
        <v>20000000</v>
      </c>
      <c r="AD596" s="298">
        <v>20000000</v>
      </c>
      <c r="AE596" s="298">
        <f t="shared" si="21"/>
        <v>0</v>
      </c>
      <c r="AF596" s="299"/>
      <c r="AG596" s="300"/>
      <c r="AH596" s="299"/>
      <c r="AI596" s="299"/>
      <c r="AJ596" s="300"/>
      <c r="AK596" s="299"/>
      <c r="AL596" s="301"/>
      <c r="AM596" s="314"/>
      <c r="AN596" s="301"/>
      <c r="AO596" s="302"/>
      <c r="AP596" s="301"/>
      <c r="AQ596" s="301"/>
      <c r="AR596" s="301"/>
      <c r="AS596" s="301"/>
      <c r="AT596" s="301"/>
      <c r="AU596" s="301"/>
      <c r="AV596" s="301"/>
      <c r="AW596" s="301"/>
      <c r="AX596" s="301"/>
      <c r="AY596" s="301"/>
      <c r="AZ596" s="301"/>
      <c r="BA596" s="301">
        <v>20000000</v>
      </c>
      <c r="BB596" s="301"/>
      <c r="BC596" s="301"/>
      <c r="BD596" s="301"/>
      <c r="BE596" s="301"/>
      <c r="BF596" s="301"/>
      <c r="BG596" s="303"/>
      <c r="BH596" s="304"/>
    </row>
    <row r="597" spans="1:60" s="305" customFormat="1" ht="16.5" hidden="1" customHeight="1" x14ac:dyDescent="0.4">
      <c r="A597" s="285">
        <v>574</v>
      </c>
      <c r="B597" s="286"/>
      <c r="C597" s="286"/>
      <c r="D597" s="287" t="s">
        <v>92</v>
      </c>
      <c r="E597" s="287" t="s">
        <v>249</v>
      </c>
      <c r="F597" s="288" t="s">
        <v>92</v>
      </c>
      <c r="G597" s="289" t="s">
        <v>727</v>
      </c>
      <c r="H597" s="307"/>
      <c r="I597" s="290"/>
      <c r="J597" s="291" t="s">
        <v>430</v>
      </c>
      <c r="K597" s="287"/>
      <c r="L597" s="287"/>
      <c r="M597" s="287">
        <v>60014</v>
      </c>
      <c r="N597" s="287" t="s">
        <v>40</v>
      </c>
      <c r="O597" s="287" t="s">
        <v>33</v>
      </c>
      <c r="P597" s="287" t="s">
        <v>44</v>
      </c>
      <c r="Q597" s="287" t="s">
        <v>48</v>
      </c>
      <c r="R597" s="287" t="s">
        <v>685</v>
      </c>
      <c r="S597" s="292" t="s">
        <v>743</v>
      </c>
      <c r="T597" s="293"/>
      <c r="U597" s="294">
        <v>16380000</v>
      </c>
      <c r="V597" s="294">
        <v>16100000</v>
      </c>
      <c r="W597" s="295"/>
      <c r="X597" s="296"/>
      <c r="Y597" s="287" t="s">
        <v>21</v>
      </c>
      <c r="Z597" s="297" t="s">
        <v>618</v>
      </c>
      <c r="AA597" s="313"/>
      <c r="AB597" s="313"/>
      <c r="AC597" s="298">
        <f t="shared" si="20"/>
        <v>0</v>
      </c>
      <c r="AD597" s="298">
        <v>0</v>
      </c>
      <c r="AE597" s="298">
        <f t="shared" si="21"/>
        <v>0</v>
      </c>
      <c r="AF597" s="299"/>
      <c r="AG597" s="300"/>
      <c r="AH597" s="299"/>
      <c r="AI597" s="299"/>
      <c r="AJ597" s="300"/>
      <c r="AK597" s="299"/>
      <c r="AL597" s="301"/>
      <c r="AM597" s="314"/>
      <c r="AN597" s="301"/>
      <c r="AO597" s="302"/>
      <c r="AP597" s="301"/>
      <c r="AQ597" s="301"/>
      <c r="AR597" s="301"/>
      <c r="AS597" s="301"/>
      <c r="AT597" s="301"/>
      <c r="AU597" s="301"/>
      <c r="AV597" s="301"/>
      <c r="AW597" s="301"/>
      <c r="AX597" s="301"/>
      <c r="AY597" s="301"/>
      <c r="AZ597" s="301"/>
      <c r="BA597" s="301"/>
      <c r="BB597" s="301"/>
      <c r="BC597" s="301"/>
      <c r="BD597" s="301"/>
      <c r="BE597" s="301"/>
      <c r="BF597" s="301"/>
      <c r="BG597" s="303"/>
      <c r="BH597" s="304"/>
    </row>
    <row r="598" spans="1:60" s="305" customFormat="1" ht="16.5" hidden="1" customHeight="1" x14ac:dyDescent="0.4">
      <c r="A598" s="285">
        <v>575</v>
      </c>
      <c r="B598" s="286"/>
      <c r="C598" s="286"/>
      <c r="D598" s="287" t="s">
        <v>92</v>
      </c>
      <c r="E598" s="287" t="s">
        <v>249</v>
      </c>
      <c r="F598" s="288" t="s">
        <v>92</v>
      </c>
      <c r="G598" s="289" t="s">
        <v>727</v>
      </c>
      <c r="H598" s="307"/>
      <c r="I598" s="290"/>
      <c r="J598" s="291" t="s">
        <v>681</v>
      </c>
      <c r="K598" s="287"/>
      <c r="L598" s="287"/>
      <c r="M598" s="287">
        <v>4153</v>
      </c>
      <c r="N598" s="287" t="s">
        <v>23</v>
      </c>
      <c r="O598" s="287" t="s">
        <v>43</v>
      </c>
      <c r="P598" s="287" t="s">
        <v>44</v>
      </c>
      <c r="Q598" s="287" t="s">
        <v>19</v>
      </c>
      <c r="R598" s="287" t="s">
        <v>20</v>
      </c>
      <c r="S598" s="292" t="s">
        <v>20</v>
      </c>
      <c r="T598" s="293"/>
      <c r="U598" s="294">
        <v>8785000</v>
      </c>
      <c r="V598" s="294">
        <v>2985000</v>
      </c>
      <c r="W598" s="295">
        <v>4420000</v>
      </c>
      <c r="X598" s="296"/>
      <c r="Y598" s="287" t="s">
        <v>28</v>
      </c>
      <c r="Z598" s="297" t="s">
        <v>25</v>
      </c>
      <c r="AA598" s="313"/>
      <c r="AB598" s="313"/>
      <c r="AC598" s="298">
        <f t="shared" si="20"/>
        <v>4010000</v>
      </c>
      <c r="AD598" s="298">
        <v>4010000</v>
      </c>
      <c r="AE598" s="298">
        <f t="shared" si="21"/>
        <v>0</v>
      </c>
      <c r="AF598" s="299"/>
      <c r="AG598" s="300"/>
      <c r="AH598" s="299"/>
      <c r="AI598" s="299"/>
      <c r="AJ598" s="300"/>
      <c r="AK598" s="299"/>
      <c r="AL598" s="301"/>
      <c r="AM598" s="314"/>
      <c r="AN598" s="301"/>
      <c r="AO598" s="302"/>
      <c r="AP598" s="301"/>
      <c r="AQ598" s="316">
        <v>1010000</v>
      </c>
      <c r="AR598" s="301"/>
      <c r="AS598" s="301"/>
      <c r="AT598" s="301"/>
      <c r="AU598" s="301"/>
      <c r="AV598" s="301"/>
      <c r="AW598" s="301"/>
      <c r="AX598" s="301"/>
      <c r="AY598" s="301">
        <v>3000000</v>
      </c>
      <c r="AZ598" s="301"/>
      <c r="BA598" s="301"/>
      <c r="BB598" s="301"/>
      <c r="BC598" s="301"/>
      <c r="BD598" s="301"/>
      <c r="BE598" s="301"/>
      <c r="BF598" s="301"/>
      <c r="BG598" s="303"/>
      <c r="BH598" s="304"/>
    </row>
    <row r="599" spans="1:60" s="305" customFormat="1" ht="16.5" hidden="1" customHeight="1" x14ac:dyDescent="0.4">
      <c r="A599" s="285">
        <v>576</v>
      </c>
      <c r="B599" s="286"/>
      <c r="C599" s="286"/>
      <c r="D599" s="287" t="s">
        <v>92</v>
      </c>
      <c r="E599" s="287" t="s">
        <v>249</v>
      </c>
      <c r="F599" s="288" t="s">
        <v>92</v>
      </c>
      <c r="G599" s="289" t="s">
        <v>727</v>
      </c>
      <c r="H599" s="307"/>
      <c r="I599" s="290"/>
      <c r="J599" s="291" t="s">
        <v>681</v>
      </c>
      <c r="K599" s="287"/>
      <c r="L599" s="287"/>
      <c r="M599" s="287">
        <v>4153</v>
      </c>
      <c r="N599" s="287" t="s">
        <v>23</v>
      </c>
      <c r="O599" s="287" t="s">
        <v>43</v>
      </c>
      <c r="P599" s="287" t="s">
        <v>44</v>
      </c>
      <c r="Q599" s="287" t="s">
        <v>30</v>
      </c>
      <c r="R599" s="287" t="s">
        <v>31</v>
      </c>
      <c r="S599" s="292" t="s">
        <v>31</v>
      </c>
      <c r="T599" s="293"/>
      <c r="U599" s="294">
        <v>16825000</v>
      </c>
      <c r="V599" s="294">
        <v>0</v>
      </c>
      <c r="W599" s="295">
        <v>2790000</v>
      </c>
      <c r="X599" s="296"/>
      <c r="Y599" s="287" t="s">
        <v>28</v>
      </c>
      <c r="Z599" s="297" t="s">
        <v>28</v>
      </c>
      <c r="AA599" s="313"/>
      <c r="AB599" s="313"/>
      <c r="AC599" s="298">
        <f t="shared" si="20"/>
        <v>3000000</v>
      </c>
      <c r="AD599" s="298">
        <v>3000000</v>
      </c>
      <c r="AE599" s="298">
        <f t="shared" si="21"/>
        <v>0</v>
      </c>
      <c r="AF599" s="299"/>
      <c r="AG599" s="300"/>
      <c r="AH599" s="299"/>
      <c r="AI599" s="299"/>
      <c r="AJ599" s="300"/>
      <c r="AK599" s="299"/>
      <c r="AL599" s="301"/>
      <c r="AM599" s="314"/>
      <c r="AN599" s="301"/>
      <c r="AO599" s="302"/>
      <c r="AP599" s="301"/>
      <c r="AQ599" s="301"/>
      <c r="AR599" s="301"/>
      <c r="AS599" s="301"/>
      <c r="AT599" s="301"/>
      <c r="AU599" s="301"/>
      <c r="AV599" s="301"/>
      <c r="AW599" s="301"/>
      <c r="AX599" s="301"/>
      <c r="AY599" s="301"/>
      <c r="AZ599" s="301"/>
      <c r="BA599" s="301"/>
      <c r="BB599" s="301"/>
      <c r="BC599" s="301"/>
      <c r="BD599" s="301"/>
      <c r="BE599" s="301">
        <v>3000000</v>
      </c>
      <c r="BF599" s="301"/>
      <c r="BG599" s="303"/>
      <c r="BH599" s="304"/>
    </row>
    <row r="600" spans="1:60" s="305" customFormat="1" ht="16.5" hidden="1" customHeight="1" x14ac:dyDescent="0.4">
      <c r="A600" s="285">
        <v>577</v>
      </c>
      <c r="B600" s="286"/>
      <c r="C600" s="286"/>
      <c r="D600" s="287" t="s">
        <v>92</v>
      </c>
      <c r="E600" s="287" t="s">
        <v>249</v>
      </c>
      <c r="F600" s="288" t="s">
        <v>92</v>
      </c>
      <c r="G600" s="289" t="s">
        <v>727</v>
      </c>
      <c r="H600" s="307"/>
      <c r="I600" s="290"/>
      <c r="J600" s="291" t="s">
        <v>681</v>
      </c>
      <c r="K600" s="287"/>
      <c r="L600" s="287"/>
      <c r="M600" s="287">
        <v>4153</v>
      </c>
      <c r="N600" s="287" t="s">
        <v>23</v>
      </c>
      <c r="O600" s="287" t="s">
        <v>33</v>
      </c>
      <c r="P600" s="287"/>
      <c r="Q600" s="287" t="s">
        <v>27</v>
      </c>
      <c r="R600" s="287" t="s">
        <v>340</v>
      </c>
      <c r="S600" s="292" t="s">
        <v>340</v>
      </c>
      <c r="T600" s="293"/>
      <c r="U600" s="294"/>
      <c r="V600" s="294">
        <v>1100000</v>
      </c>
      <c r="W600" s="295">
        <v>1100000</v>
      </c>
      <c r="X600" s="296"/>
      <c r="Y600" s="287" t="s">
        <v>28</v>
      </c>
      <c r="Z600" s="297" t="s">
        <v>25</v>
      </c>
      <c r="AA600" s="313"/>
      <c r="AB600" s="313"/>
      <c r="AC600" s="298">
        <f t="shared" ref="AC600:AC663" si="22">AG600+AJ600+AM600+AO600+AQ600+AS600+AU600+AW600+AY600+BA600+BC600+BE600</f>
        <v>0</v>
      </c>
      <c r="AD600" s="298">
        <v>0</v>
      </c>
      <c r="AE600" s="298">
        <f t="shared" ref="AE600:AE663" si="23">AC600-AD600</f>
        <v>0</v>
      </c>
      <c r="AF600" s="299"/>
      <c r="AG600" s="300"/>
      <c r="AH600" s="299"/>
      <c r="AI600" s="299">
        <v>0</v>
      </c>
      <c r="AJ600" s="300"/>
      <c r="AK600" s="299"/>
      <c r="AL600" s="301"/>
      <c r="AM600" s="314"/>
      <c r="AN600" s="301"/>
      <c r="AO600" s="302"/>
      <c r="AP600" s="301"/>
      <c r="AQ600" s="301"/>
      <c r="AR600" s="301"/>
      <c r="AS600" s="301"/>
      <c r="AT600" s="301"/>
      <c r="AU600" s="301"/>
      <c r="AV600" s="301"/>
      <c r="AW600" s="301"/>
      <c r="AX600" s="301"/>
      <c r="AY600" s="301"/>
      <c r="AZ600" s="301"/>
      <c r="BA600" s="301"/>
      <c r="BB600" s="301"/>
      <c r="BC600" s="301"/>
      <c r="BD600" s="301"/>
      <c r="BE600" s="301"/>
      <c r="BF600" s="301"/>
      <c r="BG600" s="303"/>
      <c r="BH600" s="304"/>
    </row>
    <row r="601" spans="1:60" s="305" customFormat="1" ht="16.5" hidden="1" customHeight="1" x14ac:dyDescent="0.4">
      <c r="A601" s="285">
        <v>578</v>
      </c>
      <c r="B601" s="286"/>
      <c r="C601" s="286"/>
      <c r="D601" s="287" t="s">
        <v>92</v>
      </c>
      <c r="E601" s="287" t="s">
        <v>196</v>
      </c>
      <c r="F601" s="288" t="s">
        <v>92</v>
      </c>
      <c r="G601" s="289" t="s">
        <v>838</v>
      </c>
      <c r="H601" s="307"/>
      <c r="I601" s="290"/>
      <c r="J601" s="291" t="s">
        <v>726</v>
      </c>
      <c r="K601" s="287"/>
      <c r="L601" s="287"/>
      <c r="M601" s="287">
        <v>52544</v>
      </c>
      <c r="N601" s="287" t="s">
        <v>40</v>
      </c>
      <c r="O601" s="287" t="s">
        <v>43</v>
      </c>
      <c r="P601" s="287" t="s">
        <v>44</v>
      </c>
      <c r="Q601" s="287" t="s">
        <v>19</v>
      </c>
      <c r="R601" s="287" t="s">
        <v>20</v>
      </c>
      <c r="S601" s="292" t="s">
        <v>20</v>
      </c>
      <c r="T601" s="293"/>
      <c r="U601" s="294"/>
      <c r="V601" s="294">
        <v>6830000</v>
      </c>
      <c r="W601" s="295">
        <v>60000</v>
      </c>
      <c r="X601" s="296"/>
      <c r="Y601" s="287" t="s">
        <v>28</v>
      </c>
      <c r="Z601" s="297" t="s">
        <v>28</v>
      </c>
      <c r="AA601" s="313"/>
      <c r="AB601" s="313"/>
      <c r="AC601" s="298">
        <f t="shared" si="22"/>
        <v>0</v>
      </c>
      <c r="AD601" s="298">
        <v>0</v>
      </c>
      <c r="AE601" s="298">
        <f t="shared" si="23"/>
        <v>0</v>
      </c>
      <c r="AF601" s="299">
        <v>0</v>
      </c>
      <c r="AG601" s="300"/>
      <c r="AH601" s="299"/>
      <c r="AI601" s="299">
        <v>0</v>
      </c>
      <c r="AJ601" s="300"/>
      <c r="AK601" s="299"/>
      <c r="AL601" s="301"/>
      <c r="AM601" s="314"/>
      <c r="AN601" s="301"/>
      <c r="AO601" s="302">
        <v>0</v>
      </c>
      <c r="AP601" s="301"/>
      <c r="AQ601" s="301">
        <v>0</v>
      </c>
      <c r="AR601" s="301"/>
      <c r="AS601" s="301">
        <v>0</v>
      </c>
      <c r="AT601" s="301"/>
      <c r="AU601" s="301">
        <v>0</v>
      </c>
      <c r="AV601" s="301"/>
      <c r="AW601" s="301">
        <v>0</v>
      </c>
      <c r="AX601" s="301"/>
      <c r="AY601" s="301">
        <v>0</v>
      </c>
      <c r="AZ601" s="301"/>
      <c r="BA601" s="301">
        <v>0</v>
      </c>
      <c r="BB601" s="301"/>
      <c r="BC601" s="301">
        <v>0</v>
      </c>
      <c r="BD601" s="301"/>
      <c r="BE601" s="301">
        <v>0</v>
      </c>
      <c r="BF601" s="301"/>
      <c r="BG601" s="303"/>
      <c r="BH601" s="304"/>
    </row>
    <row r="602" spans="1:60" s="305" customFormat="1" ht="16.5" hidden="1" customHeight="1" x14ac:dyDescent="0.4">
      <c r="A602" s="285">
        <v>579</v>
      </c>
      <c r="B602" s="286"/>
      <c r="C602" s="286"/>
      <c r="D602" s="287" t="s">
        <v>92</v>
      </c>
      <c r="E602" s="287" t="s">
        <v>196</v>
      </c>
      <c r="F602" s="288" t="s">
        <v>92</v>
      </c>
      <c r="G602" s="289" t="s">
        <v>727</v>
      </c>
      <c r="H602" s="307"/>
      <c r="I602" s="290"/>
      <c r="J602" s="291" t="s">
        <v>674</v>
      </c>
      <c r="K602" s="287"/>
      <c r="L602" s="287"/>
      <c r="M602" s="287">
        <v>18225</v>
      </c>
      <c r="N602" s="287" t="s">
        <v>40</v>
      </c>
      <c r="O602" s="287" t="s">
        <v>33</v>
      </c>
      <c r="P602" s="287" t="s">
        <v>44</v>
      </c>
      <c r="Q602" s="287" t="s">
        <v>19</v>
      </c>
      <c r="R602" s="287" t="s">
        <v>20</v>
      </c>
      <c r="S602" s="292" t="s">
        <v>20</v>
      </c>
      <c r="T602" s="293"/>
      <c r="U602" s="294">
        <v>4980000</v>
      </c>
      <c r="V602" s="294">
        <v>0</v>
      </c>
      <c r="W602" s="295"/>
      <c r="X602" s="296"/>
      <c r="Y602" s="287" t="s">
        <v>22</v>
      </c>
      <c r="Z602" s="297" t="s">
        <v>22</v>
      </c>
      <c r="AA602" s="313"/>
      <c r="AB602" s="313"/>
      <c r="AC602" s="298">
        <f t="shared" si="22"/>
        <v>0</v>
      </c>
      <c r="AD602" s="298">
        <v>0</v>
      </c>
      <c r="AE602" s="298">
        <f t="shared" si="23"/>
        <v>0</v>
      </c>
      <c r="AF602" s="299"/>
      <c r="AG602" s="300"/>
      <c r="AH602" s="299"/>
      <c r="AI602" s="299"/>
      <c r="AJ602" s="300"/>
      <c r="AK602" s="299"/>
      <c r="AL602" s="301"/>
      <c r="AM602" s="314"/>
      <c r="AN602" s="301"/>
      <c r="AO602" s="302"/>
      <c r="AP602" s="301"/>
      <c r="AQ602" s="301"/>
      <c r="AR602" s="301"/>
      <c r="AS602" s="301"/>
      <c r="AT602" s="301"/>
      <c r="AU602" s="301"/>
      <c r="AV602" s="301"/>
      <c r="AW602" s="301"/>
      <c r="AX602" s="301"/>
      <c r="AY602" s="301"/>
      <c r="AZ602" s="301"/>
      <c r="BA602" s="301"/>
      <c r="BB602" s="301"/>
      <c r="BC602" s="301"/>
      <c r="BD602" s="301"/>
      <c r="BE602" s="301"/>
      <c r="BF602" s="301"/>
      <c r="BG602" s="303"/>
      <c r="BH602" s="304"/>
    </row>
    <row r="603" spans="1:60" s="305" customFormat="1" ht="16.5" hidden="1" customHeight="1" x14ac:dyDescent="0.4">
      <c r="A603" s="285">
        <v>580</v>
      </c>
      <c r="B603" s="286"/>
      <c r="C603" s="286"/>
      <c r="D603" s="287" t="s">
        <v>92</v>
      </c>
      <c r="E603" s="287" t="s">
        <v>196</v>
      </c>
      <c r="F603" s="288" t="s">
        <v>92</v>
      </c>
      <c r="G603" s="289" t="s">
        <v>727</v>
      </c>
      <c r="H603" s="307"/>
      <c r="I603" s="290"/>
      <c r="J603" s="291" t="s">
        <v>498</v>
      </c>
      <c r="K603" s="287"/>
      <c r="L603" s="287"/>
      <c r="M603" s="287">
        <v>378</v>
      </c>
      <c r="N603" s="287" t="s">
        <v>40</v>
      </c>
      <c r="O603" s="287" t="s">
        <v>43</v>
      </c>
      <c r="P603" s="287" t="s">
        <v>93</v>
      </c>
      <c r="Q603" s="287" t="s">
        <v>30</v>
      </c>
      <c r="R603" s="287" t="s">
        <v>31</v>
      </c>
      <c r="S603" s="292" t="s">
        <v>31</v>
      </c>
      <c r="T603" s="293"/>
      <c r="U603" s="294">
        <v>52011000</v>
      </c>
      <c r="V603" s="294">
        <v>32901000</v>
      </c>
      <c r="W603" s="295">
        <v>37070000</v>
      </c>
      <c r="X603" s="296"/>
      <c r="Y603" s="287" t="s">
        <v>25</v>
      </c>
      <c r="Z603" s="297" t="s">
        <v>25</v>
      </c>
      <c r="AA603" s="313"/>
      <c r="AB603" s="313"/>
      <c r="AC603" s="298">
        <f t="shared" si="22"/>
        <v>35000000</v>
      </c>
      <c r="AD603" s="298">
        <v>35000000</v>
      </c>
      <c r="AE603" s="298">
        <f t="shared" si="23"/>
        <v>0</v>
      </c>
      <c r="AF603" s="299"/>
      <c r="AG603" s="300"/>
      <c r="AH603" s="299"/>
      <c r="AI603" s="299"/>
      <c r="AJ603" s="300"/>
      <c r="AK603" s="299"/>
      <c r="AL603" s="301"/>
      <c r="AM603" s="314"/>
      <c r="AN603" s="301"/>
      <c r="AO603" s="302"/>
      <c r="AP603" s="301"/>
      <c r="AQ603" s="301"/>
      <c r="AR603" s="301"/>
      <c r="AS603" s="301"/>
      <c r="AT603" s="301"/>
      <c r="AU603" s="301"/>
      <c r="AV603" s="301"/>
      <c r="AW603" s="301"/>
      <c r="AX603" s="301"/>
      <c r="AY603" s="301">
        <v>35000000</v>
      </c>
      <c r="AZ603" s="301"/>
      <c r="BA603" s="301"/>
      <c r="BB603" s="301"/>
      <c r="BC603" s="301"/>
      <c r="BD603" s="301"/>
      <c r="BE603" s="301"/>
      <c r="BF603" s="301"/>
      <c r="BG603" s="303"/>
      <c r="BH603" s="304"/>
    </row>
    <row r="604" spans="1:60" s="305" customFormat="1" ht="16.5" hidden="1" customHeight="1" x14ac:dyDescent="0.4">
      <c r="A604" s="285">
        <v>581</v>
      </c>
      <c r="B604" s="286"/>
      <c r="C604" s="286"/>
      <c r="D604" s="287" t="s">
        <v>92</v>
      </c>
      <c r="E604" s="287" t="s">
        <v>196</v>
      </c>
      <c r="F604" s="288" t="s">
        <v>92</v>
      </c>
      <c r="G604" s="289" t="s">
        <v>727</v>
      </c>
      <c r="H604" s="307"/>
      <c r="I604" s="290"/>
      <c r="J604" s="291" t="s">
        <v>498</v>
      </c>
      <c r="K604" s="287"/>
      <c r="L604" s="287"/>
      <c r="M604" s="287">
        <v>378</v>
      </c>
      <c r="N604" s="287" t="s">
        <v>40</v>
      </c>
      <c r="O604" s="287" t="s">
        <v>43</v>
      </c>
      <c r="P604" s="287" t="s">
        <v>93</v>
      </c>
      <c r="Q604" s="287" t="s">
        <v>36</v>
      </c>
      <c r="R604" s="287" t="s">
        <v>341</v>
      </c>
      <c r="S604" s="292" t="s">
        <v>341</v>
      </c>
      <c r="T604" s="293"/>
      <c r="U604" s="294">
        <v>200052000</v>
      </c>
      <c r="V604" s="294">
        <v>177503909</v>
      </c>
      <c r="W604" s="295">
        <v>75490909</v>
      </c>
      <c r="X604" s="296"/>
      <c r="Y604" s="287" t="s">
        <v>28</v>
      </c>
      <c r="Z604" s="297" t="s">
        <v>28</v>
      </c>
      <c r="AA604" s="313"/>
      <c r="AB604" s="313"/>
      <c r="AC604" s="298">
        <f t="shared" si="22"/>
        <v>76363636</v>
      </c>
      <c r="AD604" s="298">
        <v>76363636</v>
      </c>
      <c r="AE604" s="298">
        <f t="shared" si="23"/>
        <v>0</v>
      </c>
      <c r="AF604" s="299"/>
      <c r="AG604" s="300"/>
      <c r="AH604" s="299"/>
      <c r="AI604" s="299"/>
      <c r="AJ604" s="300"/>
      <c r="AK604" s="299"/>
      <c r="AL604" s="301"/>
      <c r="AM604" s="314">
        <v>36363636</v>
      </c>
      <c r="AN604" s="301" t="s">
        <v>828</v>
      </c>
      <c r="AO604" s="302"/>
      <c r="AP604" s="301"/>
      <c r="AQ604" s="301"/>
      <c r="AR604" s="301"/>
      <c r="AS604" s="301"/>
      <c r="AT604" s="301"/>
      <c r="AU604" s="301"/>
      <c r="AV604" s="301"/>
      <c r="AW604" s="301"/>
      <c r="AX604" s="301"/>
      <c r="AY604" s="301"/>
      <c r="AZ604" s="301"/>
      <c r="BA604" s="301"/>
      <c r="BB604" s="301"/>
      <c r="BC604" s="301"/>
      <c r="BD604" s="301"/>
      <c r="BE604" s="301">
        <v>40000000</v>
      </c>
      <c r="BF604" s="301"/>
      <c r="BG604" s="303"/>
      <c r="BH604" s="304"/>
    </row>
    <row r="605" spans="1:60" s="305" customFormat="1" ht="16.5" hidden="1" customHeight="1" x14ac:dyDescent="0.4">
      <c r="A605" s="285">
        <v>582</v>
      </c>
      <c r="B605" s="286"/>
      <c r="C605" s="286"/>
      <c r="D605" s="287" t="s">
        <v>92</v>
      </c>
      <c r="E605" s="287" t="s">
        <v>196</v>
      </c>
      <c r="F605" s="288" t="s">
        <v>92</v>
      </c>
      <c r="G605" s="289" t="s">
        <v>727</v>
      </c>
      <c r="H605" s="307"/>
      <c r="I605" s="290"/>
      <c r="J605" s="291" t="s">
        <v>498</v>
      </c>
      <c r="K605" s="287"/>
      <c r="L605" s="287"/>
      <c r="M605" s="287">
        <v>378</v>
      </c>
      <c r="N605" s="287" t="s">
        <v>40</v>
      </c>
      <c r="O605" s="287" t="s">
        <v>33</v>
      </c>
      <c r="P605" s="287"/>
      <c r="Q605" s="287" t="s">
        <v>46</v>
      </c>
      <c r="R605" s="287" t="s">
        <v>347</v>
      </c>
      <c r="S605" s="292" t="s">
        <v>750</v>
      </c>
      <c r="T605" s="293"/>
      <c r="U605" s="294">
        <v>1820000</v>
      </c>
      <c r="V605" s="294">
        <v>0</v>
      </c>
      <c r="W605" s="295"/>
      <c r="X605" s="296"/>
      <c r="Y605" s="287" t="s">
        <v>22</v>
      </c>
      <c r="Z605" s="297" t="s">
        <v>22</v>
      </c>
      <c r="AA605" s="313"/>
      <c r="AB605" s="313"/>
      <c r="AC605" s="298">
        <f t="shared" si="22"/>
        <v>0</v>
      </c>
      <c r="AD605" s="298">
        <v>0</v>
      </c>
      <c r="AE605" s="298">
        <f t="shared" si="23"/>
        <v>0</v>
      </c>
      <c r="AF605" s="299"/>
      <c r="AG605" s="300"/>
      <c r="AH605" s="299"/>
      <c r="AI605" s="299"/>
      <c r="AJ605" s="300"/>
      <c r="AK605" s="299"/>
      <c r="AL605" s="301"/>
      <c r="AM605" s="314"/>
      <c r="AN605" s="301"/>
      <c r="AO605" s="302"/>
      <c r="AP605" s="301"/>
      <c r="AQ605" s="301"/>
      <c r="AR605" s="301"/>
      <c r="AS605" s="301"/>
      <c r="AT605" s="301"/>
      <c r="AU605" s="301"/>
      <c r="AV605" s="301"/>
      <c r="AW605" s="301"/>
      <c r="AX605" s="301"/>
      <c r="AY605" s="301"/>
      <c r="AZ605" s="301"/>
      <c r="BA605" s="301"/>
      <c r="BB605" s="301"/>
      <c r="BC605" s="301"/>
      <c r="BD605" s="301"/>
      <c r="BE605" s="301"/>
      <c r="BF605" s="301"/>
      <c r="BG605" s="303"/>
      <c r="BH605" s="304"/>
    </row>
    <row r="606" spans="1:60" s="305" customFormat="1" ht="16.5" hidden="1" customHeight="1" x14ac:dyDescent="0.4">
      <c r="A606" s="285">
        <v>583</v>
      </c>
      <c r="B606" s="286"/>
      <c r="C606" s="286"/>
      <c r="D606" s="287" t="s">
        <v>92</v>
      </c>
      <c r="E606" s="287" t="s">
        <v>196</v>
      </c>
      <c r="F606" s="288" t="s">
        <v>92</v>
      </c>
      <c r="G606" s="289" t="s">
        <v>727</v>
      </c>
      <c r="H606" s="307"/>
      <c r="I606" s="290"/>
      <c r="J606" s="291" t="s">
        <v>498</v>
      </c>
      <c r="K606" s="287"/>
      <c r="L606" s="287"/>
      <c r="M606" s="287">
        <v>378</v>
      </c>
      <c r="N606" s="287" t="s">
        <v>40</v>
      </c>
      <c r="O606" s="287" t="s">
        <v>33</v>
      </c>
      <c r="P606" s="287"/>
      <c r="Q606" s="287"/>
      <c r="R606" s="287"/>
      <c r="S606" s="292" t="s">
        <v>752</v>
      </c>
      <c r="T606" s="293"/>
      <c r="U606" s="294"/>
      <c r="V606" s="294"/>
      <c r="W606" s="295">
        <v>637500</v>
      </c>
      <c r="X606" s="296"/>
      <c r="Y606" s="287"/>
      <c r="Z606" s="297" t="s">
        <v>656</v>
      </c>
      <c r="AA606" s="313"/>
      <c r="AB606" s="313"/>
      <c r="AC606" s="298">
        <f t="shared" si="22"/>
        <v>0</v>
      </c>
      <c r="AD606" s="298">
        <v>0</v>
      </c>
      <c r="AE606" s="298">
        <f t="shared" si="23"/>
        <v>0</v>
      </c>
      <c r="AF606" s="299"/>
      <c r="AG606" s="300"/>
      <c r="AH606" s="299"/>
      <c r="AI606" s="299"/>
      <c r="AJ606" s="300"/>
      <c r="AK606" s="299"/>
      <c r="AL606" s="301"/>
      <c r="AM606" s="314"/>
      <c r="AN606" s="301"/>
      <c r="AO606" s="302"/>
      <c r="AP606" s="301"/>
      <c r="AQ606" s="301"/>
      <c r="AR606" s="301"/>
      <c r="AS606" s="301"/>
      <c r="AT606" s="301"/>
      <c r="AU606" s="301"/>
      <c r="AV606" s="301"/>
      <c r="AW606" s="301"/>
      <c r="AX606" s="301"/>
      <c r="AY606" s="301"/>
      <c r="AZ606" s="301"/>
      <c r="BA606" s="301"/>
      <c r="BB606" s="301"/>
      <c r="BC606" s="301"/>
      <c r="BD606" s="301"/>
      <c r="BE606" s="301"/>
      <c r="BF606" s="301"/>
      <c r="BG606" s="303"/>
      <c r="BH606" s="304"/>
    </row>
    <row r="607" spans="1:60" s="305" customFormat="1" ht="16.5" hidden="1" customHeight="1" x14ac:dyDescent="0.4">
      <c r="A607" s="285">
        <v>584</v>
      </c>
      <c r="B607" s="286"/>
      <c r="C607" s="286"/>
      <c r="D607" s="287" t="s">
        <v>92</v>
      </c>
      <c r="E607" s="287" t="s">
        <v>229</v>
      </c>
      <c r="F607" s="288" t="s">
        <v>92</v>
      </c>
      <c r="G607" s="289" t="s">
        <v>727</v>
      </c>
      <c r="H607" s="307"/>
      <c r="I607" s="290"/>
      <c r="J607" s="291" t="s">
        <v>452</v>
      </c>
      <c r="K607" s="287"/>
      <c r="L607" s="287"/>
      <c r="M607" s="287">
        <v>6527</v>
      </c>
      <c r="N607" s="287" t="s">
        <v>40</v>
      </c>
      <c r="O607" s="287" t="s">
        <v>33</v>
      </c>
      <c r="P607" s="287"/>
      <c r="Q607" s="287" t="s">
        <v>30</v>
      </c>
      <c r="R607" s="287" t="s">
        <v>31</v>
      </c>
      <c r="S607" s="292" t="s">
        <v>31</v>
      </c>
      <c r="T607" s="293"/>
      <c r="U607" s="294">
        <v>5397500</v>
      </c>
      <c r="V607" s="294">
        <v>4852500</v>
      </c>
      <c r="W607" s="295">
        <v>4132500</v>
      </c>
      <c r="X607" s="296"/>
      <c r="Y607" s="287" t="s">
        <v>25</v>
      </c>
      <c r="Z607" s="297" t="s">
        <v>25</v>
      </c>
      <c r="AA607" s="313"/>
      <c r="AB607" s="313"/>
      <c r="AC607" s="298">
        <f t="shared" si="22"/>
        <v>5000000</v>
      </c>
      <c r="AD607" s="298">
        <v>5000000</v>
      </c>
      <c r="AE607" s="298">
        <f t="shared" si="23"/>
        <v>0</v>
      </c>
      <c r="AF607" s="299"/>
      <c r="AG607" s="300"/>
      <c r="AH607" s="299"/>
      <c r="AI607" s="299"/>
      <c r="AJ607" s="300"/>
      <c r="AK607" s="299"/>
      <c r="AL607" s="301"/>
      <c r="AM607" s="314"/>
      <c r="AN607" s="301"/>
      <c r="AO607" s="302"/>
      <c r="AP607" s="301"/>
      <c r="AQ607" s="301"/>
      <c r="AR607" s="301"/>
      <c r="AS607" s="301">
        <v>2500000</v>
      </c>
      <c r="AT607" s="301"/>
      <c r="AU607" s="301"/>
      <c r="AV607" s="301"/>
      <c r="AW607" s="301"/>
      <c r="AX607" s="301"/>
      <c r="AY607" s="301"/>
      <c r="AZ607" s="301"/>
      <c r="BA607" s="301"/>
      <c r="BB607" s="301"/>
      <c r="BC607" s="301"/>
      <c r="BD607" s="301"/>
      <c r="BE607" s="301">
        <v>2500000</v>
      </c>
      <c r="BF607" s="301"/>
      <c r="BG607" s="303"/>
      <c r="BH607" s="304"/>
    </row>
    <row r="608" spans="1:60" s="305" customFormat="1" ht="16.5" hidden="1" customHeight="1" x14ac:dyDescent="0.4">
      <c r="A608" s="285">
        <v>585</v>
      </c>
      <c r="B608" s="286"/>
      <c r="C608" s="286"/>
      <c r="D608" s="287" t="s">
        <v>92</v>
      </c>
      <c r="E608" s="287" t="s">
        <v>229</v>
      </c>
      <c r="F608" s="288" t="s">
        <v>92</v>
      </c>
      <c r="G608" s="289" t="s">
        <v>727</v>
      </c>
      <c r="H608" s="307"/>
      <c r="I608" s="290"/>
      <c r="J608" s="291" t="s">
        <v>452</v>
      </c>
      <c r="K608" s="287"/>
      <c r="L608" s="287"/>
      <c r="M608" s="287">
        <v>6527</v>
      </c>
      <c r="N608" s="287" t="s">
        <v>40</v>
      </c>
      <c r="O608" s="287" t="s">
        <v>33</v>
      </c>
      <c r="P608" s="287"/>
      <c r="Q608" s="287" t="s">
        <v>24</v>
      </c>
      <c r="R608" s="287" t="s">
        <v>221</v>
      </c>
      <c r="S608" s="292" t="s">
        <v>745</v>
      </c>
      <c r="T608" s="293"/>
      <c r="U608" s="294"/>
      <c r="V608" s="294">
        <v>0</v>
      </c>
      <c r="W608" s="295"/>
      <c r="X608" s="296"/>
      <c r="Y608" s="287" t="s">
        <v>26</v>
      </c>
      <c r="Z608" s="297" t="s">
        <v>26</v>
      </c>
      <c r="AA608" s="313"/>
      <c r="AB608" s="313"/>
      <c r="AC608" s="298">
        <f t="shared" si="22"/>
        <v>5000000</v>
      </c>
      <c r="AD608" s="298">
        <v>5000000</v>
      </c>
      <c r="AE608" s="298">
        <f t="shared" si="23"/>
        <v>0</v>
      </c>
      <c r="AF608" s="299"/>
      <c r="AG608" s="300"/>
      <c r="AH608" s="299"/>
      <c r="AI608" s="299"/>
      <c r="AJ608" s="300"/>
      <c r="AK608" s="299"/>
      <c r="AL608" s="301"/>
      <c r="AM608" s="314"/>
      <c r="AN608" s="301"/>
      <c r="AO608" s="302"/>
      <c r="AP608" s="301"/>
      <c r="AQ608" s="301"/>
      <c r="AR608" s="301"/>
      <c r="AS608" s="301"/>
      <c r="AT608" s="301"/>
      <c r="AU608" s="301"/>
      <c r="AV608" s="301"/>
      <c r="AW608" s="301"/>
      <c r="AX608" s="301"/>
      <c r="AY608" s="301"/>
      <c r="AZ608" s="301"/>
      <c r="BA608" s="301"/>
      <c r="BB608" s="301"/>
      <c r="BC608" s="301"/>
      <c r="BD608" s="301"/>
      <c r="BE608" s="301">
        <v>5000000</v>
      </c>
      <c r="BF608" s="301"/>
      <c r="BG608" s="303"/>
      <c r="BH608" s="304"/>
    </row>
    <row r="609" spans="1:60" s="305" customFormat="1" ht="16.5" hidden="1" customHeight="1" x14ac:dyDescent="0.4">
      <c r="A609" s="285">
        <v>586</v>
      </c>
      <c r="B609" s="286"/>
      <c r="C609" s="286"/>
      <c r="D609" s="287" t="s">
        <v>92</v>
      </c>
      <c r="E609" s="287" t="s">
        <v>249</v>
      </c>
      <c r="F609" s="288" t="s">
        <v>92</v>
      </c>
      <c r="G609" s="289" t="s">
        <v>727</v>
      </c>
      <c r="H609" s="307"/>
      <c r="I609" s="290"/>
      <c r="J609" s="291" t="s">
        <v>172</v>
      </c>
      <c r="K609" s="287"/>
      <c r="L609" s="287"/>
      <c r="M609" s="287">
        <v>4134</v>
      </c>
      <c r="N609" s="287" t="s">
        <v>40</v>
      </c>
      <c r="O609" s="287" t="s">
        <v>43</v>
      </c>
      <c r="P609" s="287" t="s">
        <v>44</v>
      </c>
      <c r="Q609" s="287" t="s">
        <v>19</v>
      </c>
      <c r="R609" s="287" t="s">
        <v>20</v>
      </c>
      <c r="S609" s="292" t="s">
        <v>31</v>
      </c>
      <c r="T609" s="293"/>
      <c r="U609" s="294">
        <v>2367000</v>
      </c>
      <c r="V609" s="294">
        <v>2358000</v>
      </c>
      <c r="W609" s="295"/>
      <c r="X609" s="296"/>
      <c r="Y609" s="287" t="s">
        <v>28</v>
      </c>
      <c r="Z609" s="297" t="s">
        <v>28</v>
      </c>
      <c r="AA609" s="313"/>
      <c r="AB609" s="313"/>
      <c r="AC609" s="298">
        <f t="shared" si="22"/>
        <v>1998000</v>
      </c>
      <c r="AD609" s="298">
        <v>1998000</v>
      </c>
      <c r="AE609" s="298">
        <f t="shared" si="23"/>
        <v>0</v>
      </c>
      <c r="AF609" s="299">
        <v>1998000</v>
      </c>
      <c r="AG609" s="300">
        <v>1998000</v>
      </c>
      <c r="AH609" s="299"/>
      <c r="AI609" s="299"/>
      <c r="AJ609" s="300"/>
      <c r="AK609" s="299"/>
      <c r="AL609" s="301"/>
      <c r="AM609" s="314"/>
      <c r="AN609" s="301"/>
      <c r="AO609" s="302"/>
      <c r="AP609" s="301"/>
      <c r="AQ609" s="301"/>
      <c r="AR609" s="301"/>
      <c r="AS609" s="301"/>
      <c r="AT609" s="301"/>
      <c r="AU609" s="301"/>
      <c r="AV609" s="301"/>
      <c r="AW609" s="301"/>
      <c r="AX609" s="301"/>
      <c r="AY609" s="301"/>
      <c r="AZ609" s="301"/>
      <c r="BA609" s="301"/>
      <c r="BB609" s="301"/>
      <c r="BC609" s="301"/>
      <c r="BD609" s="301"/>
      <c r="BE609" s="301">
        <v>0</v>
      </c>
      <c r="BF609" s="301"/>
      <c r="BG609" s="303"/>
      <c r="BH609" s="304"/>
    </row>
    <row r="610" spans="1:60" s="305" customFormat="1" ht="16.5" hidden="1" customHeight="1" x14ac:dyDescent="0.4">
      <c r="A610" s="285">
        <v>587</v>
      </c>
      <c r="B610" s="286"/>
      <c r="C610" s="286"/>
      <c r="D610" s="287" t="s">
        <v>92</v>
      </c>
      <c r="E610" s="287" t="s">
        <v>249</v>
      </c>
      <c r="F610" s="288" t="s">
        <v>92</v>
      </c>
      <c r="G610" s="289" t="s">
        <v>727</v>
      </c>
      <c r="H610" s="307"/>
      <c r="I610" s="290"/>
      <c r="J610" s="291" t="s">
        <v>509</v>
      </c>
      <c r="K610" s="287"/>
      <c r="L610" s="287"/>
      <c r="M610" s="287">
        <v>53665</v>
      </c>
      <c r="N610" s="287" t="s">
        <v>40</v>
      </c>
      <c r="O610" s="287" t="s">
        <v>33</v>
      </c>
      <c r="P610" s="287" t="s">
        <v>44</v>
      </c>
      <c r="Q610" s="287" t="s">
        <v>30</v>
      </c>
      <c r="R610" s="287" t="s">
        <v>31</v>
      </c>
      <c r="S610" s="292" t="s">
        <v>31</v>
      </c>
      <c r="T610" s="293"/>
      <c r="U610" s="294">
        <v>3200000</v>
      </c>
      <c r="V610" s="294">
        <v>0</v>
      </c>
      <c r="W610" s="295">
        <v>1120000</v>
      </c>
      <c r="X610" s="296"/>
      <c r="Y610" s="287" t="s">
        <v>22</v>
      </c>
      <c r="Z610" s="297" t="s">
        <v>618</v>
      </c>
      <c r="AA610" s="313"/>
      <c r="AB610" s="313"/>
      <c r="AC610" s="298">
        <f t="shared" si="22"/>
        <v>0</v>
      </c>
      <c r="AD610" s="298">
        <v>0</v>
      </c>
      <c r="AE610" s="298">
        <f t="shared" si="23"/>
        <v>0</v>
      </c>
      <c r="AF610" s="299"/>
      <c r="AG610" s="300"/>
      <c r="AH610" s="299"/>
      <c r="AI610" s="299"/>
      <c r="AJ610" s="300"/>
      <c r="AK610" s="299"/>
      <c r="AL610" s="301"/>
      <c r="AM610" s="314"/>
      <c r="AN610" s="301"/>
      <c r="AO610" s="302"/>
      <c r="AP610" s="301"/>
      <c r="AQ610" s="301"/>
      <c r="AR610" s="301"/>
      <c r="AS610" s="301"/>
      <c r="AT610" s="301"/>
      <c r="AU610" s="301"/>
      <c r="AV610" s="301"/>
      <c r="AW610" s="301"/>
      <c r="AX610" s="301"/>
      <c r="AY610" s="301"/>
      <c r="AZ610" s="301"/>
      <c r="BA610" s="301"/>
      <c r="BB610" s="301"/>
      <c r="BC610" s="301"/>
      <c r="BD610" s="301"/>
      <c r="BE610" s="301"/>
      <c r="BF610" s="301"/>
      <c r="BG610" s="303"/>
      <c r="BH610" s="304"/>
    </row>
    <row r="611" spans="1:60" s="305" customFormat="1" ht="16.5" hidden="1" customHeight="1" x14ac:dyDescent="0.4">
      <c r="A611" s="285">
        <v>588</v>
      </c>
      <c r="B611" s="286"/>
      <c r="C611" s="286"/>
      <c r="D611" s="287" t="s">
        <v>92</v>
      </c>
      <c r="E611" s="287" t="s">
        <v>229</v>
      </c>
      <c r="F611" s="288" t="s">
        <v>92</v>
      </c>
      <c r="G611" s="289" t="s">
        <v>727</v>
      </c>
      <c r="H611" s="307"/>
      <c r="I611" s="290"/>
      <c r="J611" s="291" t="s">
        <v>657</v>
      </c>
      <c r="K611" s="287"/>
      <c r="L611" s="287"/>
      <c r="M611" s="287">
        <v>52899</v>
      </c>
      <c r="N611" s="287" t="s">
        <v>40</v>
      </c>
      <c r="O611" s="287" t="s">
        <v>33</v>
      </c>
      <c r="P611" s="287"/>
      <c r="Q611" s="287"/>
      <c r="R611" s="287" t="s">
        <v>38</v>
      </c>
      <c r="S611" s="292" t="s">
        <v>38</v>
      </c>
      <c r="T611" s="293"/>
      <c r="U611" s="294"/>
      <c r="V611" s="294"/>
      <c r="W611" s="295"/>
      <c r="X611" s="296"/>
      <c r="Y611" s="287" t="s">
        <v>26</v>
      </c>
      <c r="Z611" s="297" t="s">
        <v>26</v>
      </c>
      <c r="AA611" s="313"/>
      <c r="AB611" s="313"/>
      <c r="AC611" s="298">
        <f t="shared" si="22"/>
        <v>10000000</v>
      </c>
      <c r="AD611" s="298">
        <v>10000000</v>
      </c>
      <c r="AE611" s="298">
        <f t="shared" si="23"/>
        <v>0</v>
      </c>
      <c r="AF611" s="299"/>
      <c r="AG611" s="300"/>
      <c r="AH611" s="299"/>
      <c r="AI611" s="299"/>
      <c r="AJ611" s="300"/>
      <c r="AK611" s="299"/>
      <c r="AL611" s="301"/>
      <c r="AM611" s="314"/>
      <c r="AN611" s="301"/>
      <c r="AO611" s="302"/>
      <c r="AP611" s="301"/>
      <c r="AQ611" s="301">
        <v>5000000</v>
      </c>
      <c r="AR611" s="301"/>
      <c r="AS611" s="301"/>
      <c r="AT611" s="301"/>
      <c r="AU611" s="301"/>
      <c r="AV611" s="301"/>
      <c r="AW611" s="301"/>
      <c r="AX611" s="301"/>
      <c r="AY611" s="301"/>
      <c r="AZ611" s="301"/>
      <c r="BA611" s="301"/>
      <c r="BB611" s="301"/>
      <c r="BC611" s="301"/>
      <c r="BD611" s="301"/>
      <c r="BE611" s="301">
        <v>5000000</v>
      </c>
      <c r="BF611" s="301"/>
      <c r="BG611" s="303"/>
      <c r="BH611" s="304"/>
    </row>
    <row r="612" spans="1:60" s="305" customFormat="1" ht="16.5" hidden="1" customHeight="1" x14ac:dyDescent="0.4">
      <c r="A612" s="285">
        <v>589</v>
      </c>
      <c r="B612" s="286"/>
      <c r="C612" s="286"/>
      <c r="D612" s="287" t="s">
        <v>92</v>
      </c>
      <c r="E612" s="287" t="s">
        <v>196</v>
      </c>
      <c r="F612" s="288" t="s">
        <v>92</v>
      </c>
      <c r="G612" s="289" t="s">
        <v>727</v>
      </c>
      <c r="H612" s="307"/>
      <c r="I612" s="290"/>
      <c r="J612" s="291" t="s">
        <v>206</v>
      </c>
      <c r="K612" s="287"/>
      <c r="L612" s="287"/>
      <c r="M612" s="287">
        <v>3711</v>
      </c>
      <c r="N612" s="287" t="s">
        <v>23</v>
      </c>
      <c r="O612" s="287" t="s">
        <v>43</v>
      </c>
      <c r="P612" s="287" t="s">
        <v>44</v>
      </c>
      <c r="Q612" s="287" t="s">
        <v>19</v>
      </c>
      <c r="R612" s="287" t="s">
        <v>20</v>
      </c>
      <c r="S612" s="292" t="s">
        <v>29</v>
      </c>
      <c r="T612" s="293"/>
      <c r="U612" s="294">
        <v>1489900</v>
      </c>
      <c r="V612" s="294">
        <v>0</v>
      </c>
      <c r="W612" s="295">
        <v>36621750</v>
      </c>
      <c r="X612" s="296"/>
      <c r="Y612" s="287" t="s">
        <v>28</v>
      </c>
      <c r="Z612" s="297" t="s">
        <v>28</v>
      </c>
      <c r="AA612" s="313"/>
      <c r="AB612" s="313"/>
      <c r="AC612" s="298">
        <f t="shared" si="22"/>
        <v>30853950</v>
      </c>
      <c r="AD612" s="298">
        <v>30853950</v>
      </c>
      <c r="AE612" s="298">
        <f t="shared" si="23"/>
        <v>0</v>
      </c>
      <c r="AF612" s="299">
        <v>9000000</v>
      </c>
      <c r="AG612" s="300">
        <v>9000000</v>
      </c>
      <c r="AH612" s="299"/>
      <c r="AI612" s="299"/>
      <c r="AJ612" s="300">
        <v>200000</v>
      </c>
      <c r="AK612" s="299"/>
      <c r="AL612" s="301"/>
      <c r="AM612" s="314">
        <v>5903950</v>
      </c>
      <c r="AN612" s="301"/>
      <c r="AO612" s="302"/>
      <c r="AP612" s="301"/>
      <c r="AQ612" s="301"/>
      <c r="AR612" s="301"/>
      <c r="AS612" s="301">
        <v>5250000</v>
      </c>
      <c r="AT612" s="301"/>
      <c r="AU612" s="301"/>
      <c r="AV612" s="301"/>
      <c r="AW612" s="301"/>
      <c r="AX612" s="301"/>
      <c r="AY612" s="301">
        <v>5250000</v>
      </c>
      <c r="AZ612" s="301"/>
      <c r="BA612" s="301"/>
      <c r="BB612" s="301"/>
      <c r="BC612" s="301"/>
      <c r="BD612" s="301"/>
      <c r="BE612" s="301">
        <v>5250000</v>
      </c>
      <c r="BF612" s="301"/>
      <c r="BG612" s="303"/>
      <c r="BH612" s="304"/>
    </row>
    <row r="613" spans="1:60" s="305" customFormat="1" ht="16.5" hidden="1" customHeight="1" x14ac:dyDescent="0.4">
      <c r="A613" s="285">
        <v>590</v>
      </c>
      <c r="B613" s="286"/>
      <c r="C613" s="286"/>
      <c r="D613" s="287" t="s">
        <v>92</v>
      </c>
      <c r="E613" s="287" t="s">
        <v>196</v>
      </c>
      <c r="F613" s="288" t="s">
        <v>92</v>
      </c>
      <c r="G613" s="289" t="s">
        <v>727</v>
      </c>
      <c r="H613" s="307"/>
      <c r="I613" s="290"/>
      <c r="J613" s="291" t="s">
        <v>206</v>
      </c>
      <c r="K613" s="287"/>
      <c r="L613" s="287"/>
      <c r="M613" s="287">
        <v>3711</v>
      </c>
      <c r="N613" s="287" t="s">
        <v>23</v>
      </c>
      <c r="O613" s="287" t="s">
        <v>33</v>
      </c>
      <c r="P613" s="287"/>
      <c r="Q613" s="287" t="s">
        <v>24</v>
      </c>
      <c r="R613" s="287" t="s">
        <v>221</v>
      </c>
      <c r="S613" s="292" t="s">
        <v>745</v>
      </c>
      <c r="T613" s="293"/>
      <c r="U613" s="294">
        <v>4500000</v>
      </c>
      <c r="V613" s="294">
        <v>0</v>
      </c>
      <c r="W613" s="295"/>
      <c r="X613" s="296"/>
      <c r="Y613" s="287" t="s">
        <v>26</v>
      </c>
      <c r="Z613" s="297" t="s">
        <v>26</v>
      </c>
      <c r="AA613" s="313"/>
      <c r="AB613" s="313"/>
      <c r="AC613" s="298">
        <f t="shared" si="22"/>
        <v>10000000</v>
      </c>
      <c r="AD613" s="298">
        <v>10000000</v>
      </c>
      <c r="AE613" s="298">
        <f t="shared" si="23"/>
        <v>0</v>
      </c>
      <c r="AF613" s="299"/>
      <c r="AG613" s="300"/>
      <c r="AH613" s="299"/>
      <c r="AI613" s="299"/>
      <c r="AJ613" s="300"/>
      <c r="AK613" s="299"/>
      <c r="AL613" s="301"/>
      <c r="AM613" s="314"/>
      <c r="AN613" s="301"/>
      <c r="AO613" s="302"/>
      <c r="AP613" s="301"/>
      <c r="AQ613" s="301"/>
      <c r="AR613" s="301"/>
      <c r="AS613" s="301">
        <v>10000000</v>
      </c>
      <c r="AT613" s="301"/>
      <c r="AU613" s="301"/>
      <c r="AV613" s="301"/>
      <c r="AW613" s="301"/>
      <c r="AX613" s="301"/>
      <c r="AY613" s="301"/>
      <c r="AZ613" s="301"/>
      <c r="BA613" s="301"/>
      <c r="BB613" s="301"/>
      <c r="BC613" s="301"/>
      <c r="BD613" s="301"/>
      <c r="BE613" s="301"/>
      <c r="BF613" s="301"/>
      <c r="BG613" s="303"/>
      <c r="BH613" s="304"/>
    </row>
    <row r="614" spans="1:60" s="305" customFormat="1" ht="16.5" hidden="1" customHeight="1" x14ac:dyDescent="0.4">
      <c r="A614" s="285">
        <v>591</v>
      </c>
      <c r="B614" s="286"/>
      <c r="C614" s="286"/>
      <c r="D614" s="287" t="s">
        <v>92</v>
      </c>
      <c r="E614" s="287" t="s">
        <v>229</v>
      </c>
      <c r="F614" s="288" t="s">
        <v>92</v>
      </c>
      <c r="G614" s="289" t="s">
        <v>727</v>
      </c>
      <c r="H614" s="307"/>
      <c r="I614" s="290"/>
      <c r="J614" s="291" t="s">
        <v>65</v>
      </c>
      <c r="K614" s="287"/>
      <c r="L614" s="287"/>
      <c r="M614" s="287">
        <v>7699</v>
      </c>
      <c r="N614" s="287" t="s">
        <v>32</v>
      </c>
      <c r="O614" s="287" t="s">
        <v>33</v>
      </c>
      <c r="P614" s="287"/>
      <c r="Q614" s="287" t="s">
        <v>30</v>
      </c>
      <c r="R614" s="287" t="s">
        <v>31</v>
      </c>
      <c r="S614" s="292" t="s">
        <v>31</v>
      </c>
      <c r="T614" s="293"/>
      <c r="U614" s="294">
        <v>10000000</v>
      </c>
      <c r="V614" s="294">
        <v>10000000</v>
      </c>
      <c r="W614" s="295"/>
      <c r="X614" s="296"/>
      <c r="Y614" s="287" t="s">
        <v>25</v>
      </c>
      <c r="Z614" s="297" t="s">
        <v>618</v>
      </c>
      <c r="AA614" s="313"/>
      <c r="AB614" s="313"/>
      <c r="AC614" s="298">
        <f t="shared" si="22"/>
        <v>10000000</v>
      </c>
      <c r="AD614" s="298">
        <v>10000000</v>
      </c>
      <c r="AE614" s="298">
        <f t="shared" si="23"/>
        <v>0</v>
      </c>
      <c r="AF614" s="299"/>
      <c r="AG614" s="300"/>
      <c r="AH614" s="299"/>
      <c r="AI614" s="299"/>
      <c r="AJ614" s="300"/>
      <c r="AK614" s="299"/>
      <c r="AL614" s="301"/>
      <c r="AM614" s="314"/>
      <c r="AN614" s="301"/>
      <c r="AO614" s="302"/>
      <c r="AP614" s="301"/>
      <c r="AQ614" s="301"/>
      <c r="AR614" s="301"/>
      <c r="AS614" s="301"/>
      <c r="AT614" s="301"/>
      <c r="AU614" s="301"/>
      <c r="AV614" s="301"/>
      <c r="AW614" s="301"/>
      <c r="AX614" s="301"/>
      <c r="AY614" s="301"/>
      <c r="AZ614" s="301"/>
      <c r="BA614" s="301"/>
      <c r="BB614" s="301"/>
      <c r="BC614" s="301"/>
      <c r="BD614" s="301"/>
      <c r="BE614" s="301">
        <v>10000000</v>
      </c>
      <c r="BF614" s="301"/>
      <c r="BG614" s="303"/>
      <c r="BH614" s="304"/>
    </row>
    <row r="615" spans="1:60" s="305" customFormat="1" ht="16.5" hidden="1" customHeight="1" x14ac:dyDescent="0.4">
      <c r="A615" s="285">
        <v>592</v>
      </c>
      <c r="B615" s="286"/>
      <c r="C615" s="286"/>
      <c r="D615" s="287" t="s">
        <v>92</v>
      </c>
      <c r="E615" s="287" t="s">
        <v>229</v>
      </c>
      <c r="F615" s="288" t="s">
        <v>92</v>
      </c>
      <c r="G615" s="289" t="s">
        <v>727</v>
      </c>
      <c r="H615" s="307"/>
      <c r="I615" s="290"/>
      <c r="J615" s="291" t="s">
        <v>597</v>
      </c>
      <c r="K615" s="287"/>
      <c r="L615" s="287"/>
      <c r="M615" s="287">
        <v>45048</v>
      </c>
      <c r="N615" s="287" t="s">
        <v>23</v>
      </c>
      <c r="O615" s="287" t="s">
        <v>33</v>
      </c>
      <c r="P615" s="287"/>
      <c r="Q615" s="287" t="s">
        <v>30</v>
      </c>
      <c r="R615" s="287" t="s">
        <v>31</v>
      </c>
      <c r="S615" s="292" t="s">
        <v>31</v>
      </c>
      <c r="T615" s="293"/>
      <c r="U615" s="294">
        <v>40000</v>
      </c>
      <c r="V615" s="294">
        <v>0</v>
      </c>
      <c r="W615" s="295"/>
      <c r="X615" s="296"/>
      <c r="Y615" s="287" t="s">
        <v>22</v>
      </c>
      <c r="Z615" s="297" t="s">
        <v>618</v>
      </c>
      <c r="AA615" s="313"/>
      <c r="AB615" s="313"/>
      <c r="AC615" s="298">
        <f t="shared" si="22"/>
        <v>0</v>
      </c>
      <c r="AD615" s="298">
        <v>0</v>
      </c>
      <c r="AE615" s="298">
        <f t="shared" si="23"/>
        <v>0</v>
      </c>
      <c r="AF615" s="299"/>
      <c r="AG615" s="300"/>
      <c r="AH615" s="299"/>
      <c r="AI615" s="299"/>
      <c r="AJ615" s="300"/>
      <c r="AK615" s="299"/>
      <c r="AL615" s="301"/>
      <c r="AM615" s="314"/>
      <c r="AN615" s="301"/>
      <c r="AO615" s="302"/>
      <c r="AP615" s="301"/>
      <c r="AQ615" s="301"/>
      <c r="AR615" s="301"/>
      <c r="AS615" s="301"/>
      <c r="AT615" s="301"/>
      <c r="AU615" s="301"/>
      <c r="AV615" s="301"/>
      <c r="AW615" s="301"/>
      <c r="AX615" s="301"/>
      <c r="AY615" s="301"/>
      <c r="AZ615" s="301"/>
      <c r="BA615" s="301"/>
      <c r="BB615" s="301"/>
      <c r="BC615" s="301"/>
      <c r="BD615" s="301"/>
      <c r="BE615" s="301"/>
      <c r="BF615" s="301"/>
      <c r="BG615" s="303"/>
      <c r="BH615" s="304"/>
    </row>
    <row r="616" spans="1:60" s="305" customFormat="1" ht="16.5" hidden="1" customHeight="1" x14ac:dyDescent="0.4">
      <c r="A616" s="285">
        <v>593</v>
      </c>
      <c r="B616" s="286"/>
      <c r="C616" s="286"/>
      <c r="D616" s="287" t="s">
        <v>92</v>
      </c>
      <c r="E616" s="287" t="s">
        <v>249</v>
      </c>
      <c r="F616" s="288" t="s">
        <v>92</v>
      </c>
      <c r="G616" s="289" t="s">
        <v>727</v>
      </c>
      <c r="H616" s="307"/>
      <c r="I616" s="290"/>
      <c r="J616" s="291" t="s">
        <v>254</v>
      </c>
      <c r="K616" s="287"/>
      <c r="L616" s="287"/>
      <c r="M616" s="287">
        <v>2234</v>
      </c>
      <c r="N616" s="287" t="s">
        <v>23</v>
      </c>
      <c r="O616" s="287" t="s">
        <v>33</v>
      </c>
      <c r="P616" s="287"/>
      <c r="Q616" s="287" t="s">
        <v>47</v>
      </c>
      <c r="R616" s="287" t="s">
        <v>340</v>
      </c>
      <c r="S616" s="292" t="s">
        <v>340</v>
      </c>
      <c r="T616" s="293"/>
      <c r="U616" s="294"/>
      <c r="V616" s="294">
        <v>3000000</v>
      </c>
      <c r="W616" s="295">
        <v>1815000</v>
      </c>
      <c r="X616" s="296"/>
      <c r="Y616" s="287" t="s">
        <v>28</v>
      </c>
      <c r="Z616" s="297" t="s">
        <v>26</v>
      </c>
      <c r="AA616" s="313"/>
      <c r="AB616" s="313"/>
      <c r="AC616" s="298">
        <f t="shared" si="22"/>
        <v>2000000</v>
      </c>
      <c r="AD616" s="298">
        <v>2000000</v>
      </c>
      <c r="AE616" s="298">
        <f t="shared" si="23"/>
        <v>0</v>
      </c>
      <c r="AF616" s="299"/>
      <c r="AG616" s="300"/>
      <c r="AH616" s="299"/>
      <c r="AI616" s="299"/>
      <c r="AJ616" s="300"/>
      <c r="AK616" s="299"/>
      <c r="AL616" s="301"/>
      <c r="AM616" s="314"/>
      <c r="AN616" s="301"/>
      <c r="AO616" s="302"/>
      <c r="AP616" s="301"/>
      <c r="AQ616" s="316">
        <v>2000000</v>
      </c>
      <c r="AR616" s="301"/>
      <c r="AS616" s="301"/>
      <c r="AT616" s="301"/>
      <c r="AU616" s="301"/>
      <c r="AV616" s="301"/>
      <c r="AW616" s="301"/>
      <c r="AX616" s="301"/>
      <c r="AY616" s="301"/>
      <c r="AZ616" s="301"/>
      <c r="BA616" s="301"/>
      <c r="BB616" s="301"/>
      <c r="BC616" s="301"/>
      <c r="BD616" s="301"/>
      <c r="BE616" s="301"/>
      <c r="BF616" s="301"/>
      <c r="BG616" s="303"/>
      <c r="BH616" s="304"/>
    </row>
    <row r="617" spans="1:60" s="305" customFormat="1" ht="16.5" hidden="1" customHeight="1" x14ac:dyDescent="0.4">
      <c r="A617" s="285">
        <v>594</v>
      </c>
      <c r="B617" s="286"/>
      <c r="C617" s="286"/>
      <c r="D617" s="287" t="s">
        <v>92</v>
      </c>
      <c r="E617" s="287" t="s">
        <v>249</v>
      </c>
      <c r="F617" s="288" t="s">
        <v>92</v>
      </c>
      <c r="G617" s="289" t="s">
        <v>727</v>
      </c>
      <c r="H617" s="307"/>
      <c r="I617" s="290"/>
      <c r="J617" s="291" t="s">
        <v>580</v>
      </c>
      <c r="K617" s="287"/>
      <c r="L617" s="287"/>
      <c r="M617" s="287">
        <v>53648</v>
      </c>
      <c r="N617" s="287" t="s">
        <v>40</v>
      </c>
      <c r="O617" s="287" t="s">
        <v>33</v>
      </c>
      <c r="P617" s="287"/>
      <c r="Q617" s="287" t="s">
        <v>30</v>
      </c>
      <c r="R617" s="287" t="s">
        <v>31</v>
      </c>
      <c r="S617" s="292" t="s">
        <v>31</v>
      </c>
      <c r="T617" s="293"/>
      <c r="U617" s="294">
        <v>2140000</v>
      </c>
      <c r="V617" s="294">
        <v>25000</v>
      </c>
      <c r="W617" s="295"/>
      <c r="X617" s="296"/>
      <c r="Y617" s="287" t="s">
        <v>26</v>
      </c>
      <c r="Z617" s="297" t="s">
        <v>26</v>
      </c>
      <c r="AA617" s="313"/>
      <c r="AB617" s="313"/>
      <c r="AC617" s="298">
        <f t="shared" si="22"/>
        <v>1000000</v>
      </c>
      <c r="AD617" s="298">
        <v>1000000</v>
      </c>
      <c r="AE617" s="298">
        <f t="shared" si="23"/>
        <v>0</v>
      </c>
      <c r="AF617" s="299"/>
      <c r="AG617" s="300"/>
      <c r="AH617" s="299"/>
      <c r="AI617" s="299"/>
      <c r="AJ617" s="300"/>
      <c r="AK617" s="299"/>
      <c r="AL617" s="301"/>
      <c r="AM617" s="314"/>
      <c r="AN617" s="301"/>
      <c r="AO617" s="302"/>
      <c r="AP617" s="301"/>
      <c r="AQ617" s="301"/>
      <c r="AR617" s="301"/>
      <c r="AS617" s="301"/>
      <c r="AT617" s="301"/>
      <c r="AU617" s="301">
        <v>1000000</v>
      </c>
      <c r="AV617" s="301"/>
      <c r="AW617" s="301"/>
      <c r="AX617" s="301"/>
      <c r="AY617" s="301"/>
      <c r="AZ617" s="301"/>
      <c r="BA617" s="301"/>
      <c r="BB617" s="301"/>
      <c r="BC617" s="301"/>
      <c r="BD617" s="301"/>
      <c r="BE617" s="301"/>
      <c r="BF617" s="301"/>
      <c r="BG617" s="303"/>
      <c r="BH617" s="304"/>
    </row>
    <row r="618" spans="1:60" s="305" customFormat="1" ht="16.5" hidden="1" customHeight="1" x14ac:dyDescent="0.4">
      <c r="A618" s="285">
        <v>595</v>
      </c>
      <c r="B618" s="286"/>
      <c r="C618" s="286"/>
      <c r="D618" s="287" t="s">
        <v>92</v>
      </c>
      <c r="E618" s="287" t="s">
        <v>249</v>
      </c>
      <c r="F618" s="288" t="s">
        <v>92</v>
      </c>
      <c r="G618" s="289" t="s">
        <v>727</v>
      </c>
      <c r="H618" s="307"/>
      <c r="I618" s="290"/>
      <c r="J618" s="291" t="s">
        <v>325</v>
      </c>
      <c r="K618" s="287"/>
      <c r="L618" s="287"/>
      <c r="M618" s="287">
        <v>16156</v>
      </c>
      <c r="N618" s="287" t="s">
        <v>23</v>
      </c>
      <c r="O618" s="287" t="s">
        <v>33</v>
      </c>
      <c r="P618" s="287"/>
      <c r="Q618" s="287" t="s">
        <v>19</v>
      </c>
      <c r="R618" s="287" t="s">
        <v>20</v>
      </c>
      <c r="S618" s="292" t="s">
        <v>20</v>
      </c>
      <c r="T618" s="293"/>
      <c r="U618" s="294"/>
      <c r="V618" s="294">
        <v>0</v>
      </c>
      <c r="W618" s="295"/>
      <c r="X618" s="296"/>
      <c r="Y618" s="287" t="s">
        <v>26</v>
      </c>
      <c r="Z618" s="297" t="s">
        <v>618</v>
      </c>
      <c r="AA618" s="313"/>
      <c r="AB618" s="313"/>
      <c r="AC618" s="298">
        <f t="shared" si="22"/>
        <v>0</v>
      </c>
      <c r="AD618" s="298">
        <v>0</v>
      </c>
      <c r="AE618" s="298">
        <f t="shared" si="23"/>
        <v>0</v>
      </c>
      <c r="AF618" s="299"/>
      <c r="AG618" s="300"/>
      <c r="AH618" s="299"/>
      <c r="AI618" s="299"/>
      <c r="AJ618" s="300"/>
      <c r="AK618" s="299"/>
      <c r="AL618" s="301"/>
      <c r="AM618" s="314"/>
      <c r="AN618" s="301"/>
      <c r="AO618" s="302"/>
      <c r="AP618" s="301"/>
      <c r="AQ618" s="301"/>
      <c r="AR618" s="301"/>
      <c r="AS618" s="301"/>
      <c r="AT618" s="301"/>
      <c r="AU618" s="301"/>
      <c r="AV618" s="301"/>
      <c r="AW618" s="301"/>
      <c r="AX618" s="301"/>
      <c r="AY618" s="301"/>
      <c r="AZ618" s="301"/>
      <c r="BA618" s="301"/>
      <c r="BB618" s="301"/>
      <c r="BC618" s="301"/>
      <c r="BD618" s="301"/>
      <c r="BE618" s="301"/>
      <c r="BF618" s="301"/>
      <c r="BG618" s="303"/>
      <c r="BH618" s="304"/>
    </row>
    <row r="619" spans="1:60" s="305" customFormat="1" ht="16.5" hidden="1" customHeight="1" x14ac:dyDescent="0.4">
      <c r="A619" s="285">
        <v>596</v>
      </c>
      <c r="B619" s="286"/>
      <c r="C619" s="286"/>
      <c r="D619" s="287" t="s">
        <v>92</v>
      </c>
      <c r="E619" s="287" t="s">
        <v>249</v>
      </c>
      <c r="F619" s="288" t="s">
        <v>92</v>
      </c>
      <c r="G619" s="289" t="s">
        <v>727</v>
      </c>
      <c r="H619" s="307"/>
      <c r="I619" s="290"/>
      <c r="J619" s="291" t="s">
        <v>174</v>
      </c>
      <c r="K619" s="287"/>
      <c r="L619" s="287"/>
      <c r="M619" s="287">
        <v>10181</v>
      </c>
      <c r="N619" s="287" t="s">
        <v>32</v>
      </c>
      <c r="O619" s="287" t="s">
        <v>43</v>
      </c>
      <c r="P619" s="287" t="s">
        <v>44</v>
      </c>
      <c r="Q619" s="287" t="s">
        <v>19</v>
      </c>
      <c r="R619" s="287" t="s">
        <v>20</v>
      </c>
      <c r="S619" s="292" t="s">
        <v>20</v>
      </c>
      <c r="T619" s="293"/>
      <c r="U619" s="294" t="s">
        <v>97</v>
      </c>
      <c r="V619" s="294">
        <v>900000</v>
      </c>
      <c r="W619" s="295">
        <v>3185000</v>
      </c>
      <c r="X619" s="296"/>
      <c r="Y619" s="287" t="s">
        <v>28</v>
      </c>
      <c r="Z619" s="297" t="s">
        <v>618</v>
      </c>
      <c r="AA619" s="313"/>
      <c r="AB619" s="313"/>
      <c r="AC619" s="298">
        <f t="shared" si="22"/>
        <v>0</v>
      </c>
      <c r="AD619" s="298">
        <v>0</v>
      </c>
      <c r="AE619" s="298">
        <f t="shared" si="23"/>
        <v>0</v>
      </c>
      <c r="AF619" s="299"/>
      <c r="AG619" s="300"/>
      <c r="AH619" s="299"/>
      <c r="AI619" s="299"/>
      <c r="AJ619" s="300"/>
      <c r="AK619" s="299"/>
      <c r="AL619" s="301"/>
      <c r="AM619" s="314"/>
      <c r="AN619" s="301"/>
      <c r="AO619" s="302"/>
      <c r="AP619" s="301"/>
      <c r="AQ619" s="301"/>
      <c r="AR619" s="301"/>
      <c r="AS619" s="301"/>
      <c r="AT619" s="301"/>
      <c r="AU619" s="301"/>
      <c r="AV619" s="301"/>
      <c r="AW619" s="301"/>
      <c r="AX619" s="301"/>
      <c r="AY619" s="301"/>
      <c r="AZ619" s="301"/>
      <c r="BA619" s="301"/>
      <c r="BB619" s="301"/>
      <c r="BC619" s="301"/>
      <c r="BD619" s="301"/>
      <c r="BE619" s="301"/>
      <c r="BF619" s="301"/>
      <c r="BG619" s="303"/>
      <c r="BH619" s="304"/>
    </row>
    <row r="620" spans="1:60" s="305" customFormat="1" ht="16.5" hidden="1" customHeight="1" x14ac:dyDescent="0.4">
      <c r="A620" s="285">
        <v>597</v>
      </c>
      <c r="B620" s="286"/>
      <c r="C620" s="286"/>
      <c r="D620" s="287" t="s">
        <v>92</v>
      </c>
      <c r="E620" s="287" t="s">
        <v>249</v>
      </c>
      <c r="F620" s="288" t="s">
        <v>92</v>
      </c>
      <c r="G620" s="289" t="s">
        <v>727</v>
      </c>
      <c r="H620" s="307"/>
      <c r="I620" s="290"/>
      <c r="J620" s="291" t="s">
        <v>174</v>
      </c>
      <c r="K620" s="287"/>
      <c r="L620" s="287"/>
      <c r="M620" s="287">
        <v>10181</v>
      </c>
      <c r="N620" s="287" t="s">
        <v>32</v>
      </c>
      <c r="O620" s="287" t="s">
        <v>43</v>
      </c>
      <c r="P620" s="287" t="s">
        <v>44</v>
      </c>
      <c r="Q620" s="287" t="s">
        <v>30</v>
      </c>
      <c r="R620" s="287" t="s">
        <v>31</v>
      </c>
      <c r="S620" s="292" t="s">
        <v>31</v>
      </c>
      <c r="T620" s="293"/>
      <c r="U620" s="294">
        <v>25450000</v>
      </c>
      <c r="V620" s="294">
        <v>24618000</v>
      </c>
      <c r="W620" s="295">
        <v>21555000</v>
      </c>
      <c r="X620" s="296"/>
      <c r="Y620" s="287" t="s">
        <v>28</v>
      </c>
      <c r="Z620" s="297" t="s">
        <v>28</v>
      </c>
      <c r="AA620" s="313"/>
      <c r="AB620" s="313"/>
      <c r="AC620" s="298">
        <f t="shared" si="22"/>
        <v>1028000</v>
      </c>
      <c r="AD620" s="298">
        <v>1028000</v>
      </c>
      <c r="AE620" s="298">
        <f t="shared" si="23"/>
        <v>0</v>
      </c>
      <c r="AF620" s="299"/>
      <c r="AG620" s="300"/>
      <c r="AH620" s="299"/>
      <c r="AI620" s="299"/>
      <c r="AJ620" s="300">
        <v>700000</v>
      </c>
      <c r="AK620" s="299"/>
      <c r="AL620" s="301"/>
      <c r="AM620" s="314"/>
      <c r="AN620" s="301"/>
      <c r="AO620" s="302">
        <v>328000</v>
      </c>
      <c r="AP620" s="301"/>
      <c r="AQ620" s="301"/>
      <c r="AR620" s="301"/>
      <c r="AS620" s="301"/>
      <c r="AT620" s="301"/>
      <c r="AU620" s="301"/>
      <c r="AV620" s="301"/>
      <c r="AW620" s="301"/>
      <c r="AX620" s="301"/>
      <c r="AY620" s="301"/>
      <c r="AZ620" s="301"/>
      <c r="BA620" s="301"/>
      <c r="BB620" s="301"/>
      <c r="BC620" s="301"/>
      <c r="BD620" s="301"/>
      <c r="BE620" s="301"/>
      <c r="BF620" s="301"/>
      <c r="BG620" s="303"/>
      <c r="BH620" s="304"/>
    </row>
    <row r="621" spans="1:60" s="305" customFormat="1" ht="16.5" hidden="1" customHeight="1" x14ac:dyDescent="0.4">
      <c r="A621" s="285">
        <v>598</v>
      </c>
      <c r="B621" s="286"/>
      <c r="C621" s="286"/>
      <c r="D621" s="287"/>
      <c r="E621" s="287"/>
      <c r="F621" s="288" t="s">
        <v>92</v>
      </c>
      <c r="G621" s="289" t="s">
        <v>727</v>
      </c>
      <c r="H621" s="307"/>
      <c r="I621" s="290"/>
      <c r="J621" s="291" t="s">
        <v>174</v>
      </c>
      <c r="K621" s="287"/>
      <c r="L621" s="287"/>
      <c r="M621" s="287">
        <v>10181</v>
      </c>
      <c r="N621" s="287" t="s">
        <v>32</v>
      </c>
      <c r="O621" s="287" t="s">
        <v>33</v>
      </c>
      <c r="P621" s="287"/>
      <c r="Q621" s="287"/>
      <c r="R621" s="287"/>
      <c r="S621" s="292" t="s">
        <v>349</v>
      </c>
      <c r="T621" s="293"/>
      <c r="U621" s="294"/>
      <c r="V621" s="294"/>
      <c r="W621" s="295">
        <v>1500000</v>
      </c>
      <c r="X621" s="296"/>
      <c r="Y621" s="287"/>
      <c r="Z621" s="297" t="s">
        <v>656</v>
      </c>
      <c r="AA621" s="313"/>
      <c r="AB621" s="313"/>
      <c r="AC621" s="298">
        <f t="shared" si="22"/>
        <v>0</v>
      </c>
      <c r="AD621" s="298">
        <v>0</v>
      </c>
      <c r="AE621" s="298">
        <f t="shared" si="23"/>
        <v>0</v>
      </c>
      <c r="AF621" s="299"/>
      <c r="AG621" s="300"/>
      <c r="AH621" s="299"/>
      <c r="AI621" s="299"/>
      <c r="AJ621" s="300"/>
      <c r="AK621" s="299"/>
      <c r="AL621" s="301"/>
      <c r="AM621" s="314"/>
      <c r="AN621" s="301"/>
      <c r="AO621" s="302"/>
      <c r="AP621" s="301"/>
      <c r="AQ621" s="301"/>
      <c r="AR621" s="301"/>
      <c r="AS621" s="301"/>
      <c r="AT621" s="301"/>
      <c r="AU621" s="301"/>
      <c r="AV621" s="301"/>
      <c r="AW621" s="301"/>
      <c r="AX621" s="301"/>
      <c r="AY621" s="301"/>
      <c r="AZ621" s="301"/>
      <c r="BA621" s="301"/>
      <c r="BB621" s="301"/>
      <c r="BC621" s="301"/>
      <c r="BD621" s="301"/>
      <c r="BE621" s="301"/>
      <c r="BF621" s="301"/>
      <c r="BG621" s="303"/>
      <c r="BH621" s="304"/>
    </row>
    <row r="622" spans="1:60" s="305" customFormat="1" ht="16.5" hidden="1" customHeight="1" x14ac:dyDescent="0.4">
      <c r="A622" s="285">
        <v>599</v>
      </c>
      <c r="B622" s="286"/>
      <c r="C622" s="286"/>
      <c r="D622" s="287" t="s">
        <v>92</v>
      </c>
      <c r="E622" s="287" t="s">
        <v>249</v>
      </c>
      <c r="F622" s="288" t="s">
        <v>92</v>
      </c>
      <c r="G622" s="289" t="s">
        <v>727</v>
      </c>
      <c r="H622" s="307"/>
      <c r="I622" s="290"/>
      <c r="J622" s="291" t="s">
        <v>628</v>
      </c>
      <c r="K622" s="287"/>
      <c r="L622" s="287"/>
      <c r="M622" s="287">
        <v>5779</v>
      </c>
      <c r="N622" s="287" t="s">
        <v>23</v>
      </c>
      <c r="O622" s="287" t="s">
        <v>33</v>
      </c>
      <c r="P622" s="287"/>
      <c r="Q622" s="287" t="s">
        <v>27</v>
      </c>
      <c r="R622" s="287" t="s">
        <v>349</v>
      </c>
      <c r="S622" s="292" t="s">
        <v>349</v>
      </c>
      <c r="T622" s="293"/>
      <c r="U622" s="294"/>
      <c r="V622" s="294">
        <v>0</v>
      </c>
      <c r="W622" s="295">
        <v>12949999</v>
      </c>
      <c r="X622" s="296"/>
      <c r="Y622" s="287" t="s">
        <v>28</v>
      </c>
      <c r="Z622" s="297" t="s">
        <v>26</v>
      </c>
      <c r="AA622" s="313"/>
      <c r="AB622" s="313"/>
      <c r="AC622" s="298">
        <f t="shared" si="22"/>
        <v>15000000</v>
      </c>
      <c r="AD622" s="298">
        <v>15000000</v>
      </c>
      <c r="AE622" s="298">
        <f t="shared" si="23"/>
        <v>0</v>
      </c>
      <c r="AF622" s="299"/>
      <c r="AG622" s="300"/>
      <c r="AH622" s="299"/>
      <c r="AI622" s="299"/>
      <c r="AJ622" s="300"/>
      <c r="AK622" s="299"/>
      <c r="AL622" s="301"/>
      <c r="AM622" s="314"/>
      <c r="AN622" s="301"/>
      <c r="AO622" s="302"/>
      <c r="AP622" s="301"/>
      <c r="AQ622" s="301"/>
      <c r="AR622" s="301"/>
      <c r="AS622" s="301"/>
      <c r="AT622" s="301"/>
      <c r="AU622" s="301">
        <v>15000000</v>
      </c>
      <c r="AV622" s="301"/>
      <c r="AW622" s="301"/>
      <c r="AX622" s="301"/>
      <c r="AY622" s="301"/>
      <c r="AZ622" s="301"/>
      <c r="BA622" s="301"/>
      <c r="BB622" s="301"/>
      <c r="BC622" s="301"/>
      <c r="BD622" s="301"/>
      <c r="BE622" s="301"/>
      <c r="BF622" s="301"/>
      <c r="BG622" s="303"/>
      <c r="BH622" s="304"/>
    </row>
    <row r="623" spans="1:60" s="305" customFormat="1" ht="16.5" hidden="1" customHeight="1" x14ac:dyDescent="0.4">
      <c r="A623" s="285">
        <v>600</v>
      </c>
      <c r="B623" s="286"/>
      <c r="C623" s="286"/>
      <c r="D623" s="287" t="s">
        <v>92</v>
      </c>
      <c r="E623" s="287" t="s">
        <v>196</v>
      </c>
      <c r="F623" s="288" t="s">
        <v>92</v>
      </c>
      <c r="G623" s="289" t="s">
        <v>727</v>
      </c>
      <c r="H623" s="307"/>
      <c r="I623" s="290"/>
      <c r="J623" s="291" t="s">
        <v>209</v>
      </c>
      <c r="K623" s="287"/>
      <c r="L623" s="287"/>
      <c r="M623" s="287">
        <v>4023</v>
      </c>
      <c r="N623" s="287" t="s">
        <v>23</v>
      </c>
      <c r="O623" s="287" t="s">
        <v>43</v>
      </c>
      <c r="P623" s="287" t="s">
        <v>44</v>
      </c>
      <c r="Q623" s="287" t="s">
        <v>19</v>
      </c>
      <c r="R623" s="287" t="s">
        <v>20</v>
      </c>
      <c r="S623" s="292" t="s">
        <v>29</v>
      </c>
      <c r="T623" s="293"/>
      <c r="U623" s="294">
        <v>15643060</v>
      </c>
      <c r="V623" s="294">
        <v>11466900</v>
      </c>
      <c r="W623" s="295">
        <v>11224600</v>
      </c>
      <c r="X623" s="296"/>
      <c r="Y623" s="287" t="s">
        <v>28</v>
      </c>
      <c r="Z623" s="297" t="s">
        <v>28</v>
      </c>
      <c r="AA623" s="313"/>
      <c r="AB623" s="313"/>
      <c r="AC623" s="298">
        <f t="shared" si="22"/>
        <v>11335800</v>
      </c>
      <c r="AD623" s="298">
        <v>11335800</v>
      </c>
      <c r="AE623" s="298">
        <f t="shared" si="23"/>
        <v>0</v>
      </c>
      <c r="AF623" s="299"/>
      <c r="AG623" s="300"/>
      <c r="AH623" s="299"/>
      <c r="AI623" s="299">
        <v>850000</v>
      </c>
      <c r="AJ623" s="300">
        <v>850000</v>
      </c>
      <c r="AK623" s="299"/>
      <c r="AL623" s="301"/>
      <c r="AM623" s="314">
        <v>1375000</v>
      </c>
      <c r="AN623" s="301"/>
      <c r="AO623" s="302">
        <v>1110800</v>
      </c>
      <c r="AP623" s="301"/>
      <c r="AQ623" s="301">
        <v>1000000</v>
      </c>
      <c r="AR623" s="301"/>
      <c r="AS623" s="301">
        <v>1000000</v>
      </c>
      <c r="AT623" s="301"/>
      <c r="AU623" s="301">
        <v>1000000</v>
      </c>
      <c r="AV623" s="301"/>
      <c r="AW623" s="301">
        <v>1000000</v>
      </c>
      <c r="AX623" s="301"/>
      <c r="AY623" s="301">
        <v>1000000</v>
      </c>
      <c r="AZ623" s="301"/>
      <c r="BA623" s="301">
        <v>1000000</v>
      </c>
      <c r="BB623" s="301"/>
      <c r="BC623" s="301">
        <v>1000000</v>
      </c>
      <c r="BD623" s="301"/>
      <c r="BE623" s="301">
        <v>1000000</v>
      </c>
      <c r="BF623" s="301"/>
      <c r="BG623" s="303"/>
      <c r="BH623" s="304"/>
    </row>
    <row r="624" spans="1:60" s="305" customFormat="1" ht="16.5" hidden="1" customHeight="1" x14ac:dyDescent="0.4">
      <c r="A624" s="285">
        <v>601</v>
      </c>
      <c r="B624" s="286"/>
      <c r="C624" s="286"/>
      <c r="D624" s="287" t="s">
        <v>92</v>
      </c>
      <c r="E624" s="287" t="s">
        <v>196</v>
      </c>
      <c r="F624" s="288" t="s">
        <v>92</v>
      </c>
      <c r="G624" s="289" t="s">
        <v>727</v>
      </c>
      <c r="H624" s="307"/>
      <c r="I624" s="290"/>
      <c r="J624" s="291" t="s">
        <v>210</v>
      </c>
      <c r="K624" s="287"/>
      <c r="L624" s="287"/>
      <c r="M624" s="287">
        <v>54881</v>
      </c>
      <c r="N624" s="287" t="s">
        <v>23</v>
      </c>
      <c r="O624" s="287" t="s">
        <v>43</v>
      </c>
      <c r="P624" s="287" t="s">
        <v>44</v>
      </c>
      <c r="Q624" s="287" t="s">
        <v>30</v>
      </c>
      <c r="R624" s="287" t="s">
        <v>31</v>
      </c>
      <c r="S624" s="292" t="s">
        <v>29</v>
      </c>
      <c r="T624" s="293"/>
      <c r="U624" s="294">
        <v>11216800</v>
      </c>
      <c r="V624" s="294">
        <v>13900400</v>
      </c>
      <c r="W624" s="295">
        <v>13366700</v>
      </c>
      <c r="X624" s="296"/>
      <c r="Y624" s="287" t="s">
        <v>28</v>
      </c>
      <c r="Z624" s="297" t="s">
        <v>28</v>
      </c>
      <c r="AA624" s="313"/>
      <c r="AB624" s="313"/>
      <c r="AC624" s="298">
        <f t="shared" si="22"/>
        <v>10575800</v>
      </c>
      <c r="AD624" s="298">
        <v>10575800</v>
      </c>
      <c r="AE624" s="298">
        <f t="shared" si="23"/>
        <v>0</v>
      </c>
      <c r="AF624" s="299"/>
      <c r="AG624" s="300"/>
      <c r="AH624" s="299"/>
      <c r="AI624" s="299">
        <v>0</v>
      </c>
      <c r="AJ624" s="300"/>
      <c r="AK624" s="299"/>
      <c r="AL624" s="301"/>
      <c r="AM624" s="314">
        <v>1187800</v>
      </c>
      <c r="AN624" s="301"/>
      <c r="AO624" s="302">
        <v>1388000</v>
      </c>
      <c r="AP624" s="301"/>
      <c r="AQ624" s="301">
        <v>1000000</v>
      </c>
      <c r="AR624" s="301"/>
      <c r="AS624" s="301">
        <v>1000000</v>
      </c>
      <c r="AT624" s="301"/>
      <c r="AU624" s="301">
        <v>1000000</v>
      </c>
      <c r="AV624" s="301"/>
      <c r="AW624" s="301">
        <v>1000000</v>
      </c>
      <c r="AX624" s="301"/>
      <c r="AY624" s="301">
        <v>1000000</v>
      </c>
      <c r="AZ624" s="301"/>
      <c r="BA624" s="301">
        <v>1000000</v>
      </c>
      <c r="BB624" s="301"/>
      <c r="BC624" s="301">
        <v>1000000</v>
      </c>
      <c r="BD624" s="301"/>
      <c r="BE624" s="301">
        <v>1000000</v>
      </c>
      <c r="BF624" s="301"/>
      <c r="BG624" s="303"/>
      <c r="BH624" s="304"/>
    </row>
    <row r="625" spans="1:60" s="305" customFormat="1" ht="16.5" hidden="1" customHeight="1" x14ac:dyDescent="0.4">
      <c r="A625" s="285">
        <v>602</v>
      </c>
      <c r="B625" s="286"/>
      <c r="C625" s="286"/>
      <c r="D625" s="287"/>
      <c r="E625" s="287"/>
      <c r="F625" s="288" t="s">
        <v>92</v>
      </c>
      <c r="G625" s="289" t="s">
        <v>727</v>
      </c>
      <c r="H625" s="307"/>
      <c r="I625" s="290"/>
      <c r="J625" s="291" t="s">
        <v>781</v>
      </c>
      <c r="K625" s="287"/>
      <c r="L625" s="287"/>
      <c r="M625" s="287">
        <v>19241</v>
      </c>
      <c r="N625" s="287" t="s">
        <v>23</v>
      </c>
      <c r="O625" s="287" t="s">
        <v>43</v>
      </c>
      <c r="P625" s="287"/>
      <c r="Q625" s="287"/>
      <c r="R625" s="287"/>
      <c r="S625" s="292" t="s">
        <v>20</v>
      </c>
      <c r="T625" s="293"/>
      <c r="U625" s="294"/>
      <c r="V625" s="294"/>
      <c r="W625" s="295">
        <v>1026000</v>
      </c>
      <c r="X625" s="296"/>
      <c r="Y625" s="287"/>
      <c r="Z625" s="297" t="s">
        <v>28</v>
      </c>
      <c r="AA625" s="313"/>
      <c r="AB625" s="313"/>
      <c r="AC625" s="298">
        <f t="shared" si="22"/>
        <v>9000</v>
      </c>
      <c r="AD625" s="298">
        <v>9000</v>
      </c>
      <c r="AE625" s="298">
        <f t="shared" si="23"/>
        <v>0</v>
      </c>
      <c r="AF625" s="299"/>
      <c r="AG625" s="300"/>
      <c r="AH625" s="299"/>
      <c r="AI625" s="299"/>
      <c r="AJ625" s="300">
        <v>9000</v>
      </c>
      <c r="AK625" s="299"/>
      <c r="AL625" s="301"/>
      <c r="AM625" s="314"/>
      <c r="AN625" s="301"/>
      <c r="AO625" s="302"/>
      <c r="AP625" s="301"/>
      <c r="AQ625" s="301"/>
      <c r="AR625" s="301"/>
      <c r="AS625" s="301"/>
      <c r="AT625" s="301"/>
      <c r="AU625" s="301"/>
      <c r="AV625" s="301"/>
      <c r="AW625" s="301"/>
      <c r="AX625" s="301"/>
      <c r="AY625" s="301"/>
      <c r="AZ625" s="301"/>
      <c r="BA625" s="301"/>
      <c r="BB625" s="301"/>
      <c r="BC625" s="301"/>
      <c r="BD625" s="301"/>
      <c r="BE625" s="301"/>
      <c r="BF625" s="301"/>
      <c r="BG625" s="303"/>
      <c r="BH625" s="304"/>
    </row>
    <row r="626" spans="1:60" s="305" customFormat="1" ht="16.5" hidden="1" customHeight="1" x14ac:dyDescent="0.4">
      <c r="A626" s="285">
        <v>603</v>
      </c>
      <c r="B626" s="286"/>
      <c r="C626" s="286"/>
      <c r="D626" s="287" t="s">
        <v>92</v>
      </c>
      <c r="E626" s="287" t="s">
        <v>249</v>
      </c>
      <c r="F626" s="288" t="s">
        <v>92</v>
      </c>
      <c r="G626" s="289" t="s">
        <v>727</v>
      </c>
      <c r="H626" s="307"/>
      <c r="I626" s="290"/>
      <c r="J626" s="291" t="s">
        <v>84</v>
      </c>
      <c r="K626" s="287"/>
      <c r="L626" s="287"/>
      <c r="M626" s="287">
        <v>3963</v>
      </c>
      <c r="N626" s="287" t="s">
        <v>23</v>
      </c>
      <c r="O626" s="287" t="s">
        <v>43</v>
      </c>
      <c r="P626" s="287"/>
      <c r="Q626" s="287" t="s">
        <v>19</v>
      </c>
      <c r="R626" s="287" t="s">
        <v>20</v>
      </c>
      <c r="S626" s="292" t="s">
        <v>20</v>
      </c>
      <c r="T626" s="293"/>
      <c r="U626" s="294">
        <v>6800000</v>
      </c>
      <c r="V626" s="294">
        <v>7600000</v>
      </c>
      <c r="W626" s="295">
        <v>6700000</v>
      </c>
      <c r="X626" s="296"/>
      <c r="Y626" s="287" t="s">
        <v>28</v>
      </c>
      <c r="Z626" s="297" t="s">
        <v>28</v>
      </c>
      <c r="AA626" s="313"/>
      <c r="AB626" s="313"/>
      <c r="AC626" s="298">
        <f t="shared" si="22"/>
        <v>10000000</v>
      </c>
      <c r="AD626" s="298">
        <v>10000000</v>
      </c>
      <c r="AE626" s="298">
        <f t="shared" si="23"/>
        <v>0</v>
      </c>
      <c r="AF626" s="299"/>
      <c r="AG626" s="300"/>
      <c r="AH626" s="299"/>
      <c r="AI626" s="299">
        <v>10000000</v>
      </c>
      <c r="AJ626" s="300">
        <v>10000000</v>
      </c>
      <c r="AK626" s="299"/>
      <c r="AL626" s="301"/>
      <c r="AM626" s="314"/>
      <c r="AN626" s="301"/>
      <c r="AO626" s="302"/>
      <c r="AP626" s="301"/>
      <c r="AQ626" s="301"/>
      <c r="AR626" s="301"/>
      <c r="AS626" s="301"/>
      <c r="AT626" s="301"/>
      <c r="AU626" s="301"/>
      <c r="AV626" s="301"/>
      <c r="AW626" s="301"/>
      <c r="AX626" s="301"/>
      <c r="AY626" s="301"/>
      <c r="AZ626" s="301"/>
      <c r="BA626" s="301"/>
      <c r="BB626" s="301"/>
      <c r="BC626" s="301"/>
      <c r="BD626" s="301"/>
      <c r="BE626" s="301"/>
      <c r="BF626" s="301"/>
      <c r="BG626" s="303"/>
      <c r="BH626" s="304"/>
    </row>
    <row r="627" spans="1:60" s="305" customFormat="1" ht="16.5" hidden="1" customHeight="1" x14ac:dyDescent="0.4">
      <c r="A627" s="285">
        <v>604</v>
      </c>
      <c r="B627" s="286"/>
      <c r="C627" s="286"/>
      <c r="D627" s="287"/>
      <c r="E627" s="287"/>
      <c r="F627" s="288" t="s">
        <v>92</v>
      </c>
      <c r="G627" s="289" t="s">
        <v>727</v>
      </c>
      <c r="H627" s="307"/>
      <c r="I627" s="290"/>
      <c r="J627" s="291" t="s">
        <v>831</v>
      </c>
      <c r="K627" s="287"/>
      <c r="L627" s="287"/>
      <c r="M627" s="287">
        <v>11618</v>
      </c>
      <c r="N627" s="287" t="s">
        <v>23</v>
      </c>
      <c r="O627" s="287" t="s">
        <v>43</v>
      </c>
      <c r="P627" s="287"/>
      <c r="Q627" s="287"/>
      <c r="R627" s="287"/>
      <c r="S627" s="292" t="s">
        <v>20</v>
      </c>
      <c r="T627" s="293"/>
      <c r="U627" s="294"/>
      <c r="V627" s="294"/>
      <c r="W627" s="295">
        <v>3340000</v>
      </c>
      <c r="X627" s="296"/>
      <c r="Y627" s="287"/>
      <c r="Z627" s="297" t="s">
        <v>28</v>
      </c>
      <c r="AA627" s="313"/>
      <c r="AB627" s="313"/>
      <c r="AC627" s="298">
        <f t="shared" si="22"/>
        <v>618000</v>
      </c>
      <c r="AD627" s="298">
        <v>618000</v>
      </c>
      <c r="AE627" s="298">
        <f t="shared" si="23"/>
        <v>0</v>
      </c>
      <c r="AF627" s="299"/>
      <c r="AG627" s="300"/>
      <c r="AH627" s="299"/>
      <c r="AI627" s="299"/>
      <c r="AJ627" s="300"/>
      <c r="AK627" s="299"/>
      <c r="AL627" s="301"/>
      <c r="AM627" s="314">
        <v>618000</v>
      </c>
      <c r="AN627" s="301"/>
      <c r="AO627" s="302"/>
      <c r="AP627" s="301"/>
      <c r="AQ627" s="301"/>
      <c r="AR627" s="301"/>
      <c r="AS627" s="301"/>
      <c r="AT627" s="301"/>
      <c r="AU627" s="301"/>
      <c r="AV627" s="301"/>
      <c r="AW627" s="301"/>
      <c r="AX627" s="301"/>
      <c r="AY627" s="301"/>
      <c r="AZ627" s="301"/>
      <c r="BA627" s="301"/>
      <c r="BB627" s="301"/>
      <c r="BC627" s="301"/>
      <c r="BD627" s="301"/>
      <c r="BE627" s="301"/>
      <c r="BF627" s="301"/>
      <c r="BG627" s="303"/>
      <c r="BH627" s="304"/>
    </row>
    <row r="628" spans="1:60" s="305" customFormat="1" ht="16.5" hidden="1" customHeight="1" x14ac:dyDescent="0.4">
      <c r="A628" s="285">
        <v>605</v>
      </c>
      <c r="B628" s="286"/>
      <c r="C628" s="286"/>
      <c r="D628" s="287" t="s">
        <v>92</v>
      </c>
      <c r="E628" s="287" t="s">
        <v>249</v>
      </c>
      <c r="F628" s="288" t="s">
        <v>92</v>
      </c>
      <c r="G628" s="289" t="s">
        <v>727</v>
      </c>
      <c r="H628" s="307"/>
      <c r="I628" s="290"/>
      <c r="J628" s="291" t="s">
        <v>463</v>
      </c>
      <c r="K628" s="287"/>
      <c r="L628" s="287"/>
      <c r="M628" s="287">
        <v>14892</v>
      </c>
      <c r="N628" s="287" t="s">
        <v>23</v>
      </c>
      <c r="O628" s="287" t="s">
        <v>43</v>
      </c>
      <c r="P628" s="287" t="s">
        <v>44</v>
      </c>
      <c r="Q628" s="287" t="s">
        <v>19</v>
      </c>
      <c r="R628" s="287" t="s">
        <v>20</v>
      </c>
      <c r="S628" s="292" t="s">
        <v>20</v>
      </c>
      <c r="T628" s="293"/>
      <c r="U628" s="294">
        <v>14328000</v>
      </c>
      <c r="V628" s="294">
        <v>7096000</v>
      </c>
      <c r="W628" s="295">
        <v>2604000</v>
      </c>
      <c r="X628" s="296"/>
      <c r="Y628" s="287" t="s">
        <v>28</v>
      </c>
      <c r="Z628" s="297" t="s">
        <v>25</v>
      </c>
      <c r="AA628" s="313"/>
      <c r="AB628" s="313"/>
      <c r="AC628" s="298">
        <f t="shared" si="22"/>
        <v>5000000</v>
      </c>
      <c r="AD628" s="298">
        <v>5000000</v>
      </c>
      <c r="AE628" s="298">
        <f t="shared" si="23"/>
        <v>0</v>
      </c>
      <c r="AF628" s="299"/>
      <c r="AG628" s="300"/>
      <c r="AH628" s="299"/>
      <c r="AI628" s="299"/>
      <c r="AJ628" s="300"/>
      <c r="AK628" s="299"/>
      <c r="AL628" s="301"/>
      <c r="AM628" s="314"/>
      <c r="AN628" s="301"/>
      <c r="AO628" s="302"/>
      <c r="AP628" s="301"/>
      <c r="AQ628" s="301"/>
      <c r="AR628" s="301"/>
      <c r="AS628" s="301"/>
      <c r="AT628" s="301"/>
      <c r="AU628" s="301">
        <v>3000000</v>
      </c>
      <c r="AV628" s="301"/>
      <c r="AW628" s="301"/>
      <c r="AX628" s="301"/>
      <c r="AY628" s="301"/>
      <c r="AZ628" s="301"/>
      <c r="BA628" s="301"/>
      <c r="BB628" s="301"/>
      <c r="BC628" s="301">
        <v>2000000</v>
      </c>
      <c r="BD628" s="301"/>
      <c r="BE628" s="301"/>
      <c r="BF628" s="301"/>
      <c r="BG628" s="303"/>
      <c r="BH628" s="304"/>
    </row>
    <row r="629" spans="1:60" s="305" customFormat="1" ht="16.5" hidden="1" customHeight="1" x14ac:dyDescent="0.4">
      <c r="A629" s="285">
        <v>606</v>
      </c>
      <c r="B629" s="286"/>
      <c r="C629" s="286"/>
      <c r="D629" s="287" t="s">
        <v>92</v>
      </c>
      <c r="E629" s="287" t="s">
        <v>249</v>
      </c>
      <c r="F629" s="288" t="s">
        <v>92</v>
      </c>
      <c r="G629" s="289" t="s">
        <v>727</v>
      </c>
      <c r="H629" s="307"/>
      <c r="I629" s="290"/>
      <c r="J629" s="291" t="s">
        <v>257</v>
      </c>
      <c r="K629" s="287"/>
      <c r="L629" s="287"/>
      <c r="M629" s="287">
        <v>60032</v>
      </c>
      <c r="N629" s="287" t="s">
        <v>40</v>
      </c>
      <c r="O629" s="287" t="s">
        <v>33</v>
      </c>
      <c r="P629" s="287"/>
      <c r="Q629" s="287" t="s">
        <v>48</v>
      </c>
      <c r="R629" s="287" t="s">
        <v>685</v>
      </c>
      <c r="S629" s="292" t="s">
        <v>743</v>
      </c>
      <c r="T629" s="293"/>
      <c r="U629" s="294"/>
      <c r="V629" s="294">
        <v>12040000</v>
      </c>
      <c r="W629" s="295"/>
      <c r="X629" s="296"/>
      <c r="Y629" s="287" t="s">
        <v>21</v>
      </c>
      <c r="Z629" s="297" t="s">
        <v>618</v>
      </c>
      <c r="AA629" s="313"/>
      <c r="AB629" s="313"/>
      <c r="AC629" s="298">
        <f t="shared" si="22"/>
        <v>0</v>
      </c>
      <c r="AD629" s="298">
        <v>0</v>
      </c>
      <c r="AE629" s="298">
        <f t="shared" si="23"/>
        <v>0</v>
      </c>
      <c r="AF629" s="299"/>
      <c r="AG629" s="300"/>
      <c r="AH629" s="299"/>
      <c r="AI629" s="299"/>
      <c r="AJ629" s="300"/>
      <c r="AK629" s="299"/>
      <c r="AL629" s="301"/>
      <c r="AM629" s="314"/>
      <c r="AN629" s="301"/>
      <c r="AO629" s="302"/>
      <c r="AP629" s="301"/>
      <c r="AQ629" s="301"/>
      <c r="AR629" s="301"/>
      <c r="AS629" s="301"/>
      <c r="AT629" s="301"/>
      <c r="AU629" s="301"/>
      <c r="AV629" s="301"/>
      <c r="AW629" s="301"/>
      <c r="AX629" s="301"/>
      <c r="AY629" s="301"/>
      <c r="AZ629" s="301"/>
      <c r="BA629" s="301"/>
      <c r="BB629" s="301"/>
      <c r="BC629" s="301"/>
      <c r="BD629" s="301"/>
      <c r="BE629" s="301"/>
      <c r="BF629" s="301"/>
      <c r="BG629" s="303"/>
      <c r="BH629" s="304"/>
    </row>
    <row r="630" spans="1:60" s="305" customFormat="1" ht="16.5" hidden="1" customHeight="1" x14ac:dyDescent="0.4">
      <c r="A630" s="285">
        <v>607</v>
      </c>
      <c r="B630" s="286"/>
      <c r="C630" s="286"/>
      <c r="D630" s="287" t="s">
        <v>92</v>
      </c>
      <c r="E630" s="287" t="s">
        <v>249</v>
      </c>
      <c r="F630" s="288" t="s">
        <v>92</v>
      </c>
      <c r="G630" s="289" t="s">
        <v>727</v>
      </c>
      <c r="H630" s="307"/>
      <c r="I630" s="290"/>
      <c r="J630" s="291" t="s">
        <v>453</v>
      </c>
      <c r="K630" s="287"/>
      <c r="L630" s="287"/>
      <c r="M630" s="287">
        <v>12941</v>
      </c>
      <c r="N630" s="287" t="s">
        <v>23</v>
      </c>
      <c r="O630" s="287" t="s">
        <v>43</v>
      </c>
      <c r="P630" s="287" t="s">
        <v>44</v>
      </c>
      <c r="Q630" s="287" t="s">
        <v>19</v>
      </c>
      <c r="R630" s="287" t="s">
        <v>20</v>
      </c>
      <c r="S630" s="292" t="s">
        <v>20</v>
      </c>
      <c r="T630" s="293"/>
      <c r="U630" s="294">
        <v>15300000</v>
      </c>
      <c r="V630" s="294">
        <v>0</v>
      </c>
      <c r="W630" s="295"/>
      <c r="X630" s="296"/>
      <c r="Y630" s="287" t="s">
        <v>544</v>
      </c>
      <c r="Z630" s="297" t="s">
        <v>28</v>
      </c>
      <c r="AA630" s="313"/>
      <c r="AB630" s="313"/>
      <c r="AC630" s="298">
        <f t="shared" si="22"/>
        <v>640000</v>
      </c>
      <c r="AD630" s="298">
        <v>640000</v>
      </c>
      <c r="AE630" s="298">
        <f t="shared" si="23"/>
        <v>0</v>
      </c>
      <c r="AF630" s="299"/>
      <c r="AG630" s="300"/>
      <c r="AH630" s="299"/>
      <c r="AI630" s="299"/>
      <c r="AJ630" s="300"/>
      <c r="AK630" s="299"/>
      <c r="AL630" s="301"/>
      <c r="AM630" s="314">
        <v>640000</v>
      </c>
      <c r="AN630" s="301"/>
      <c r="AO630" s="302"/>
      <c r="AP630" s="301"/>
      <c r="AQ630" s="301"/>
      <c r="AR630" s="301"/>
      <c r="AS630" s="301"/>
      <c r="AT630" s="301"/>
      <c r="AU630" s="301"/>
      <c r="AV630" s="301"/>
      <c r="AW630" s="301"/>
      <c r="AX630" s="301"/>
      <c r="AY630" s="301"/>
      <c r="AZ630" s="301"/>
      <c r="BA630" s="301"/>
      <c r="BB630" s="301"/>
      <c r="BC630" s="301"/>
      <c r="BD630" s="301"/>
      <c r="BE630" s="301"/>
      <c r="BF630" s="301"/>
      <c r="BG630" s="303"/>
      <c r="BH630" s="304"/>
    </row>
    <row r="631" spans="1:60" s="305" customFormat="1" ht="16.5" hidden="1" customHeight="1" x14ac:dyDescent="0.4">
      <c r="A631" s="285">
        <v>608</v>
      </c>
      <c r="B631" s="286"/>
      <c r="C631" s="286"/>
      <c r="D631" s="287" t="s">
        <v>92</v>
      </c>
      <c r="E631" s="287" t="s">
        <v>249</v>
      </c>
      <c r="F631" s="288" t="s">
        <v>92</v>
      </c>
      <c r="G631" s="289" t="s">
        <v>727</v>
      </c>
      <c r="H631" s="307"/>
      <c r="I631" s="290"/>
      <c r="J631" s="291" t="s">
        <v>453</v>
      </c>
      <c r="K631" s="287"/>
      <c r="L631" s="287"/>
      <c r="M631" s="287">
        <v>12941</v>
      </c>
      <c r="N631" s="287" t="s">
        <v>23</v>
      </c>
      <c r="O631" s="287" t="s">
        <v>43</v>
      </c>
      <c r="P631" s="287" t="s">
        <v>44</v>
      </c>
      <c r="Q631" s="287" t="s">
        <v>30</v>
      </c>
      <c r="R631" s="287" t="s">
        <v>31</v>
      </c>
      <c r="S631" s="292" t="s">
        <v>31</v>
      </c>
      <c r="T631" s="293"/>
      <c r="U631" s="294">
        <v>5482000</v>
      </c>
      <c r="V631" s="294">
        <v>1347000</v>
      </c>
      <c r="W631" s="295">
        <v>1655000</v>
      </c>
      <c r="X631" s="296"/>
      <c r="Y631" s="287" t="s">
        <v>28</v>
      </c>
      <c r="Z631" s="297" t="s">
        <v>25</v>
      </c>
      <c r="AA631" s="313"/>
      <c r="AB631" s="313"/>
      <c r="AC631" s="298">
        <f t="shared" si="22"/>
        <v>3000000</v>
      </c>
      <c r="AD631" s="298">
        <v>3000000</v>
      </c>
      <c r="AE631" s="298">
        <f t="shared" si="23"/>
        <v>0</v>
      </c>
      <c r="AF631" s="299"/>
      <c r="AG631" s="300"/>
      <c r="AH631" s="299"/>
      <c r="AI631" s="299"/>
      <c r="AJ631" s="300"/>
      <c r="AK631" s="299"/>
      <c r="AL631" s="301"/>
      <c r="AM631" s="314"/>
      <c r="AN631" s="301"/>
      <c r="AO631" s="302"/>
      <c r="AP631" s="301"/>
      <c r="AQ631" s="301"/>
      <c r="AR631" s="301"/>
      <c r="AS631" s="301"/>
      <c r="AT631" s="301"/>
      <c r="AU631" s="301"/>
      <c r="AV631" s="301"/>
      <c r="AW631" s="301"/>
      <c r="AX631" s="301"/>
      <c r="AY631" s="301"/>
      <c r="AZ631" s="301"/>
      <c r="BA631" s="301"/>
      <c r="BB631" s="301"/>
      <c r="BC631" s="301">
        <v>3000000</v>
      </c>
      <c r="BD631" s="301"/>
      <c r="BE631" s="301"/>
      <c r="BF631" s="301"/>
      <c r="BG631" s="303"/>
      <c r="BH631" s="304"/>
    </row>
    <row r="632" spans="1:60" s="305" customFormat="1" ht="16.5" hidden="1" customHeight="1" x14ac:dyDescent="0.4">
      <c r="A632" s="285">
        <v>609</v>
      </c>
      <c r="B632" s="286"/>
      <c r="C632" s="286"/>
      <c r="D632" s="287" t="s">
        <v>92</v>
      </c>
      <c r="E632" s="287" t="s">
        <v>249</v>
      </c>
      <c r="F632" s="288" t="s">
        <v>92</v>
      </c>
      <c r="G632" s="289" t="s">
        <v>727</v>
      </c>
      <c r="H632" s="307"/>
      <c r="I632" s="290"/>
      <c r="J632" s="291" t="s">
        <v>508</v>
      </c>
      <c r="K632" s="287"/>
      <c r="L632" s="287"/>
      <c r="M632" s="287">
        <v>5247</v>
      </c>
      <c r="N632" s="287" t="s">
        <v>23</v>
      </c>
      <c r="O632" s="287" t="s">
        <v>43</v>
      </c>
      <c r="P632" s="287" t="s">
        <v>44</v>
      </c>
      <c r="Q632" s="287" t="s">
        <v>19</v>
      </c>
      <c r="R632" s="287" t="s">
        <v>29</v>
      </c>
      <c r="S632" s="292" t="s">
        <v>29</v>
      </c>
      <c r="T632" s="293"/>
      <c r="U632" s="294">
        <v>34562520</v>
      </c>
      <c r="V632" s="294">
        <v>21962100</v>
      </c>
      <c r="W632" s="295">
        <v>19624800</v>
      </c>
      <c r="X632" s="296"/>
      <c r="Y632" s="287" t="s">
        <v>28</v>
      </c>
      <c r="Z632" s="297" t="s">
        <v>28</v>
      </c>
      <c r="AA632" s="313"/>
      <c r="AB632" s="313"/>
      <c r="AC632" s="298">
        <f t="shared" si="22"/>
        <v>21210800</v>
      </c>
      <c r="AD632" s="298">
        <v>21210800</v>
      </c>
      <c r="AE632" s="298">
        <f t="shared" si="23"/>
        <v>0</v>
      </c>
      <c r="AF632" s="299">
        <v>218600</v>
      </c>
      <c r="AG632" s="300">
        <v>307600</v>
      </c>
      <c r="AH632" s="299"/>
      <c r="AI632" s="299">
        <v>359000</v>
      </c>
      <c r="AJ632" s="300">
        <v>359000</v>
      </c>
      <c r="AK632" s="299"/>
      <c r="AL632" s="301"/>
      <c r="AM632" s="314">
        <v>717600</v>
      </c>
      <c r="AN632" s="301"/>
      <c r="AO632" s="302">
        <v>826600</v>
      </c>
      <c r="AP632" s="301"/>
      <c r="AQ632" s="301">
        <v>2000000</v>
      </c>
      <c r="AR632" s="301"/>
      <c r="AS632" s="301">
        <v>2000000</v>
      </c>
      <c r="AT632" s="301"/>
      <c r="AU632" s="301">
        <v>2000000</v>
      </c>
      <c r="AV632" s="301"/>
      <c r="AW632" s="301">
        <v>2000000</v>
      </c>
      <c r="AX632" s="301"/>
      <c r="AY632" s="301">
        <v>2000000</v>
      </c>
      <c r="AZ632" s="301"/>
      <c r="BA632" s="301">
        <v>3000000</v>
      </c>
      <c r="BB632" s="301"/>
      <c r="BC632" s="301">
        <v>3000000</v>
      </c>
      <c r="BD632" s="301"/>
      <c r="BE632" s="301">
        <v>3000000</v>
      </c>
      <c r="BF632" s="301"/>
      <c r="BG632" s="303"/>
      <c r="BH632" s="304"/>
    </row>
    <row r="633" spans="1:60" s="305" customFormat="1" ht="16.5" hidden="1" customHeight="1" x14ac:dyDescent="0.4">
      <c r="A633" s="285">
        <v>610</v>
      </c>
      <c r="B633" s="286"/>
      <c r="C633" s="286"/>
      <c r="D633" s="287" t="s">
        <v>92</v>
      </c>
      <c r="E633" s="287" t="s">
        <v>196</v>
      </c>
      <c r="F633" s="288" t="s">
        <v>92</v>
      </c>
      <c r="G633" s="289" t="s">
        <v>727</v>
      </c>
      <c r="H633" s="307"/>
      <c r="I633" s="290"/>
      <c r="J633" s="291" t="s">
        <v>833</v>
      </c>
      <c r="K633" s="287"/>
      <c r="L633" s="287"/>
      <c r="M633" s="287">
        <v>56012</v>
      </c>
      <c r="N633" s="287" t="s">
        <v>40</v>
      </c>
      <c r="O633" s="287" t="s">
        <v>43</v>
      </c>
      <c r="P633" s="287" t="s">
        <v>44</v>
      </c>
      <c r="Q633" s="287" t="s">
        <v>48</v>
      </c>
      <c r="R633" s="287" t="s">
        <v>563</v>
      </c>
      <c r="S633" s="292" t="s">
        <v>739</v>
      </c>
      <c r="T633" s="293"/>
      <c r="U633" s="294">
        <v>40740000</v>
      </c>
      <c r="V633" s="294">
        <v>16520000</v>
      </c>
      <c r="W633" s="295">
        <v>18004000</v>
      </c>
      <c r="X633" s="296"/>
      <c r="Y633" s="287" t="s">
        <v>28</v>
      </c>
      <c r="Z633" s="297" t="s">
        <v>28</v>
      </c>
      <c r="AA633" s="313"/>
      <c r="AB633" s="313"/>
      <c r="AC633" s="298">
        <f t="shared" si="22"/>
        <v>13860000</v>
      </c>
      <c r="AD633" s="298">
        <v>13860000</v>
      </c>
      <c r="AE633" s="298">
        <f t="shared" si="23"/>
        <v>0</v>
      </c>
      <c r="AF633" s="299"/>
      <c r="AG633" s="300"/>
      <c r="AH633" s="299"/>
      <c r="AI633" s="299"/>
      <c r="AJ633" s="300"/>
      <c r="AK633" s="299"/>
      <c r="AL633" s="301"/>
      <c r="AM633" s="314"/>
      <c r="AN633" s="301"/>
      <c r="AO633" s="302"/>
      <c r="AP633" s="301"/>
      <c r="AQ633" s="301"/>
      <c r="AR633" s="301"/>
      <c r="AS633" s="301"/>
      <c r="AT633" s="301"/>
      <c r="AU633" s="301"/>
      <c r="AV633" s="301"/>
      <c r="AW633" s="301"/>
      <c r="AX633" s="301"/>
      <c r="AY633" s="301"/>
      <c r="AZ633" s="301"/>
      <c r="BA633" s="301"/>
      <c r="BB633" s="301"/>
      <c r="BC633" s="301"/>
      <c r="BD633" s="301"/>
      <c r="BE633" s="301">
        <v>13860000</v>
      </c>
      <c r="BF633" s="301"/>
      <c r="BG633" s="303"/>
      <c r="BH633" s="304"/>
    </row>
    <row r="634" spans="1:60" s="305" customFormat="1" ht="16.5" hidden="1" customHeight="1" x14ac:dyDescent="0.4">
      <c r="A634" s="285">
        <v>611</v>
      </c>
      <c r="B634" s="286"/>
      <c r="C634" s="286"/>
      <c r="D634" s="287" t="s">
        <v>92</v>
      </c>
      <c r="E634" s="287" t="s">
        <v>196</v>
      </c>
      <c r="F634" s="288" t="s">
        <v>92</v>
      </c>
      <c r="G634" s="289" t="s">
        <v>727</v>
      </c>
      <c r="H634" s="307"/>
      <c r="I634" s="290"/>
      <c r="J634" s="291" t="s">
        <v>514</v>
      </c>
      <c r="K634" s="287"/>
      <c r="L634" s="287"/>
      <c r="M634" s="287">
        <v>56012</v>
      </c>
      <c r="N634" s="287" t="s">
        <v>40</v>
      </c>
      <c r="O634" s="287" t="s">
        <v>33</v>
      </c>
      <c r="P634" s="287"/>
      <c r="Q634" s="287" t="s">
        <v>27</v>
      </c>
      <c r="R634" s="287" t="s">
        <v>340</v>
      </c>
      <c r="S634" s="292" t="s">
        <v>340</v>
      </c>
      <c r="T634" s="293"/>
      <c r="U634" s="294">
        <v>16920000</v>
      </c>
      <c r="V634" s="294">
        <v>11230000</v>
      </c>
      <c r="W634" s="295">
        <v>3300000</v>
      </c>
      <c r="X634" s="296"/>
      <c r="Y634" s="287" t="s">
        <v>28</v>
      </c>
      <c r="Z634" s="297" t="s">
        <v>25</v>
      </c>
      <c r="AA634" s="313"/>
      <c r="AB634" s="313"/>
      <c r="AC634" s="298">
        <f t="shared" si="22"/>
        <v>4000000</v>
      </c>
      <c r="AD634" s="298">
        <v>4000000</v>
      </c>
      <c r="AE634" s="298">
        <f t="shared" si="23"/>
        <v>0</v>
      </c>
      <c r="AF634" s="299"/>
      <c r="AG634" s="300"/>
      <c r="AH634" s="299"/>
      <c r="AI634" s="299"/>
      <c r="AJ634" s="300"/>
      <c r="AK634" s="299"/>
      <c r="AL634" s="301"/>
      <c r="AM634" s="314"/>
      <c r="AN634" s="301"/>
      <c r="AO634" s="302"/>
      <c r="AP634" s="301"/>
      <c r="AQ634" s="316">
        <v>4000000</v>
      </c>
      <c r="AR634" s="301"/>
      <c r="AS634" s="301"/>
      <c r="AT634" s="301"/>
      <c r="AU634" s="301"/>
      <c r="AV634" s="301"/>
      <c r="AW634" s="301"/>
      <c r="AX634" s="301"/>
      <c r="AY634" s="301"/>
      <c r="AZ634" s="301"/>
      <c r="BA634" s="301"/>
      <c r="BB634" s="301"/>
      <c r="BC634" s="301"/>
      <c r="BD634" s="301"/>
      <c r="BE634" s="301"/>
      <c r="BF634" s="301"/>
      <c r="BG634" s="303"/>
      <c r="BH634" s="304"/>
    </row>
    <row r="635" spans="1:60" s="305" customFormat="1" ht="16.5" hidden="1" customHeight="1" x14ac:dyDescent="0.4">
      <c r="A635" s="285">
        <v>612</v>
      </c>
      <c r="B635" s="286"/>
      <c r="C635" s="286"/>
      <c r="D635" s="287" t="s">
        <v>92</v>
      </c>
      <c r="E635" s="287" t="s">
        <v>196</v>
      </c>
      <c r="F635" s="288" t="s">
        <v>92</v>
      </c>
      <c r="G635" s="289" t="s">
        <v>727</v>
      </c>
      <c r="H635" s="307"/>
      <c r="I635" s="290"/>
      <c r="J635" s="291" t="s">
        <v>514</v>
      </c>
      <c r="K635" s="287"/>
      <c r="L635" s="287"/>
      <c r="M635" s="287">
        <v>56012</v>
      </c>
      <c r="N635" s="287" t="s">
        <v>40</v>
      </c>
      <c r="O635" s="287" t="s">
        <v>33</v>
      </c>
      <c r="P635" s="287"/>
      <c r="Q635" s="287" t="s">
        <v>27</v>
      </c>
      <c r="R635" s="287" t="s">
        <v>340</v>
      </c>
      <c r="S635" s="292" t="s">
        <v>340</v>
      </c>
      <c r="T635" s="293"/>
      <c r="U635" s="294"/>
      <c r="V635" s="294"/>
      <c r="W635" s="295">
        <v>0</v>
      </c>
      <c r="X635" s="296"/>
      <c r="Y635" s="287" t="s">
        <v>25</v>
      </c>
      <c r="Z635" s="297" t="s">
        <v>26</v>
      </c>
      <c r="AA635" s="313"/>
      <c r="AB635" s="313"/>
      <c r="AC635" s="298">
        <f t="shared" si="22"/>
        <v>6500000</v>
      </c>
      <c r="AD635" s="298">
        <v>6500000</v>
      </c>
      <c r="AE635" s="298">
        <f t="shared" si="23"/>
        <v>0</v>
      </c>
      <c r="AF635" s="299"/>
      <c r="AG635" s="300"/>
      <c r="AH635" s="299"/>
      <c r="AI635" s="299"/>
      <c r="AJ635" s="300"/>
      <c r="AK635" s="299"/>
      <c r="AL635" s="301"/>
      <c r="AM635" s="314"/>
      <c r="AN635" s="301"/>
      <c r="AO635" s="302"/>
      <c r="AP635" s="301"/>
      <c r="AQ635" s="301"/>
      <c r="AR635" s="301"/>
      <c r="AS635" s="301">
        <v>6500000</v>
      </c>
      <c r="AT635" s="301"/>
      <c r="AU635" s="301"/>
      <c r="AV635" s="301"/>
      <c r="AW635" s="301"/>
      <c r="AX635" s="301"/>
      <c r="AY635" s="301"/>
      <c r="AZ635" s="301"/>
      <c r="BA635" s="301"/>
      <c r="BB635" s="301"/>
      <c r="BC635" s="301"/>
      <c r="BD635" s="301"/>
      <c r="BE635" s="301"/>
      <c r="BF635" s="301"/>
      <c r="BG635" s="303"/>
      <c r="BH635" s="304"/>
    </row>
    <row r="636" spans="1:60" s="305" customFormat="1" ht="16.5" hidden="1" customHeight="1" x14ac:dyDescent="0.4">
      <c r="A636" s="285">
        <v>613</v>
      </c>
      <c r="B636" s="286"/>
      <c r="C636" s="286"/>
      <c r="D636" s="287" t="s">
        <v>92</v>
      </c>
      <c r="E636" s="287" t="s">
        <v>249</v>
      </c>
      <c r="F636" s="288" t="s">
        <v>92</v>
      </c>
      <c r="G636" s="289" t="s">
        <v>727</v>
      </c>
      <c r="H636" s="307"/>
      <c r="I636" s="290"/>
      <c r="J636" s="291" t="s">
        <v>484</v>
      </c>
      <c r="K636" s="287"/>
      <c r="L636" s="287"/>
      <c r="M636" s="287">
        <v>23660</v>
      </c>
      <c r="N636" s="287" t="s">
        <v>18</v>
      </c>
      <c r="O636" s="287" t="s">
        <v>33</v>
      </c>
      <c r="P636" s="287"/>
      <c r="Q636" s="287" t="s">
        <v>30</v>
      </c>
      <c r="R636" s="287" t="s">
        <v>31</v>
      </c>
      <c r="S636" s="292" t="s">
        <v>31</v>
      </c>
      <c r="T636" s="293"/>
      <c r="U636" s="294">
        <v>1570000</v>
      </c>
      <c r="V636" s="294">
        <v>0</v>
      </c>
      <c r="W636" s="295"/>
      <c r="X636" s="296"/>
      <c r="Y636" s="287" t="s">
        <v>22</v>
      </c>
      <c r="Z636" s="297" t="s">
        <v>618</v>
      </c>
      <c r="AA636" s="313"/>
      <c r="AB636" s="313"/>
      <c r="AC636" s="298">
        <f t="shared" si="22"/>
        <v>0</v>
      </c>
      <c r="AD636" s="298">
        <v>0</v>
      </c>
      <c r="AE636" s="298">
        <f t="shared" si="23"/>
        <v>0</v>
      </c>
      <c r="AF636" s="299"/>
      <c r="AG636" s="300"/>
      <c r="AH636" s="299"/>
      <c r="AI636" s="299"/>
      <c r="AJ636" s="300"/>
      <c r="AK636" s="299"/>
      <c r="AL636" s="301"/>
      <c r="AM636" s="314"/>
      <c r="AN636" s="301"/>
      <c r="AO636" s="302"/>
      <c r="AP636" s="301"/>
      <c r="AQ636" s="301"/>
      <c r="AR636" s="301"/>
      <c r="AS636" s="301"/>
      <c r="AT636" s="301"/>
      <c r="AU636" s="301"/>
      <c r="AV636" s="301"/>
      <c r="AW636" s="301"/>
      <c r="AX636" s="301"/>
      <c r="AY636" s="301"/>
      <c r="AZ636" s="301"/>
      <c r="BA636" s="301"/>
      <c r="BB636" s="301"/>
      <c r="BC636" s="301"/>
      <c r="BD636" s="301"/>
      <c r="BE636" s="301"/>
      <c r="BF636" s="301"/>
      <c r="BG636" s="303"/>
      <c r="BH636" s="304"/>
    </row>
    <row r="637" spans="1:60" s="305" customFormat="1" ht="16.5" hidden="1" customHeight="1" x14ac:dyDescent="0.4">
      <c r="A637" s="285">
        <v>614</v>
      </c>
      <c r="B637" s="286"/>
      <c r="C637" s="286"/>
      <c r="D637" s="287" t="s">
        <v>92</v>
      </c>
      <c r="E637" s="287" t="s">
        <v>249</v>
      </c>
      <c r="F637" s="288" t="s">
        <v>92</v>
      </c>
      <c r="G637" s="289" t="s">
        <v>727</v>
      </c>
      <c r="H637" s="307"/>
      <c r="I637" s="290"/>
      <c r="J637" s="291" t="s">
        <v>682</v>
      </c>
      <c r="K637" s="287"/>
      <c r="L637" s="287"/>
      <c r="M637" s="287">
        <v>45406</v>
      </c>
      <c r="N637" s="287" t="s">
        <v>18</v>
      </c>
      <c r="O637" s="287" t="s">
        <v>33</v>
      </c>
      <c r="P637" s="287"/>
      <c r="Q637" s="287" t="s">
        <v>41</v>
      </c>
      <c r="R637" s="287" t="s">
        <v>339</v>
      </c>
      <c r="S637" s="292" t="s">
        <v>746</v>
      </c>
      <c r="T637" s="293"/>
      <c r="U637" s="294">
        <v>12000000</v>
      </c>
      <c r="V637" s="294">
        <v>0</v>
      </c>
      <c r="W637" s="295"/>
      <c r="X637" s="296"/>
      <c r="Y637" s="287" t="s">
        <v>544</v>
      </c>
      <c r="Z637" s="297" t="s">
        <v>618</v>
      </c>
      <c r="AA637" s="313"/>
      <c r="AB637" s="313"/>
      <c r="AC637" s="298">
        <f t="shared" si="22"/>
        <v>0</v>
      </c>
      <c r="AD637" s="298">
        <v>0</v>
      </c>
      <c r="AE637" s="298">
        <f t="shared" si="23"/>
        <v>0</v>
      </c>
      <c r="AF637" s="299"/>
      <c r="AG637" s="300"/>
      <c r="AH637" s="299"/>
      <c r="AI637" s="299"/>
      <c r="AJ637" s="300"/>
      <c r="AK637" s="299"/>
      <c r="AL637" s="301"/>
      <c r="AM637" s="314"/>
      <c r="AN637" s="301"/>
      <c r="AO637" s="302"/>
      <c r="AP637" s="301"/>
      <c r="AQ637" s="301"/>
      <c r="AR637" s="301"/>
      <c r="AS637" s="301"/>
      <c r="AT637" s="301"/>
      <c r="AU637" s="301"/>
      <c r="AV637" s="301"/>
      <c r="AW637" s="301"/>
      <c r="AX637" s="301"/>
      <c r="AY637" s="301"/>
      <c r="AZ637" s="301"/>
      <c r="BA637" s="301"/>
      <c r="BB637" s="301"/>
      <c r="BC637" s="301"/>
      <c r="BD637" s="301"/>
      <c r="BE637" s="301"/>
      <c r="BF637" s="301"/>
      <c r="BG637" s="303"/>
      <c r="BH637" s="304"/>
    </row>
    <row r="638" spans="1:60" s="305" customFormat="1" ht="16.5" hidden="1" customHeight="1" x14ac:dyDescent="0.4">
      <c r="A638" s="285">
        <v>615</v>
      </c>
      <c r="B638" s="286"/>
      <c r="C638" s="286"/>
      <c r="D638" s="287" t="s">
        <v>92</v>
      </c>
      <c r="E638" s="287" t="s">
        <v>193</v>
      </c>
      <c r="F638" s="288" t="s">
        <v>92</v>
      </c>
      <c r="G638" s="289" t="s">
        <v>727</v>
      </c>
      <c r="H638" s="307"/>
      <c r="I638" s="290"/>
      <c r="J638" s="291" t="s">
        <v>490</v>
      </c>
      <c r="K638" s="287"/>
      <c r="L638" s="287"/>
      <c r="M638" s="287">
        <v>2826</v>
      </c>
      <c r="N638" s="287" t="s">
        <v>32</v>
      </c>
      <c r="O638" s="287" t="s">
        <v>33</v>
      </c>
      <c r="P638" s="287"/>
      <c r="Q638" s="287" t="s">
        <v>30</v>
      </c>
      <c r="R638" s="287" t="s">
        <v>31</v>
      </c>
      <c r="S638" s="292" t="s">
        <v>31</v>
      </c>
      <c r="T638" s="293"/>
      <c r="U638" s="294">
        <v>23380000</v>
      </c>
      <c r="V638" s="294">
        <v>21520000</v>
      </c>
      <c r="W638" s="295">
        <v>11390000</v>
      </c>
      <c r="X638" s="296"/>
      <c r="Y638" s="287" t="s">
        <v>28</v>
      </c>
      <c r="Z638" s="297" t="s">
        <v>25</v>
      </c>
      <c r="AA638" s="313"/>
      <c r="AB638" s="313"/>
      <c r="AC638" s="298">
        <f t="shared" si="22"/>
        <v>19000000</v>
      </c>
      <c r="AD638" s="298">
        <v>19000000</v>
      </c>
      <c r="AE638" s="298">
        <f t="shared" si="23"/>
        <v>0</v>
      </c>
      <c r="AF638" s="299"/>
      <c r="AG638" s="300"/>
      <c r="AH638" s="299"/>
      <c r="AI638" s="299"/>
      <c r="AJ638" s="300"/>
      <c r="AK638" s="299"/>
      <c r="AL638" s="301"/>
      <c r="AM638" s="314"/>
      <c r="AN638" s="301"/>
      <c r="AO638" s="302"/>
      <c r="AP638" s="301"/>
      <c r="AQ638" s="301"/>
      <c r="AR638" s="301"/>
      <c r="AS638" s="301"/>
      <c r="AT638" s="301"/>
      <c r="AU638" s="301"/>
      <c r="AV638" s="301"/>
      <c r="AW638" s="301"/>
      <c r="AX638" s="301"/>
      <c r="AY638" s="301"/>
      <c r="AZ638" s="301"/>
      <c r="BA638" s="301"/>
      <c r="BB638" s="301"/>
      <c r="BC638" s="301"/>
      <c r="BD638" s="301"/>
      <c r="BE638" s="301">
        <v>19000000</v>
      </c>
      <c r="BF638" s="301"/>
      <c r="BG638" s="303"/>
      <c r="BH638" s="304"/>
    </row>
    <row r="639" spans="1:60" s="305" customFormat="1" ht="16.5" hidden="1" customHeight="1" x14ac:dyDescent="0.4">
      <c r="A639" s="285">
        <v>616</v>
      </c>
      <c r="B639" s="286"/>
      <c r="C639" s="286"/>
      <c r="D639" s="287" t="s">
        <v>92</v>
      </c>
      <c r="E639" s="287" t="s">
        <v>193</v>
      </c>
      <c r="F639" s="288" t="s">
        <v>92</v>
      </c>
      <c r="G639" s="289" t="s">
        <v>727</v>
      </c>
      <c r="H639" s="307"/>
      <c r="I639" s="290"/>
      <c r="J639" s="291" t="s">
        <v>490</v>
      </c>
      <c r="K639" s="287"/>
      <c r="L639" s="287"/>
      <c r="M639" s="287">
        <v>2826</v>
      </c>
      <c r="N639" s="287" t="s">
        <v>32</v>
      </c>
      <c r="O639" s="287" t="s">
        <v>33</v>
      </c>
      <c r="P639" s="287"/>
      <c r="Q639" s="287" t="s">
        <v>30</v>
      </c>
      <c r="R639" s="287" t="s">
        <v>31</v>
      </c>
      <c r="S639" s="292" t="s">
        <v>31</v>
      </c>
      <c r="T639" s="293"/>
      <c r="U639" s="294">
        <v>1110000</v>
      </c>
      <c r="V639" s="294">
        <v>0</v>
      </c>
      <c r="W639" s="295">
        <v>0</v>
      </c>
      <c r="X639" s="296"/>
      <c r="Y639" s="287" t="s">
        <v>22</v>
      </c>
      <c r="Z639" s="297" t="s">
        <v>544</v>
      </c>
      <c r="AA639" s="313"/>
      <c r="AB639" s="313"/>
      <c r="AC639" s="298">
        <f t="shared" si="22"/>
        <v>0</v>
      </c>
      <c r="AD639" s="298">
        <v>0</v>
      </c>
      <c r="AE639" s="298">
        <f t="shared" si="23"/>
        <v>0</v>
      </c>
      <c r="AF639" s="299"/>
      <c r="AG639" s="300"/>
      <c r="AH639" s="299"/>
      <c r="AI639" s="299"/>
      <c r="AJ639" s="300"/>
      <c r="AK639" s="299"/>
      <c r="AL639" s="301"/>
      <c r="AM639" s="314"/>
      <c r="AN639" s="301"/>
      <c r="AO639" s="302"/>
      <c r="AP639" s="301"/>
      <c r="AQ639" s="301"/>
      <c r="AR639" s="301"/>
      <c r="AS639" s="301"/>
      <c r="AT639" s="301"/>
      <c r="AU639" s="301"/>
      <c r="AV639" s="301"/>
      <c r="AW639" s="301"/>
      <c r="AX639" s="301"/>
      <c r="AY639" s="301"/>
      <c r="AZ639" s="301"/>
      <c r="BA639" s="301"/>
      <c r="BB639" s="301"/>
      <c r="BC639" s="301"/>
      <c r="BD639" s="301"/>
      <c r="BE639" s="301">
        <v>0</v>
      </c>
      <c r="BF639" s="301"/>
      <c r="BG639" s="303"/>
      <c r="BH639" s="304"/>
    </row>
    <row r="640" spans="1:60" s="305" customFormat="1" ht="16.5" hidden="1" customHeight="1" x14ac:dyDescent="0.4">
      <c r="A640" s="285">
        <v>617</v>
      </c>
      <c r="B640" s="286"/>
      <c r="C640" s="286"/>
      <c r="D640" s="287" t="s">
        <v>92</v>
      </c>
      <c r="E640" s="287" t="s">
        <v>193</v>
      </c>
      <c r="F640" s="288" t="s">
        <v>92</v>
      </c>
      <c r="G640" s="289" t="s">
        <v>727</v>
      </c>
      <c r="H640" s="307"/>
      <c r="I640" s="290"/>
      <c r="J640" s="291" t="s">
        <v>517</v>
      </c>
      <c r="K640" s="287"/>
      <c r="L640" s="287"/>
      <c r="M640" s="287">
        <v>60578</v>
      </c>
      <c r="N640" s="287" t="s">
        <v>32</v>
      </c>
      <c r="O640" s="287" t="s">
        <v>33</v>
      </c>
      <c r="P640" s="287"/>
      <c r="Q640" s="287" t="s">
        <v>30</v>
      </c>
      <c r="R640" s="287" t="s">
        <v>31</v>
      </c>
      <c r="S640" s="292" t="s">
        <v>31</v>
      </c>
      <c r="T640" s="293"/>
      <c r="U640" s="294"/>
      <c r="V640" s="294">
        <v>2430000</v>
      </c>
      <c r="W640" s="295"/>
      <c r="X640" s="296"/>
      <c r="Y640" s="287" t="s">
        <v>618</v>
      </c>
      <c r="Z640" s="297" t="s">
        <v>618</v>
      </c>
      <c r="AA640" s="313"/>
      <c r="AB640" s="313"/>
      <c r="AC640" s="298">
        <f t="shared" si="22"/>
        <v>0</v>
      </c>
      <c r="AD640" s="298">
        <v>0</v>
      </c>
      <c r="AE640" s="298">
        <f t="shared" si="23"/>
        <v>0</v>
      </c>
      <c r="AF640" s="299"/>
      <c r="AG640" s="300"/>
      <c r="AH640" s="299"/>
      <c r="AI640" s="299"/>
      <c r="AJ640" s="300"/>
      <c r="AK640" s="299"/>
      <c r="AL640" s="301"/>
      <c r="AM640" s="314"/>
      <c r="AN640" s="301"/>
      <c r="AO640" s="302"/>
      <c r="AP640" s="301"/>
      <c r="AQ640" s="301"/>
      <c r="AR640" s="301"/>
      <c r="AS640" s="301"/>
      <c r="AT640" s="301"/>
      <c r="AU640" s="301"/>
      <c r="AV640" s="301"/>
      <c r="AW640" s="301"/>
      <c r="AX640" s="301"/>
      <c r="AY640" s="301"/>
      <c r="AZ640" s="301"/>
      <c r="BA640" s="301"/>
      <c r="BB640" s="301"/>
      <c r="BC640" s="301"/>
      <c r="BD640" s="301"/>
      <c r="BE640" s="301">
        <v>0</v>
      </c>
      <c r="BF640" s="301"/>
      <c r="BG640" s="303"/>
      <c r="BH640" s="304"/>
    </row>
    <row r="641" spans="1:60" s="305" customFormat="1" ht="16.5" hidden="1" customHeight="1" x14ac:dyDescent="0.4">
      <c r="A641" s="285">
        <v>618</v>
      </c>
      <c r="B641" s="286"/>
      <c r="C641" s="286"/>
      <c r="D641" s="287" t="s">
        <v>92</v>
      </c>
      <c r="E641" s="287" t="s">
        <v>193</v>
      </c>
      <c r="F641" s="288" t="s">
        <v>92</v>
      </c>
      <c r="G641" s="289" t="s">
        <v>727</v>
      </c>
      <c r="H641" s="307"/>
      <c r="I641" s="290"/>
      <c r="J641" s="291" t="s">
        <v>518</v>
      </c>
      <c r="K641" s="287"/>
      <c r="L641" s="287"/>
      <c r="M641" s="287">
        <v>45462</v>
      </c>
      <c r="N641" s="287" t="s">
        <v>32</v>
      </c>
      <c r="O641" s="287" t="s">
        <v>33</v>
      </c>
      <c r="P641" s="287"/>
      <c r="Q641" s="287" t="s">
        <v>30</v>
      </c>
      <c r="R641" s="287" t="s">
        <v>31</v>
      </c>
      <c r="S641" s="292" t="s">
        <v>31</v>
      </c>
      <c r="T641" s="293"/>
      <c r="U641" s="294"/>
      <c r="V641" s="294">
        <v>16363637</v>
      </c>
      <c r="W641" s="295"/>
      <c r="X641" s="296"/>
      <c r="Y641" s="287" t="s">
        <v>25</v>
      </c>
      <c r="Z641" s="297" t="s">
        <v>25</v>
      </c>
      <c r="AA641" s="313"/>
      <c r="AB641" s="313"/>
      <c r="AC641" s="298">
        <f t="shared" si="22"/>
        <v>12000000</v>
      </c>
      <c r="AD641" s="298">
        <v>12000000</v>
      </c>
      <c r="AE641" s="298">
        <f t="shared" si="23"/>
        <v>0</v>
      </c>
      <c r="AF641" s="299"/>
      <c r="AG641" s="300"/>
      <c r="AH641" s="299"/>
      <c r="AI641" s="299"/>
      <c r="AJ641" s="300"/>
      <c r="AK641" s="299"/>
      <c r="AL641" s="301"/>
      <c r="AM641" s="314"/>
      <c r="AN641" s="301"/>
      <c r="AO641" s="302"/>
      <c r="AP641" s="301"/>
      <c r="AQ641" s="301"/>
      <c r="AR641" s="301"/>
      <c r="AS641" s="301"/>
      <c r="AT641" s="301"/>
      <c r="AU641" s="301"/>
      <c r="AV641" s="301"/>
      <c r="AW641" s="301"/>
      <c r="AX641" s="301"/>
      <c r="AY641" s="301"/>
      <c r="AZ641" s="301"/>
      <c r="BA641" s="301"/>
      <c r="BB641" s="301"/>
      <c r="BC641" s="301"/>
      <c r="BD641" s="301"/>
      <c r="BE641" s="301">
        <v>12000000</v>
      </c>
      <c r="BF641" s="301"/>
      <c r="BG641" s="303"/>
      <c r="BH641" s="304"/>
    </row>
    <row r="642" spans="1:60" s="305" customFormat="1" ht="16.5" hidden="1" customHeight="1" x14ac:dyDescent="0.4">
      <c r="A642" s="285">
        <v>619</v>
      </c>
      <c r="B642" s="286"/>
      <c r="C642" s="286"/>
      <c r="D642" s="287" t="s">
        <v>92</v>
      </c>
      <c r="E642" s="287" t="s">
        <v>196</v>
      </c>
      <c r="F642" s="288" t="s">
        <v>92</v>
      </c>
      <c r="G642" s="289" t="s">
        <v>727</v>
      </c>
      <c r="H642" s="307"/>
      <c r="I642" s="290"/>
      <c r="J642" s="291" t="s">
        <v>446</v>
      </c>
      <c r="K642" s="287"/>
      <c r="L642" s="287"/>
      <c r="M642" s="287">
        <v>660</v>
      </c>
      <c r="N642" s="287" t="s">
        <v>23</v>
      </c>
      <c r="O642" s="287" t="s">
        <v>33</v>
      </c>
      <c r="P642" s="287"/>
      <c r="Q642" s="287" t="s">
        <v>19</v>
      </c>
      <c r="R642" s="287" t="s">
        <v>20</v>
      </c>
      <c r="S642" s="292" t="s">
        <v>20</v>
      </c>
      <c r="T642" s="293"/>
      <c r="U642" s="294">
        <v>73035960</v>
      </c>
      <c r="V642" s="294">
        <v>20168240</v>
      </c>
      <c r="W642" s="295">
        <v>10332000</v>
      </c>
      <c r="X642" s="296"/>
      <c r="Y642" s="287" t="s">
        <v>28</v>
      </c>
      <c r="Z642" s="297" t="s">
        <v>25</v>
      </c>
      <c r="AA642" s="313"/>
      <c r="AB642" s="313"/>
      <c r="AC642" s="298">
        <f t="shared" si="22"/>
        <v>11000000</v>
      </c>
      <c r="AD642" s="298">
        <v>11000000</v>
      </c>
      <c r="AE642" s="298">
        <f t="shared" si="23"/>
        <v>0</v>
      </c>
      <c r="AF642" s="299"/>
      <c r="AG642" s="300"/>
      <c r="AH642" s="299"/>
      <c r="AI642" s="299"/>
      <c r="AJ642" s="300"/>
      <c r="AK642" s="299"/>
      <c r="AL642" s="301"/>
      <c r="AM642" s="314"/>
      <c r="AN642" s="301"/>
      <c r="AO642" s="302"/>
      <c r="AP642" s="301"/>
      <c r="AQ642" s="301"/>
      <c r="AR642" s="301"/>
      <c r="AS642" s="301">
        <v>6000000</v>
      </c>
      <c r="AT642" s="301"/>
      <c r="AU642" s="301"/>
      <c r="AV642" s="301"/>
      <c r="AW642" s="301"/>
      <c r="AX642" s="301"/>
      <c r="AY642" s="301"/>
      <c r="AZ642" s="301"/>
      <c r="BA642" s="301"/>
      <c r="BB642" s="301"/>
      <c r="BC642" s="301"/>
      <c r="BD642" s="301"/>
      <c r="BE642" s="301">
        <v>5000000</v>
      </c>
      <c r="BF642" s="301"/>
      <c r="BG642" s="303"/>
      <c r="BH642" s="304"/>
    </row>
    <row r="643" spans="1:60" s="305" customFormat="1" ht="16.5" hidden="1" customHeight="1" x14ac:dyDescent="0.4">
      <c r="A643" s="285">
        <v>620</v>
      </c>
      <c r="B643" s="286"/>
      <c r="C643" s="286"/>
      <c r="D643" s="287" t="s">
        <v>92</v>
      </c>
      <c r="E643" s="287" t="s">
        <v>249</v>
      </c>
      <c r="F643" s="288" t="s">
        <v>92</v>
      </c>
      <c r="G643" s="289" t="s">
        <v>727</v>
      </c>
      <c r="H643" s="307"/>
      <c r="I643" s="290"/>
      <c r="J643" s="291" t="s">
        <v>262</v>
      </c>
      <c r="K643" s="287"/>
      <c r="L643" s="287"/>
      <c r="M643" s="287">
        <v>42978</v>
      </c>
      <c r="N643" s="287" t="s">
        <v>23</v>
      </c>
      <c r="O643" s="287" t="s">
        <v>33</v>
      </c>
      <c r="P643" s="287" t="s">
        <v>44</v>
      </c>
      <c r="Q643" s="287" t="s">
        <v>19</v>
      </c>
      <c r="R643" s="287" t="s">
        <v>31</v>
      </c>
      <c r="S643" s="292" t="s">
        <v>31</v>
      </c>
      <c r="T643" s="293"/>
      <c r="U643" s="294">
        <v>6810000</v>
      </c>
      <c r="V643" s="294">
        <v>4790000</v>
      </c>
      <c r="W643" s="295"/>
      <c r="X643" s="296"/>
      <c r="Y643" s="287" t="s">
        <v>544</v>
      </c>
      <c r="Z643" s="297" t="s">
        <v>618</v>
      </c>
      <c r="AA643" s="313"/>
      <c r="AB643" s="313"/>
      <c r="AC643" s="298">
        <f t="shared" si="22"/>
        <v>0</v>
      </c>
      <c r="AD643" s="298">
        <v>0</v>
      </c>
      <c r="AE643" s="298">
        <f t="shared" si="23"/>
        <v>0</v>
      </c>
      <c r="AF643" s="299"/>
      <c r="AG643" s="300"/>
      <c r="AH643" s="299"/>
      <c r="AI643" s="299"/>
      <c r="AJ643" s="300"/>
      <c r="AK643" s="299"/>
      <c r="AL643" s="301"/>
      <c r="AM643" s="314"/>
      <c r="AN643" s="301"/>
      <c r="AO643" s="302"/>
      <c r="AP643" s="301"/>
      <c r="AQ643" s="301"/>
      <c r="AR643" s="301"/>
      <c r="AS643" s="301"/>
      <c r="AT643" s="301"/>
      <c r="AU643" s="301"/>
      <c r="AV643" s="301"/>
      <c r="AW643" s="301"/>
      <c r="AX643" s="301"/>
      <c r="AY643" s="301"/>
      <c r="AZ643" s="301"/>
      <c r="BA643" s="301"/>
      <c r="BB643" s="301"/>
      <c r="BC643" s="301"/>
      <c r="BD643" s="301"/>
      <c r="BE643" s="301"/>
      <c r="BF643" s="301"/>
      <c r="BG643" s="303"/>
      <c r="BH643" s="304"/>
    </row>
    <row r="644" spans="1:60" s="305" customFormat="1" ht="16.5" hidden="1" customHeight="1" x14ac:dyDescent="0.4">
      <c r="A644" s="285">
        <v>621</v>
      </c>
      <c r="B644" s="286"/>
      <c r="C644" s="286"/>
      <c r="D644" s="287" t="s">
        <v>92</v>
      </c>
      <c r="E644" s="287" t="s">
        <v>249</v>
      </c>
      <c r="F644" s="288" t="s">
        <v>92</v>
      </c>
      <c r="G644" s="289" t="s">
        <v>727</v>
      </c>
      <c r="H644" s="307"/>
      <c r="I644" s="290"/>
      <c r="J644" s="291" t="s">
        <v>262</v>
      </c>
      <c r="K644" s="287"/>
      <c r="L644" s="287"/>
      <c r="M644" s="287">
        <v>42986</v>
      </c>
      <c r="N644" s="287" t="s">
        <v>23</v>
      </c>
      <c r="O644" s="287" t="s">
        <v>43</v>
      </c>
      <c r="P644" s="287" t="s">
        <v>44</v>
      </c>
      <c r="Q644" s="287" t="s">
        <v>37</v>
      </c>
      <c r="R644" s="287" t="s">
        <v>38</v>
      </c>
      <c r="S644" s="292" t="s">
        <v>38</v>
      </c>
      <c r="T644" s="293"/>
      <c r="U644" s="294">
        <v>3088800</v>
      </c>
      <c r="V644" s="294">
        <v>15480000</v>
      </c>
      <c r="W644" s="295">
        <v>5760000</v>
      </c>
      <c r="X644" s="296"/>
      <c r="Y644" s="287" t="s">
        <v>28</v>
      </c>
      <c r="Z644" s="297" t="s">
        <v>28</v>
      </c>
      <c r="AA644" s="313"/>
      <c r="AB644" s="313"/>
      <c r="AC644" s="298">
        <f t="shared" si="22"/>
        <v>5940000</v>
      </c>
      <c r="AD644" s="298">
        <v>5940000</v>
      </c>
      <c r="AE644" s="298">
        <f t="shared" si="23"/>
        <v>0</v>
      </c>
      <c r="AF644" s="299"/>
      <c r="AG644" s="300"/>
      <c r="AH644" s="299"/>
      <c r="AI644" s="299">
        <v>0</v>
      </c>
      <c r="AJ644" s="300"/>
      <c r="AK644" s="299"/>
      <c r="AL644" s="301"/>
      <c r="AM644" s="314">
        <v>5940000</v>
      </c>
      <c r="AN644" s="301"/>
      <c r="AO644" s="302"/>
      <c r="AP644" s="301"/>
      <c r="AQ644" s="301"/>
      <c r="AR644" s="301"/>
      <c r="AS644" s="301"/>
      <c r="AT644" s="301"/>
      <c r="AU644" s="301"/>
      <c r="AV644" s="301"/>
      <c r="AW644" s="301"/>
      <c r="AX644" s="301"/>
      <c r="AY644" s="301"/>
      <c r="AZ644" s="301"/>
      <c r="BA644" s="301"/>
      <c r="BB644" s="301"/>
      <c r="BC644" s="301"/>
      <c r="BD644" s="301"/>
      <c r="BE644" s="301"/>
      <c r="BF644" s="301"/>
      <c r="BG644" s="303"/>
      <c r="BH644" s="304"/>
    </row>
    <row r="645" spans="1:60" s="305" customFormat="1" ht="16.5" hidden="1" customHeight="1" x14ac:dyDescent="0.4">
      <c r="A645" s="285">
        <v>622</v>
      </c>
      <c r="B645" s="286"/>
      <c r="C645" s="286"/>
      <c r="D645" s="287" t="s">
        <v>92</v>
      </c>
      <c r="E645" s="287" t="s">
        <v>196</v>
      </c>
      <c r="F645" s="288" t="s">
        <v>92</v>
      </c>
      <c r="G645" s="289" t="s">
        <v>727</v>
      </c>
      <c r="H645" s="307"/>
      <c r="I645" s="290"/>
      <c r="J645" s="291" t="s">
        <v>58</v>
      </c>
      <c r="K645" s="287"/>
      <c r="L645" s="287"/>
      <c r="M645" s="287">
        <v>40226</v>
      </c>
      <c r="N645" s="287" t="s">
        <v>35</v>
      </c>
      <c r="O645" s="287" t="s">
        <v>43</v>
      </c>
      <c r="P645" s="287" t="s">
        <v>44</v>
      </c>
      <c r="Q645" s="287" t="s">
        <v>49</v>
      </c>
      <c r="R645" s="287" t="s">
        <v>29</v>
      </c>
      <c r="S645" s="292" t="s">
        <v>29</v>
      </c>
      <c r="T645" s="293"/>
      <c r="U645" s="294">
        <v>2654420</v>
      </c>
      <c r="V645" s="294">
        <v>6598370</v>
      </c>
      <c r="W645" s="295">
        <v>6002000</v>
      </c>
      <c r="X645" s="296"/>
      <c r="Y645" s="287" t="s">
        <v>28</v>
      </c>
      <c r="Z645" s="297" t="s">
        <v>28</v>
      </c>
      <c r="AA645" s="313"/>
      <c r="AB645" s="313"/>
      <c r="AC645" s="298">
        <f t="shared" si="22"/>
        <v>5069000</v>
      </c>
      <c r="AD645" s="298">
        <v>5069000</v>
      </c>
      <c r="AE645" s="298">
        <f t="shared" si="23"/>
        <v>0</v>
      </c>
      <c r="AF645" s="299">
        <v>170000</v>
      </c>
      <c r="AG645" s="300">
        <v>170000</v>
      </c>
      <c r="AH645" s="299"/>
      <c r="AI645" s="299">
        <v>1368000</v>
      </c>
      <c r="AJ645" s="300">
        <v>1368000</v>
      </c>
      <c r="AK645" s="299"/>
      <c r="AL645" s="301"/>
      <c r="AM645" s="314">
        <v>751000</v>
      </c>
      <c r="AN645" s="301"/>
      <c r="AO645" s="302">
        <v>380000</v>
      </c>
      <c r="AP645" s="301"/>
      <c r="AQ645" s="301">
        <v>300000</v>
      </c>
      <c r="AR645" s="301"/>
      <c r="AS645" s="301">
        <v>300000</v>
      </c>
      <c r="AT645" s="301"/>
      <c r="AU645" s="301">
        <v>300000</v>
      </c>
      <c r="AV645" s="301"/>
      <c r="AW645" s="301">
        <v>300000</v>
      </c>
      <c r="AX645" s="301"/>
      <c r="AY645" s="301">
        <v>300000</v>
      </c>
      <c r="AZ645" s="301"/>
      <c r="BA645" s="301">
        <v>300000</v>
      </c>
      <c r="BB645" s="301"/>
      <c r="BC645" s="301">
        <v>300000</v>
      </c>
      <c r="BD645" s="301"/>
      <c r="BE645" s="301">
        <v>300000</v>
      </c>
      <c r="BF645" s="301"/>
      <c r="BG645" s="303"/>
      <c r="BH645" s="304"/>
    </row>
    <row r="646" spans="1:60" s="305" customFormat="1" ht="16.5" hidden="1" customHeight="1" x14ac:dyDescent="0.4">
      <c r="A646" s="285">
        <v>623</v>
      </c>
      <c r="B646" s="286"/>
      <c r="C646" s="286"/>
      <c r="D646" s="287"/>
      <c r="E646" s="287"/>
      <c r="F646" s="288" t="s">
        <v>92</v>
      </c>
      <c r="G646" s="289" t="s">
        <v>732</v>
      </c>
      <c r="H646" s="307"/>
      <c r="I646" s="290"/>
      <c r="J646" s="291" t="s">
        <v>785</v>
      </c>
      <c r="K646" s="287"/>
      <c r="L646" s="287"/>
      <c r="M646" s="287">
        <v>20478</v>
      </c>
      <c r="N646" s="287" t="s">
        <v>23</v>
      </c>
      <c r="O646" s="287" t="s">
        <v>43</v>
      </c>
      <c r="P646" s="287" t="s">
        <v>44</v>
      </c>
      <c r="Q646" s="287"/>
      <c r="R646" s="287"/>
      <c r="S646" s="292" t="s">
        <v>20</v>
      </c>
      <c r="T646" s="293"/>
      <c r="U646" s="294"/>
      <c r="V646" s="294"/>
      <c r="W646" s="295">
        <v>14382000</v>
      </c>
      <c r="X646" s="296"/>
      <c r="Y646" s="287"/>
      <c r="Z646" s="297" t="s">
        <v>656</v>
      </c>
      <c r="AA646" s="313"/>
      <c r="AB646" s="313"/>
      <c r="AC646" s="298">
        <f t="shared" si="22"/>
        <v>125250</v>
      </c>
      <c r="AD646" s="298">
        <v>125250</v>
      </c>
      <c r="AE646" s="298">
        <f t="shared" si="23"/>
        <v>0</v>
      </c>
      <c r="AF646" s="299"/>
      <c r="AG646" s="300"/>
      <c r="AH646" s="299"/>
      <c r="AI646" s="299"/>
      <c r="AJ646" s="300"/>
      <c r="AK646" s="299"/>
      <c r="AL646" s="301"/>
      <c r="AM646" s="314">
        <v>125250</v>
      </c>
      <c r="AN646" s="301" t="s">
        <v>842</v>
      </c>
      <c r="AO646" s="302"/>
      <c r="AP646" s="301"/>
      <c r="AQ646" s="301"/>
      <c r="AR646" s="301"/>
      <c r="AS646" s="301"/>
      <c r="AT646" s="301"/>
      <c r="AU646" s="301"/>
      <c r="AV646" s="301"/>
      <c r="AW646" s="301"/>
      <c r="AX646" s="301"/>
      <c r="AY646" s="301"/>
      <c r="AZ646" s="301"/>
      <c r="BA646" s="301"/>
      <c r="BB646" s="301"/>
      <c r="BC646" s="301"/>
      <c r="BD646" s="301"/>
      <c r="BE646" s="301"/>
      <c r="BF646" s="301"/>
      <c r="BG646" s="303"/>
      <c r="BH646" s="304"/>
    </row>
    <row r="647" spans="1:60" s="305" customFormat="1" ht="16.5" hidden="1" customHeight="1" x14ac:dyDescent="0.4">
      <c r="A647" s="285">
        <v>624</v>
      </c>
      <c r="B647" s="286"/>
      <c r="C647" s="286"/>
      <c r="D647" s="287" t="s">
        <v>92</v>
      </c>
      <c r="E647" s="287" t="s">
        <v>138</v>
      </c>
      <c r="F647" s="288" t="s">
        <v>92</v>
      </c>
      <c r="G647" s="289" t="s">
        <v>732</v>
      </c>
      <c r="H647" s="307"/>
      <c r="I647" s="290"/>
      <c r="J647" s="291" t="s">
        <v>663</v>
      </c>
      <c r="K647" s="287"/>
      <c r="L647" s="287"/>
      <c r="M647" s="287">
        <v>61342</v>
      </c>
      <c r="N647" s="287" t="s">
        <v>23</v>
      </c>
      <c r="O647" s="287" t="s">
        <v>33</v>
      </c>
      <c r="P647" s="287" t="s">
        <v>44</v>
      </c>
      <c r="Q647" s="287" t="s">
        <v>46</v>
      </c>
      <c r="R647" s="287" t="s">
        <v>347</v>
      </c>
      <c r="S647" s="292" t="s">
        <v>750</v>
      </c>
      <c r="T647" s="293"/>
      <c r="U647" s="294">
        <v>158136364</v>
      </c>
      <c r="V647" s="294">
        <v>90452118</v>
      </c>
      <c r="W647" s="295"/>
      <c r="X647" s="296"/>
      <c r="Y647" s="287" t="s">
        <v>26</v>
      </c>
      <c r="Z647" s="297" t="s">
        <v>25</v>
      </c>
      <c r="AA647" s="313"/>
      <c r="AB647" s="313"/>
      <c r="AC647" s="298">
        <f t="shared" si="22"/>
        <v>90000000</v>
      </c>
      <c r="AD647" s="298">
        <v>90000000</v>
      </c>
      <c r="AE647" s="298">
        <f t="shared" si="23"/>
        <v>0</v>
      </c>
      <c r="AF647" s="299"/>
      <c r="AG647" s="300"/>
      <c r="AH647" s="299"/>
      <c r="AI647" s="299"/>
      <c r="AJ647" s="300"/>
      <c r="AK647" s="299"/>
      <c r="AL647" s="301"/>
      <c r="AM647" s="314"/>
      <c r="AN647" s="301"/>
      <c r="AO647" s="302"/>
      <c r="AP647" s="301"/>
      <c r="AQ647" s="301"/>
      <c r="AR647" s="301"/>
      <c r="AS647" s="301"/>
      <c r="AT647" s="301"/>
      <c r="AU647" s="301"/>
      <c r="AV647" s="301"/>
      <c r="AW647" s="301"/>
      <c r="AX647" s="301"/>
      <c r="AY647" s="301"/>
      <c r="AZ647" s="301"/>
      <c r="BA647" s="301"/>
      <c r="BB647" s="301"/>
      <c r="BC647" s="301">
        <v>90000000</v>
      </c>
      <c r="BD647" s="301"/>
      <c r="BE647" s="301"/>
      <c r="BF647" s="301"/>
      <c r="BG647" s="303"/>
      <c r="BH647" s="304"/>
    </row>
    <row r="648" spans="1:60" s="305" customFormat="1" ht="16.5" hidden="1" customHeight="1" x14ac:dyDescent="0.4">
      <c r="A648" s="285">
        <v>625</v>
      </c>
      <c r="B648" s="286"/>
      <c r="C648" s="286"/>
      <c r="D648" s="287" t="s">
        <v>92</v>
      </c>
      <c r="E648" s="287" t="s">
        <v>138</v>
      </c>
      <c r="F648" s="288" t="s">
        <v>92</v>
      </c>
      <c r="G648" s="289" t="s">
        <v>732</v>
      </c>
      <c r="H648" s="307"/>
      <c r="I648" s="290"/>
      <c r="J648" s="291" t="s">
        <v>139</v>
      </c>
      <c r="K648" s="287"/>
      <c r="L648" s="287"/>
      <c r="M648" s="287">
        <v>53605</v>
      </c>
      <c r="N648" s="287" t="s">
        <v>23</v>
      </c>
      <c r="O648" s="287" t="s">
        <v>43</v>
      </c>
      <c r="P648" s="287" t="s">
        <v>93</v>
      </c>
      <c r="Q648" s="287" t="s">
        <v>30</v>
      </c>
      <c r="R648" s="287" t="s">
        <v>31</v>
      </c>
      <c r="S648" s="292" t="s">
        <v>31</v>
      </c>
      <c r="T648" s="293"/>
      <c r="U648" s="294">
        <v>44137000</v>
      </c>
      <c r="V648" s="294">
        <v>43067500</v>
      </c>
      <c r="W648" s="295">
        <v>3691000</v>
      </c>
      <c r="X648" s="296"/>
      <c r="Y648" s="287" t="s">
        <v>28</v>
      </c>
      <c r="Z648" s="297" t="s">
        <v>26</v>
      </c>
      <c r="AA648" s="313"/>
      <c r="AB648" s="313"/>
      <c r="AC648" s="298">
        <f t="shared" si="22"/>
        <v>45000000</v>
      </c>
      <c r="AD648" s="298">
        <v>45000000</v>
      </c>
      <c r="AE648" s="298">
        <f t="shared" si="23"/>
        <v>0</v>
      </c>
      <c r="AF648" s="299"/>
      <c r="AG648" s="300"/>
      <c r="AH648" s="299"/>
      <c r="AI648" s="299"/>
      <c r="AJ648" s="300"/>
      <c r="AK648" s="299"/>
      <c r="AL648" s="301"/>
      <c r="AM648" s="314"/>
      <c r="AN648" s="301"/>
      <c r="AO648" s="302"/>
      <c r="AP648" s="301"/>
      <c r="AQ648" s="316">
        <v>15000000</v>
      </c>
      <c r="AR648" s="301"/>
      <c r="AS648" s="301"/>
      <c r="AT648" s="301"/>
      <c r="AU648" s="301">
        <v>15000000</v>
      </c>
      <c r="AV648" s="301"/>
      <c r="AW648" s="301"/>
      <c r="AX648" s="301"/>
      <c r="AY648" s="301"/>
      <c r="AZ648" s="301"/>
      <c r="BA648" s="301"/>
      <c r="BB648" s="301"/>
      <c r="BC648" s="301"/>
      <c r="BD648" s="301"/>
      <c r="BE648" s="301">
        <v>15000000</v>
      </c>
      <c r="BF648" s="301"/>
      <c r="BG648" s="303"/>
      <c r="BH648" s="304"/>
    </row>
    <row r="649" spans="1:60" s="305" customFormat="1" ht="16.5" hidden="1" customHeight="1" x14ac:dyDescent="0.4">
      <c r="A649" s="285">
        <v>626</v>
      </c>
      <c r="B649" s="286"/>
      <c r="C649" s="286"/>
      <c r="D649" s="287" t="s">
        <v>92</v>
      </c>
      <c r="E649" s="287" t="s">
        <v>102</v>
      </c>
      <c r="F649" s="288" t="s">
        <v>92</v>
      </c>
      <c r="G649" s="289" t="s">
        <v>732</v>
      </c>
      <c r="H649" s="307"/>
      <c r="I649" s="290"/>
      <c r="J649" s="291" t="s">
        <v>106</v>
      </c>
      <c r="K649" s="287"/>
      <c r="L649" s="287"/>
      <c r="M649" s="287">
        <v>29626</v>
      </c>
      <c r="N649" s="287" t="s">
        <v>32</v>
      </c>
      <c r="O649" s="287" t="s">
        <v>43</v>
      </c>
      <c r="P649" s="287" t="s">
        <v>44</v>
      </c>
      <c r="Q649" s="287" t="s">
        <v>19</v>
      </c>
      <c r="R649" s="287" t="s">
        <v>20</v>
      </c>
      <c r="S649" s="292" t="s">
        <v>20</v>
      </c>
      <c r="T649" s="293"/>
      <c r="U649" s="294">
        <v>19800000</v>
      </c>
      <c r="V649" s="294">
        <v>0</v>
      </c>
      <c r="W649" s="295">
        <v>19000000</v>
      </c>
      <c r="X649" s="296"/>
      <c r="Y649" s="287" t="s">
        <v>28</v>
      </c>
      <c r="Z649" s="297" t="s">
        <v>26</v>
      </c>
      <c r="AA649" s="313"/>
      <c r="AB649" s="313"/>
      <c r="AC649" s="298">
        <f t="shared" si="22"/>
        <v>18000000</v>
      </c>
      <c r="AD649" s="298">
        <v>18000000</v>
      </c>
      <c r="AE649" s="298">
        <f t="shared" si="23"/>
        <v>0</v>
      </c>
      <c r="AF649" s="299"/>
      <c r="AG649" s="300"/>
      <c r="AH649" s="299"/>
      <c r="AI649" s="299"/>
      <c r="AJ649" s="300"/>
      <c r="AK649" s="299"/>
      <c r="AL649" s="301"/>
      <c r="AM649" s="314"/>
      <c r="AN649" s="301"/>
      <c r="AO649" s="302"/>
      <c r="AP649" s="301"/>
      <c r="AQ649" s="301"/>
      <c r="AR649" s="301"/>
      <c r="AS649" s="301"/>
      <c r="AT649" s="301"/>
      <c r="AU649" s="301"/>
      <c r="AV649" s="301"/>
      <c r="AW649" s="301"/>
      <c r="AX649" s="301"/>
      <c r="AY649" s="301"/>
      <c r="AZ649" s="301"/>
      <c r="BA649" s="301"/>
      <c r="BB649" s="301"/>
      <c r="BC649" s="301"/>
      <c r="BD649" s="301"/>
      <c r="BE649" s="301">
        <v>18000000</v>
      </c>
      <c r="BF649" s="301"/>
      <c r="BG649" s="303"/>
      <c r="BH649" s="304"/>
    </row>
    <row r="650" spans="1:60" s="305" customFormat="1" ht="16.5" hidden="1" customHeight="1" x14ac:dyDescent="0.4">
      <c r="A650" s="285">
        <v>627</v>
      </c>
      <c r="B650" s="286"/>
      <c r="C650" s="286"/>
      <c r="D650" s="287" t="s">
        <v>92</v>
      </c>
      <c r="E650" s="287" t="s">
        <v>102</v>
      </c>
      <c r="F650" s="288" t="s">
        <v>92</v>
      </c>
      <c r="G650" s="289" t="s">
        <v>732</v>
      </c>
      <c r="H650" s="307"/>
      <c r="I650" s="290"/>
      <c r="J650" s="291" t="s">
        <v>106</v>
      </c>
      <c r="K650" s="287"/>
      <c r="L650" s="287"/>
      <c r="M650" s="287">
        <v>29626</v>
      </c>
      <c r="N650" s="287" t="s">
        <v>32</v>
      </c>
      <c r="O650" s="287" t="s">
        <v>43</v>
      </c>
      <c r="P650" s="287" t="s">
        <v>44</v>
      </c>
      <c r="Q650" s="287" t="s">
        <v>27</v>
      </c>
      <c r="R650" s="287" t="s">
        <v>340</v>
      </c>
      <c r="S650" s="292" t="s">
        <v>340</v>
      </c>
      <c r="T650" s="293"/>
      <c r="U650" s="294"/>
      <c r="V650" s="294">
        <v>20881818</v>
      </c>
      <c r="W650" s="295"/>
      <c r="X650" s="296"/>
      <c r="Y650" s="287" t="s">
        <v>56</v>
      </c>
      <c r="Z650" s="297" t="s">
        <v>544</v>
      </c>
      <c r="AA650" s="313"/>
      <c r="AB650" s="313"/>
      <c r="AC650" s="298">
        <f t="shared" si="22"/>
        <v>0</v>
      </c>
      <c r="AD650" s="298">
        <v>0</v>
      </c>
      <c r="AE650" s="298">
        <f t="shared" si="23"/>
        <v>0</v>
      </c>
      <c r="AF650" s="299"/>
      <c r="AG650" s="300"/>
      <c r="AH650" s="299"/>
      <c r="AI650" s="299"/>
      <c r="AJ650" s="300"/>
      <c r="AK650" s="299"/>
      <c r="AL650" s="301"/>
      <c r="AM650" s="314"/>
      <c r="AN650" s="301"/>
      <c r="AO650" s="302"/>
      <c r="AP650" s="301"/>
      <c r="AQ650" s="301"/>
      <c r="AR650" s="301"/>
      <c r="AS650" s="301"/>
      <c r="AT650" s="301"/>
      <c r="AU650" s="301"/>
      <c r="AV650" s="301"/>
      <c r="AW650" s="301"/>
      <c r="AX650" s="301"/>
      <c r="AY650" s="301"/>
      <c r="AZ650" s="301"/>
      <c r="BA650" s="301"/>
      <c r="BB650" s="301"/>
      <c r="BC650" s="301"/>
      <c r="BD650" s="301"/>
      <c r="BE650" s="301"/>
      <c r="BF650" s="301"/>
      <c r="BG650" s="303"/>
      <c r="BH650" s="304"/>
    </row>
    <row r="651" spans="1:60" s="305" customFormat="1" ht="16.5" hidden="1" customHeight="1" x14ac:dyDescent="0.4">
      <c r="A651" s="285">
        <v>628</v>
      </c>
      <c r="B651" s="286"/>
      <c r="C651" s="286"/>
      <c r="D651" s="287" t="s">
        <v>92</v>
      </c>
      <c r="E651" s="287" t="s">
        <v>102</v>
      </c>
      <c r="F651" s="288" t="s">
        <v>92</v>
      </c>
      <c r="G651" s="289" t="s">
        <v>732</v>
      </c>
      <c r="H651" s="307"/>
      <c r="I651" s="290"/>
      <c r="J651" s="291" t="s">
        <v>106</v>
      </c>
      <c r="K651" s="287"/>
      <c r="L651" s="287"/>
      <c r="M651" s="287">
        <v>29626</v>
      </c>
      <c r="N651" s="287" t="s">
        <v>32</v>
      </c>
      <c r="O651" s="287" t="s">
        <v>43</v>
      </c>
      <c r="P651" s="287" t="s">
        <v>44</v>
      </c>
      <c r="Q651" s="287" t="s">
        <v>24</v>
      </c>
      <c r="R651" s="287" t="s">
        <v>221</v>
      </c>
      <c r="S651" s="292" t="s">
        <v>745</v>
      </c>
      <c r="T651" s="293"/>
      <c r="U651" s="294"/>
      <c r="V651" s="294">
        <v>18181818</v>
      </c>
      <c r="W651" s="295"/>
      <c r="X651" s="296"/>
      <c r="Y651" s="287" t="s">
        <v>25</v>
      </c>
      <c r="Z651" s="297" t="s">
        <v>544</v>
      </c>
      <c r="AA651" s="313"/>
      <c r="AB651" s="313"/>
      <c r="AC651" s="298">
        <f t="shared" si="22"/>
        <v>0</v>
      </c>
      <c r="AD651" s="298">
        <v>0</v>
      </c>
      <c r="AE651" s="298">
        <f t="shared" si="23"/>
        <v>0</v>
      </c>
      <c r="AF651" s="299"/>
      <c r="AG651" s="300"/>
      <c r="AH651" s="299"/>
      <c r="AI651" s="299"/>
      <c r="AJ651" s="300"/>
      <c r="AK651" s="299"/>
      <c r="AL651" s="301"/>
      <c r="AM651" s="314"/>
      <c r="AN651" s="301"/>
      <c r="AO651" s="302"/>
      <c r="AP651" s="301"/>
      <c r="AQ651" s="301"/>
      <c r="AR651" s="301"/>
      <c r="AS651" s="301"/>
      <c r="AT651" s="301"/>
      <c r="AU651" s="301"/>
      <c r="AV651" s="301"/>
      <c r="AW651" s="301"/>
      <c r="AX651" s="301"/>
      <c r="AY651" s="301"/>
      <c r="AZ651" s="301"/>
      <c r="BA651" s="301"/>
      <c r="BB651" s="301"/>
      <c r="BC651" s="301"/>
      <c r="BD651" s="301"/>
      <c r="BE651" s="301"/>
      <c r="BF651" s="301"/>
      <c r="BG651" s="303"/>
      <c r="BH651" s="304"/>
    </row>
    <row r="652" spans="1:60" s="305" customFormat="1" ht="16.5" hidden="1" customHeight="1" x14ac:dyDescent="0.4">
      <c r="A652" s="285">
        <v>629</v>
      </c>
      <c r="B652" s="286"/>
      <c r="C652" s="286"/>
      <c r="D652" s="287" t="s">
        <v>92</v>
      </c>
      <c r="E652" s="287" t="s">
        <v>102</v>
      </c>
      <c r="F652" s="288" t="s">
        <v>92</v>
      </c>
      <c r="G652" s="289" t="s">
        <v>732</v>
      </c>
      <c r="H652" s="307"/>
      <c r="I652" s="290"/>
      <c r="J652" s="291" t="s">
        <v>51</v>
      </c>
      <c r="K652" s="287"/>
      <c r="L652" s="287"/>
      <c r="M652" s="287">
        <v>55916</v>
      </c>
      <c r="N652" s="287" t="s">
        <v>32</v>
      </c>
      <c r="O652" s="287" t="s">
        <v>43</v>
      </c>
      <c r="P652" s="287" t="s">
        <v>44</v>
      </c>
      <c r="Q652" s="287" t="s">
        <v>24</v>
      </c>
      <c r="R652" s="287" t="s">
        <v>221</v>
      </c>
      <c r="S652" s="292" t="s">
        <v>745</v>
      </c>
      <c r="T652" s="293"/>
      <c r="U652" s="294">
        <v>181818182</v>
      </c>
      <c r="V652" s="294">
        <v>90000000</v>
      </c>
      <c r="W652" s="295">
        <v>100000000</v>
      </c>
      <c r="X652" s="296"/>
      <c r="Y652" s="287" t="s">
        <v>28</v>
      </c>
      <c r="Z652" s="297" t="s">
        <v>25</v>
      </c>
      <c r="AA652" s="313"/>
      <c r="AB652" s="313"/>
      <c r="AC652" s="298">
        <f t="shared" si="22"/>
        <v>130000000</v>
      </c>
      <c r="AD652" s="298">
        <v>130000000</v>
      </c>
      <c r="AE652" s="298">
        <f t="shared" si="23"/>
        <v>0</v>
      </c>
      <c r="AF652" s="299"/>
      <c r="AG652" s="300"/>
      <c r="AH652" s="299"/>
      <c r="AI652" s="299"/>
      <c r="AJ652" s="300"/>
      <c r="AK652" s="299"/>
      <c r="AL652" s="301">
        <v>63392300</v>
      </c>
      <c r="AM652" s="314"/>
      <c r="AN652" s="301" t="s">
        <v>863</v>
      </c>
      <c r="AO652" s="302"/>
      <c r="AP652" s="301"/>
      <c r="AQ652" s="316">
        <v>100000000</v>
      </c>
      <c r="AR652" s="301"/>
      <c r="AS652" s="301"/>
      <c r="AT652" s="301"/>
      <c r="AU652" s="301"/>
      <c r="AV652" s="301"/>
      <c r="AW652" s="301"/>
      <c r="AX652" s="301"/>
      <c r="AY652" s="301"/>
      <c r="AZ652" s="301"/>
      <c r="BA652" s="301"/>
      <c r="BB652" s="301"/>
      <c r="BC652" s="301"/>
      <c r="BD652" s="301"/>
      <c r="BE652" s="301">
        <v>30000000</v>
      </c>
      <c r="BF652" s="301"/>
      <c r="BG652" s="303"/>
      <c r="BH652" s="304"/>
    </row>
    <row r="653" spans="1:60" s="305" customFormat="1" ht="16.5" hidden="1" customHeight="1" x14ac:dyDescent="0.4">
      <c r="A653" s="285">
        <v>630</v>
      </c>
      <c r="B653" s="286"/>
      <c r="C653" s="286"/>
      <c r="D653" s="287" t="s">
        <v>92</v>
      </c>
      <c r="E653" s="287" t="s">
        <v>193</v>
      </c>
      <c r="F653" s="288" t="s">
        <v>92</v>
      </c>
      <c r="G653" s="289" t="s">
        <v>732</v>
      </c>
      <c r="H653" s="307"/>
      <c r="I653" s="290"/>
      <c r="J653" s="291" t="s">
        <v>91</v>
      </c>
      <c r="K653" s="287"/>
      <c r="L653" s="287"/>
      <c r="M653" s="287">
        <v>3752</v>
      </c>
      <c r="N653" s="287" t="s">
        <v>23</v>
      </c>
      <c r="O653" s="287" t="s">
        <v>43</v>
      </c>
      <c r="P653" s="287" t="s">
        <v>44</v>
      </c>
      <c r="Q653" s="287" t="s">
        <v>49</v>
      </c>
      <c r="R653" s="287" t="s">
        <v>29</v>
      </c>
      <c r="S653" s="292" t="s">
        <v>29</v>
      </c>
      <c r="T653" s="293" t="s">
        <v>798</v>
      </c>
      <c r="U653" s="294">
        <v>565697890</v>
      </c>
      <c r="V653" s="294">
        <v>570735080</v>
      </c>
      <c r="W653" s="295">
        <v>896005100</v>
      </c>
      <c r="X653" s="296"/>
      <c r="Y653" s="287" t="s">
        <v>28</v>
      </c>
      <c r="Z653" s="297" t="s">
        <v>28</v>
      </c>
      <c r="AA653" s="313"/>
      <c r="AB653" s="313"/>
      <c r="AC653" s="298">
        <f t="shared" si="22"/>
        <v>540000000</v>
      </c>
      <c r="AD653" s="298">
        <v>540000000</v>
      </c>
      <c r="AE653" s="298">
        <f t="shared" si="23"/>
        <v>0</v>
      </c>
      <c r="AF653" s="299">
        <v>45000000</v>
      </c>
      <c r="AG653" s="300">
        <v>26734700</v>
      </c>
      <c r="AH653" s="299"/>
      <c r="AI653" s="299">
        <v>63265300</v>
      </c>
      <c r="AJ653" s="300">
        <v>45721400</v>
      </c>
      <c r="AK653" s="299" t="s">
        <v>791</v>
      </c>
      <c r="AL653" s="301">
        <v>80031000</v>
      </c>
      <c r="AM653" s="314">
        <v>63392300</v>
      </c>
      <c r="AN653" s="301" t="s">
        <v>842</v>
      </c>
      <c r="AO653" s="302">
        <v>26607700</v>
      </c>
      <c r="AP653" s="301" t="s">
        <v>842</v>
      </c>
      <c r="AQ653" s="301">
        <v>45000000</v>
      </c>
      <c r="AR653" s="301"/>
      <c r="AS653" s="301">
        <v>45000000</v>
      </c>
      <c r="AT653" s="301"/>
      <c r="AU653" s="301">
        <v>45000000</v>
      </c>
      <c r="AV653" s="301"/>
      <c r="AW653" s="301">
        <v>45000000</v>
      </c>
      <c r="AX653" s="301"/>
      <c r="AY653" s="301">
        <v>45000000</v>
      </c>
      <c r="AZ653" s="301"/>
      <c r="BA653" s="301">
        <v>45000000</v>
      </c>
      <c r="BB653" s="301"/>
      <c r="BC653" s="301">
        <v>45000000</v>
      </c>
      <c r="BD653" s="301"/>
      <c r="BE653" s="301">
        <v>62543900</v>
      </c>
      <c r="BF653" s="301"/>
      <c r="BG653" s="303"/>
      <c r="BH653" s="304"/>
    </row>
    <row r="654" spans="1:60" s="305" customFormat="1" ht="16.5" hidden="1" customHeight="1" x14ac:dyDescent="0.4">
      <c r="A654" s="285">
        <v>631</v>
      </c>
      <c r="B654" s="286"/>
      <c r="C654" s="286"/>
      <c r="D654" s="287" t="s">
        <v>92</v>
      </c>
      <c r="E654" s="287" t="s">
        <v>193</v>
      </c>
      <c r="F654" s="288" t="s">
        <v>92</v>
      </c>
      <c r="G654" s="289" t="s">
        <v>732</v>
      </c>
      <c r="H654" s="307"/>
      <c r="I654" s="290"/>
      <c r="J654" s="291" t="s">
        <v>91</v>
      </c>
      <c r="K654" s="287"/>
      <c r="L654" s="287"/>
      <c r="M654" s="287">
        <v>3752</v>
      </c>
      <c r="N654" s="287" t="s">
        <v>23</v>
      </c>
      <c r="O654" s="287" t="s">
        <v>43</v>
      </c>
      <c r="P654" s="287" t="s">
        <v>44</v>
      </c>
      <c r="Q654" s="287" t="s">
        <v>27</v>
      </c>
      <c r="R654" s="287" t="s">
        <v>340</v>
      </c>
      <c r="S654" s="292" t="s">
        <v>340</v>
      </c>
      <c r="T654" s="293"/>
      <c r="U654" s="294"/>
      <c r="V654" s="294">
        <v>11000000</v>
      </c>
      <c r="W654" s="295">
        <v>20170700</v>
      </c>
      <c r="X654" s="296"/>
      <c r="Y654" s="287" t="s">
        <v>28</v>
      </c>
      <c r="Z654" s="297" t="s">
        <v>25</v>
      </c>
      <c r="AA654" s="313"/>
      <c r="AB654" s="313"/>
      <c r="AC654" s="298">
        <f t="shared" si="22"/>
        <v>15000000</v>
      </c>
      <c r="AD654" s="298">
        <v>15000000</v>
      </c>
      <c r="AE654" s="298">
        <f t="shared" si="23"/>
        <v>0</v>
      </c>
      <c r="AF654" s="299"/>
      <c r="AG654" s="300"/>
      <c r="AH654" s="299"/>
      <c r="AI654" s="299"/>
      <c r="AJ654" s="300"/>
      <c r="AK654" s="299"/>
      <c r="AL654" s="301"/>
      <c r="AM654" s="314"/>
      <c r="AN654" s="301"/>
      <c r="AO654" s="302"/>
      <c r="AP654" s="301"/>
      <c r="AQ654" s="301"/>
      <c r="AR654" s="301"/>
      <c r="AS654" s="301"/>
      <c r="AT654" s="301"/>
      <c r="AU654" s="301"/>
      <c r="AV654" s="301"/>
      <c r="AW654" s="301"/>
      <c r="AX654" s="301"/>
      <c r="AY654" s="301"/>
      <c r="AZ654" s="301"/>
      <c r="BA654" s="301"/>
      <c r="BB654" s="301"/>
      <c r="BC654" s="301"/>
      <c r="BD654" s="301"/>
      <c r="BE654" s="301">
        <v>15000000</v>
      </c>
      <c r="BF654" s="301"/>
      <c r="BG654" s="303"/>
      <c r="BH654" s="304"/>
    </row>
    <row r="655" spans="1:60" s="305" customFormat="1" ht="16.5" hidden="1" customHeight="1" x14ac:dyDescent="0.4">
      <c r="A655" s="285">
        <v>632</v>
      </c>
      <c r="B655" s="286"/>
      <c r="C655" s="286"/>
      <c r="D655" s="287" t="s">
        <v>92</v>
      </c>
      <c r="E655" s="287" t="s">
        <v>229</v>
      </c>
      <c r="F655" s="288" t="s">
        <v>92</v>
      </c>
      <c r="G655" s="289" t="s">
        <v>732</v>
      </c>
      <c r="H655" s="307"/>
      <c r="I655" s="290"/>
      <c r="J655" s="291" t="s">
        <v>451</v>
      </c>
      <c r="K655" s="287"/>
      <c r="L655" s="287"/>
      <c r="M655" s="287">
        <v>8343</v>
      </c>
      <c r="N655" s="287" t="s">
        <v>40</v>
      </c>
      <c r="O655" s="287" t="s">
        <v>43</v>
      </c>
      <c r="P655" s="287" t="s">
        <v>98</v>
      </c>
      <c r="Q655" s="287" t="s">
        <v>19</v>
      </c>
      <c r="R655" s="287" t="s">
        <v>20</v>
      </c>
      <c r="S655" s="292" t="s">
        <v>20</v>
      </c>
      <c r="T655" s="293"/>
      <c r="U655" s="294">
        <v>8126960</v>
      </c>
      <c r="V655" s="294">
        <v>8807760</v>
      </c>
      <c r="W655" s="295">
        <v>4687600</v>
      </c>
      <c r="X655" s="296"/>
      <c r="Y655" s="287" t="s">
        <v>28</v>
      </c>
      <c r="Z655" s="297" t="s">
        <v>618</v>
      </c>
      <c r="AA655" s="313"/>
      <c r="AB655" s="313"/>
      <c r="AC655" s="298">
        <f t="shared" si="22"/>
        <v>0</v>
      </c>
      <c r="AD655" s="298">
        <v>0</v>
      </c>
      <c r="AE655" s="298">
        <f t="shared" si="23"/>
        <v>0</v>
      </c>
      <c r="AF655" s="299"/>
      <c r="AG655" s="300"/>
      <c r="AH655" s="299"/>
      <c r="AI655" s="299"/>
      <c r="AJ655" s="300"/>
      <c r="AK655" s="299"/>
      <c r="AL655" s="301"/>
      <c r="AM655" s="314"/>
      <c r="AN655" s="301"/>
      <c r="AO655" s="302"/>
      <c r="AP655" s="301"/>
      <c r="AQ655" s="301"/>
      <c r="AR655" s="301"/>
      <c r="AS655" s="301"/>
      <c r="AT655" s="301"/>
      <c r="AU655" s="301"/>
      <c r="AV655" s="301"/>
      <c r="AW655" s="301"/>
      <c r="AX655" s="301"/>
      <c r="AY655" s="301"/>
      <c r="AZ655" s="301"/>
      <c r="BA655" s="301"/>
      <c r="BB655" s="301"/>
      <c r="BC655" s="301"/>
      <c r="BD655" s="301"/>
      <c r="BE655" s="301"/>
      <c r="BF655" s="301"/>
      <c r="BG655" s="303"/>
      <c r="BH655" s="304"/>
    </row>
    <row r="656" spans="1:60" s="305" customFormat="1" ht="16.5" hidden="1" customHeight="1" x14ac:dyDescent="0.4">
      <c r="A656" s="285">
        <v>633</v>
      </c>
      <c r="B656" s="286"/>
      <c r="C656" s="286"/>
      <c r="D656" s="287" t="s">
        <v>92</v>
      </c>
      <c r="E656" s="287" t="s">
        <v>229</v>
      </c>
      <c r="F656" s="288" t="s">
        <v>92</v>
      </c>
      <c r="G656" s="289" t="s">
        <v>732</v>
      </c>
      <c r="H656" s="307"/>
      <c r="I656" s="290"/>
      <c r="J656" s="291" t="s">
        <v>451</v>
      </c>
      <c r="K656" s="287"/>
      <c r="L656" s="287"/>
      <c r="M656" s="287">
        <v>8343</v>
      </c>
      <c r="N656" s="287" t="s">
        <v>40</v>
      </c>
      <c r="O656" s="287" t="s">
        <v>33</v>
      </c>
      <c r="P656" s="287" t="s">
        <v>98</v>
      </c>
      <c r="Q656" s="287" t="s">
        <v>41</v>
      </c>
      <c r="R656" s="287" t="s">
        <v>339</v>
      </c>
      <c r="S656" s="292" t="s">
        <v>746</v>
      </c>
      <c r="T656" s="293"/>
      <c r="U656" s="294">
        <v>2279000</v>
      </c>
      <c r="V656" s="294">
        <v>0</v>
      </c>
      <c r="W656" s="295"/>
      <c r="X656" s="296"/>
      <c r="Y656" s="287" t="s">
        <v>22</v>
      </c>
      <c r="Z656" s="297" t="s">
        <v>618</v>
      </c>
      <c r="AA656" s="313"/>
      <c r="AB656" s="313"/>
      <c r="AC656" s="298">
        <f t="shared" si="22"/>
        <v>0</v>
      </c>
      <c r="AD656" s="298">
        <v>0</v>
      </c>
      <c r="AE656" s="298">
        <f t="shared" si="23"/>
        <v>0</v>
      </c>
      <c r="AF656" s="299"/>
      <c r="AG656" s="300"/>
      <c r="AH656" s="299"/>
      <c r="AI656" s="299"/>
      <c r="AJ656" s="300"/>
      <c r="AK656" s="299"/>
      <c r="AL656" s="301"/>
      <c r="AM656" s="314"/>
      <c r="AN656" s="301"/>
      <c r="AO656" s="302"/>
      <c r="AP656" s="301"/>
      <c r="AQ656" s="301"/>
      <c r="AR656" s="301"/>
      <c r="AS656" s="301"/>
      <c r="AT656" s="301"/>
      <c r="AU656" s="301"/>
      <c r="AV656" s="301"/>
      <c r="AW656" s="301"/>
      <c r="AX656" s="301"/>
      <c r="AY656" s="301"/>
      <c r="AZ656" s="301"/>
      <c r="BA656" s="301"/>
      <c r="BB656" s="301"/>
      <c r="BC656" s="301"/>
      <c r="BD656" s="301"/>
      <c r="BE656" s="301"/>
      <c r="BF656" s="301"/>
      <c r="BG656" s="303"/>
      <c r="BH656" s="304"/>
    </row>
    <row r="657" spans="1:60" s="305" customFormat="1" ht="16.5" hidden="1" customHeight="1" x14ac:dyDescent="0.4">
      <c r="A657" s="285">
        <v>634</v>
      </c>
      <c r="B657" s="286"/>
      <c r="C657" s="286"/>
      <c r="D657" s="287" t="s">
        <v>92</v>
      </c>
      <c r="E657" s="287" t="s">
        <v>138</v>
      </c>
      <c r="F657" s="288" t="s">
        <v>92</v>
      </c>
      <c r="G657" s="289" t="s">
        <v>732</v>
      </c>
      <c r="H657" s="307"/>
      <c r="I657" s="290"/>
      <c r="J657" s="291" t="s">
        <v>143</v>
      </c>
      <c r="K657" s="287"/>
      <c r="L657" s="287"/>
      <c r="M657" s="287">
        <v>1519</v>
      </c>
      <c r="N657" s="287" t="s">
        <v>32</v>
      </c>
      <c r="O657" s="287" t="s">
        <v>43</v>
      </c>
      <c r="P657" s="287" t="s">
        <v>98</v>
      </c>
      <c r="Q657" s="287" t="s">
        <v>49</v>
      </c>
      <c r="R657" s="287" t="s">
        <v>29</v>
      </c>
      <c r="S657" s="292" t="s">
        <v>29</v>
      </c>
      <c r="T657" s="293" t="s">
        <v>798</v>
      </c>
      <c r="U657" s="294" t="s">
        <v>97</v>
      </c>
      <c r="V657" s="294">
        <v>42153802</v>
      </c>
      <c r="W657" s="295">
        <v>89834060</v>
      </c>
      <c r="X657" s="296"/>
      <c r="Y657" s="287" t="s">
        <v>28</v>
      </c>
      <c r="Z657" s="297" t="s">
        <v>28</v>
      </c>
      <c r="AA657" s="313"/>
      <c r="AB657" s="313"/>
      <c r="AC657" s="298">
        <f t="shared" si="22"/>
        <v>99143680</v>
      </c>
      <c r="AD657" s="298">
        <v>99143680</v>
      </c>
      <c r="AE657" s="298">
        <f t="shared" si="23"/>
        <v>0</v>
      </c>
      <c r="AF657" s="299">
        <v>0</v>
      </c>
      <c r="AG657" s="300"/>
      <c r="AH657" s="299"/>
      <c r="AI657" s="299"/>
      <c r="AJ657" s="300"/>
      <c r="AK657" s="299" t="s">
        <v>792</v>
      </c>
      <c r="AL657" s="301">
        <v>24143680</v>
      </c>
      <c r="AM657" s="314">
        <v>12211480</v>
      </c>
      <c r="AN657" s="301" t="s">
        <v>842</v>
      </c>
      <c r="AO657" s="302">
        <v>8932200</v>
      </c>
      <c r="AP657" s="301"/>
      <c r="AQ657" s="301">
        <v>9000000</v>
      </c>
      <c r="AR657" s="301"/>
      <c r="AS657" s="301">
        <v>9000000</v>
      </c>
      <c r="AT657" s="301"/>
      <c r="AU657" s="301">
        <v>9000000</v>
      </c>
      <c r="AV657" s="301"/>
      <c r="AW657" s="301">
        <v>9000000</v>
      </c>
      <c r="AX657" s="301"/>
      <c r="AY657" s="301">
        <v>9000000</v>
      </c>
      <c r="AZ657" s="301"/>
      <c r="BA657" s="301">
        <v>9000000</v>
      </c>
      <c r="BB657" s="301"/>
      <c r="BC657" s="301">
        <v>9000000</v>
      </c>
      <c r="BD657" s="301"/>
      <c r="BE657" s="301">
        <v>15000000</v>
      </c>
      <c r="BF657" s="301"/>
      <c r="BG657" s="303"/>
      <c r="BH657" s="304"/>
    </row>
    <row r="658" spans="1:60" s="305" customFormat="1" ht="16.5" hidden="1" customHeight="1" x14ac:dyDescent="0.4">
      <c r="A658" s="285">
        <v>635</v>
      </c>
      <c r="B658" s="286"/>
      <c r="C658" s="286"/>
      <c r="D658" s="287" t="s">
        <v>92</v>
      </c>
      <c r="E658" s="287" t="s">
        <v>138</v>
      </c>
      <c r="F658" s="288" t="s">
        <v>92</v>
      </c>
      <c r="G658" s="289" t="s">
        <v>732</v>
      </c>
      <c r="H658" s="307"/>
      <c r="I658" s="290"/>
      <c r="J658" s="291" t="s">
        <v>143</v>
      </c>
      <c r="K658" s="287"/>
      <c r="L658" s="287"/>
      <c r="M658" s="287">
        <v>1519</v>
      </c>
      <c r="N658" s="287" t="s">
        <v>32</v>
      </c>
      <c r="O658" s="287" t="s">
        <v>33</v>
      </c>
      <c r="P658" s="287" t="s">
        <v>44</v>
      </c>
      <c r="Q658" s="287" t="s">
        <v>49</v>
      </c>
      <c r="R658" s="287" t="s">
        <v>29</v>
      </c>
      <c r="S658" s="292" t="s">
        <v>29</v>
      </c>
      <c r="T658" s="293"/>
      <c r="U658" s="294"/>
      <c r="V658" s="294">
        <v>0</v>
      </c>
      <c r="W658" s="295">
        <v>0</v>
      </c>
      <c r="X658" s="296"/>
      <c r="Y658" s="287" t="s">
        <v>544</v>
      </c>
      <c r="Z658" s="297" t="s">
        <v>618</v>
      </c>
      <c r="AA658" s="313"/>
      <c r="AB658" s="313"/>
      <c r="AC658" s="298">
        <f t="shared" si="22"/>
        <v>0</v>
      </c>
      <c r="AD658" s="298">
        <v>0</v>
      </c>
      <c r="AE658" s="298">
        <f t="shared" si="23"/>
        <v>0</v>
      </c>
      <c r="AF658" s="299"/>
      <c r="AG658" s="300"/>
      <c r="AH658" s="299"/>
      <c r="AI658" s="299"/>
      <c r="AJ658" s="300"/>
      <c r="AK658" s="299"/>
      <c r="AL658" s="301"/>
      <c r="AM658" s="314"/>
      <c r="AN658" s="301"/>
      <c r="AO658" s="302"/>
      <c r="AP658" s="301"/>
      <c r="AQ658" s="301"/>
      <c r="AR658" s="301"/>
      <c r="AS658" s="301"/>
      <c r="AT658" s="301"/>
      <c r="AU658" s="301"/>
      <c r="AV658" s="301"/>
      <c r="AW658" s="301"/>
      <c r="AX658" s="301"/>
      <c r="AY658" s="301"/>
      <c r="AZ658" s="301"/>
      <c r="BA658" s="301"/>
      <c r="BB658" s="301"/>
      <c r="BC658" s="301"/>
      <c r="BD658" s="301"/>
      <c r="BE658" s="301"/>
      <c r="BF658" s="301"/>
      <c r="BG658" s="303"/>
      <c r="BH658" s="304"/>
    </row>
    <row r="659" spans="1:60" s="305" customFormat="1" ht="16.5" hidden="1" customHeight="1" x14ac:dyDescent="0.4">
      <c r="A659" s="285">
        <v>636</v>
      </c>
      <c r="B659" s="286"/>
      <c r="C659" s="286"/>
      <c r="D659" s="287" t="s">
        <v>92</v>
      </c>
      <c r="E659" s="287" t="s">
        <v>138</v>
      </c>
      <c r="F659" s="288" t="s">
        <v>92</v>
      </c>
      <c r="G659" s="289" t="s">
        <v>732</v>
      </c>
      <c r="H659" s="307"/>
      <c r="I659" s="290"/>
      <c r="J659" s="291" t="s">
        <v>143</v>
      </c>
      <c r="K659" s="287"/>
      <c r="L659" s="287"/>
      <c r="M659" s="287">
        <v>1519</v>
      </c>
      <c r="N659" s="287" t="s">
        <v>32</v>
      </c>
      <c r="O659" s="287" t="s">
        <v>33</v>
      </c>
      <c r="P659" s="287" t="s">
        <v>44</v>
      </c>
      <c r="Q659" s="287" t="s">
        <v>61</v>
      </c>
      <c r="R659" s="287" t="s">
        <v>345</v>
      </c>
      <c r="S659" s="292" t="s">
        <v>742</v>
      </c>
      <c r="T659" s="293"/>
      <c r="U659" s="294"/>
      <c r="V659" s="294">
        <v>13500000</v>
      </c>
      <c r="W659" s="295"/>
      <c r="X659" s="296"/>
      <c r="Y659" s="287" t="s">
        <v>25</v>
      </c>
      <c r="Z659" s="297" t="s">
        <v>618</v>
      </c>
      <c r="AA659" s="313"/>
      <c r="AB659" s="313"/>
      <c r="AC659" s="298">
        <f t="shared" si="22"/>
        <v>20000000</v>
      </c>
      <c r="AD659" s="298">
        <v>20000000</v>
      </c>
      <c r="AE659" s="298">
        <f t="shared" si="23"/>
        <v>0</v>
      </c>
      <c r="AF659" s="299"/>
      <c r="AG659" s="300"/>
      <c r="AH659" s="299"/>
      <c r="AI659" s="299"/>
      <c r="AJ659" s="300"/>
      <c r="AK659" s="299"/>
      <c r="AL659" s="301"/>
      <c r="AM659" s="314"/>
      <c r="AN659" s="301"/>
      <c r="AO659" s="302"/>
      <c r="AP659" s="301"/>
      <c r="AQ659" s="301"/>
      <c r="AR659" s="301"/>
      <c r="AS659" s="301"/>
      <c r="AT659" s="301"/>
      <c r="AU659" s="301"/>
      <c r="AV659" s="301"/>
      <c r="AW659" s="301"/>
      <c r="AX659" s="301"/>
      <c r="AY659" s="301"/>
      <c r="AZ659" s="301"/>
      <c r="BA659" s="301"/>
      <c r="BB659" s="301"/>
      <c r="BC659" s="301"/>
      <c r="BD659" s="301"/>
      <c r="BE659" s="301">
        <v>20000000</v>
      </c>
      <c r="BF659" s="301"/>
      <c r="BG659" s="303"/>
      <c r="BH659" s="304"/>
    </row>
    <row r="660" spans="1:60" s="305" customFormat="1" ht="16.5" hidden="1" customHeight="1" x14ac:dyDescent="0.4">
      <c r="A660" s="285">
        <v>637</v>
      </c>
      <c r="B660" s="286"/>
      <c r="C660" s="286"/>
      <c r="D660" s="287" t="s">
        <v>92</v>
      </c>
      <c r="E660" s="287" t="s">
        <v>138</v>
      </c>
      <c r="F660" s="288" t="s">
        <v>92</v>
      </c>
      <c r="G660" s="289" t="s">
        <v>732</v>
      </c>
      <c r="H660" s="307"/>
      <c r="I660" s="290"/>
      <c r="J660" s="291" t="s">
        <v>143</v>
      </c>
      <c r="K660" s="287"/>
      <c r="L660" s="287"/>
      <c r="M660" s="287">
        <v>1519</v>
      </c>
      <c r="N660" s="287" t="s">
        <v>32</v>
      </c>
      <c r="O660" s="287" t="s">
        <v>43</v>
      </c>
      <c r="P660" s="287" t="s">
        <v>44</v>
      </c>
      <c r="Q660" s="287"/>
      <c r="R660" s="287"/>
      <c r="S660" s="292" t="s">
        <v>750</v>
      </c>
      <c r="T660" s="293"/>
      <c r="U660" s="294"/>
      <c r="V660" s="294"/>
      <c r="W660" s="295">
        <v>3800000</v>
      </c>
      <c r="X660" s="296"/>
      <c r="Y660" s="287"/>
      <c r="Z660" s="297" t="s">
        <v>656</v>
      </c>
      <c r="AA660" s="313"/>
      <c r="AB660" s="313"/>
      <c r="AC660" s="298">
        <f t="shared" si="22"/>
        <v>0</v>
      </c>
      <c r="AD660" s="298">
        <v>0</v>
      </c>
      <c r="AE660" s="298">
        <f t="shared" si="23"/>
        <v>0</v>
      </c>
      <c r="AF660" s="299"/>
      <c r="AG660" s="300"/>
      <c r="AH660" s="299"/>
      <c r="AI660" s="299"/>
      <c r="AJ660" s="300"/>
      <c r="AK660" s="299"/>
      <c r="AL660" s="301"/>
      <c r="AM660" s="314"/>
      <c r="AN660" s="301"/>
      <c r="AO660" s="302"/>
      <c r="AP660" s="301"/>
      <c r="AQ660" s="301"/>
      <c r="AR660" s="301"/>
      <c r="AS660" s="301"/>
      <c r="AT660" s="301"/>
      <c r="AU660" s="301"/>
      <c r="AV660" s="301"/>
      <c r="AW660" s="301"/>
      <c r="AX660" s="301"/>
      <c r="AY660" s="301"/>
      <c r="AZ660" s="301"/>
      <c r="BA660" s="301"/>
      <c r="BB660" s="301"/>
      <c r="BC660" s="301"/>
      <c r="BD660" s="301"/>
      <c r="BE660" s="301"/>
      <c r="BF660" s="301"/>
      <c r="BG660" s="303"/>
      <c r="BH660" s="304"/>
    </row>
    <row r="661" spans="1:60" s="305" customFormat="1" ht="16.5" hidden="1" customHeight="1" x14ac:dyDescent="0.4">
      <c r="A661" s="285">
        <v>638</v>
      </c>
      <c r="B661" s="286"/>
      <c r="C661" s="286"/>
      <c r="D661" s="287" t="s">
        <v>92</v>
      </c>
      <c r="E661" s="287" t="s">
        <v>138</v>
      </c>
      <c r="F661" s="288" t="s">
        <v>92</v>
      </c>
      <c r="G661" s="289" t="s">
        <v>732</v>
      </c>
      <c r="H661" s="307"/>
      <c r="I661" s="290"/>
      <c r="J661" s="291" t="s">
        <v>143</v>
      </c>
      <c r="K661" s="287"/>
      <c r="L661" s="287"/>
      <c r="M661" s="287">
        <v>1519</v>
      </c>
      <c r="N661" s="287" t="s">
        <v>32</v>
      </c>
      <c r="O661" s="287" t="s">
        <v>43</v>
      </c>
      <c r="P661" s="287" t="s">
        <v>44</v>
      </c>
      <c r="Q661" s="287"/>
      <c r="R661" s="287"/>
      <c r="S661" s="292" t="s">
        <v>752</v>
      </c>
      <c r="T661" s="293"/>
      <c r="U661" s="294"/>
      <c r="V661" s="294"/>
      <c r="W661" s="295">
        <v>500000</v>
      </c>
      <c r="X661" s="296"/>
      <c r="Y661" s="287"/>
      <c r="Z661" s="297" t="s">
        <v>656</v>
      </c>
      <c r="AA661" s="313"/>
      <c r="AB661" s="313"/>
      <c r="AC661" s="298">
        <f t="shared" si="22"/>
        <v>0</v>
      </c>
      <c r="AD661" s="298">
        <v>0</v>
      </c>
      <c r="AE661" s="298">
        <f t="shared" si="23"/>
        <v>0</v>
      </c>
      <c r="AF661" s="299"/>
      <c r="AG661" s="300"/>
      <c r="AH661" s="299"/>
      <c r="AI661" s="299"/>
      <c r="AJ661" s="300"/>
      <c r="AK661" s="299"/>
      <c r="AL661" s="301"/>
      <c r="AM661" s="314"/>
      <c r="AN661" s="301"/>
      <c r="AO661" s="302"/>
      <c r="AP661" s="301"/>
      <c r="AQ661" s="301"/>
      <c r="AR661" s="301"/>
      <c r="AS661" s="301"/>
      <c r="AT661" s="301"/>
      <c r="AU661" s="301"/>
      <c r="AV661" s="301"/>
      <c r="AW661" s="301"/>
      <c r="AX661" s="301"/>
      <c r="AY661" s="301"/>
      <c r="AZ661" s="301"/>
      <c r="BA661" s="301"/>
      <c r="BB661" s="301"/>
      <c r="BC661" s="301"/>
      <c r="BD661" s="301"/>
      <c r="BE661" s="301"/>
      <c r="BF661" s="301"/>
      <c r="BG661" s="303"/>
      <c r="BH661" s="304"/>
    </row>
    <row r="662" spans="1:60" s="305" customFormat="1" ht="16.5" hidden="1" customHeight="1" x14ac:dyDescent="0.4">
      <c r="A662" s="285">
        <v>639</v>
      </c>
      <c r="B662" s="286"/>
      <c r="C662" s="286"/>
      <c r="D662" s="287" t="s">
        <v>92</v>
      </c>
      <c r="E662" s="287" t="s">
        <v>193</v>
      </c>
      <c r="F662" s="288" t="s">
        <v>92</v>
      </c>
      <c r="G662" s="289" t="s">
        <v>732</v>
      </c>
      <c r="H662" s="307"/>
      <c r="I662" s="290"/>
      <c r="J662" s="291" t="s">
        <v>520</v>
      </c>
      <c r="K662" s="287"/>
      <c r="L662" s="287"/>
      <c r="M662" s="287">
        <v>6720</v>
      </c>
      <c r="N662" s="287" t="s">
        <v>32</v>
      </c>
      <c r="O662" s="287" t="s">
        <v>43</v>
      </c>
      <c r="P662" s="287" t="s">
        <v>44</v>
      </c>
      <c r="Q662" s="287" t="s">
        <v>49</v>
      </c>
      <c r="R662" s="287" t="s">
        <v>29</v>
      </c>
      <c r="S662" s="292" t="s">
        <v>29</v>
      </c>
      <c r="T662" s="293"/>
      <c r="U662" s="294">
        <v>199987610</v>
      </c>
      <c r="V662" s="294">
        <v>0</v>
      </c>
      <c r="W662" s="295">
        <v>210925950</v>
      </c>
      <c r="X662" s="296"/>
      <c r="Y662" s="287" t="s">
        <v>28</v>
      </c>
      <c r="Z662" s="297" t="s">
        <v>28</v>
      </c>
      <c r="AA662" s="313"/>
      <c r="AB662" s="313"/>
      <c r="AC662" s="298">
        <f t="shared" si="22"/>
        <v>280000000</v>
      </c>
      <c r="AD662" s="298">
        <v>280000000</v>
      </c>
      <c r="AE662" s="298">
        <f t="shared" si="23"/>
        <v>0</v>
      </c>
      <c r="AF662" s="299"/>
      <c r="AG662" s="300"/>
      <c r="AH662" s="299"/>
      <c r="AI662" s="299"/>
      <c r="AJ662" s="300"/>
      <c r="AK662" s="299"/>
      <c r="AL662" s="301"/>
      <c r="AM662" s="314"/>
      <c r="AN662" s="301"/>
      <c r="AO662" s="302"/>
      <c r="AP662" s="301"/>
      <c r="AQ662" s="301"/>
      <c r="AR662" s="301"/>
      <c r="AS662" s="301"/>
      <c r="AT662" s="301"/>
      <c r="AU662" s="301"/>
      <c r="AV662" s="301"/>
      <c r="AW662" s="301"/>
      <c r="AX662" s="301"/>
      <c r="AY662" s="301"/>
      <c r="AZ662" s="301"/>
      <c r="BA662" s="301"/>
      <c r="BB662" s="301"/>
      <c r="BC662" s="301"/>
      <c r="BD662" s="301"/>
      <c r="BE662" s="301">
        <v>280000000</v>
      </c>
      <c r="BF662" s="301"/>
      <c r="BG662" s="303"/>
      <c r="BH662" s="304"/>
    </row>
    <row r="663" spans="1:60" s="305" customFormat="1" ht="16.5" hidden="1" customHeight="1" x14ac:dyDescent="0.4">
      <c r="A663" s="285">
        <v>640</v>
      </c>
      <c r="B663" s="286"/>
      <c r="C663" s="286"/>
      <c r="D663" s="287" t="s">
        <v>92</v>
      </c>
      <c r="E663" s="287" t="s">
        <v>193</v>
      </c>
      <c r="F663" s="288" t="s">
        <v>92</v>
      </c>
      <c r="G663" s="289" t="s">
        <v>732</v>
      </c>
      <c r="H663" s="307"/>
      <c r="I663" s="290"/>
      <c r="J663" s="291" t="s">
        <v>520</v>
      </c>
      <c r="K663" s="287"/>
      <c r="L663" s="287"/>
      <c r="M663" s="287">
        <v>6720</v>
      </c>
      <c r="N663" s="287" t="s">
        <v>32</v>
      </c>
      <c r="O663" s="287" t="s">
        <v>33</v>
      </c>
      <c r="P663" s="287" t="s">
        <v>44</v>
      </c>
      <c r="Q663" s="287" t="s">
        <v>27</v>
      </c>
      <c r="R663" s="287" t="s">
        <v>340</v>
      </c>
      <c r="S663" s="292" t="s">
        <v>340</v>
      </c>
      <c r="T663" s="293"/>
      <c r="U663" s="294">
        <v>7118182</v>
      </c>
      <c r="V663" s="294">
        <v>1618182</v>
      </c>
      <c r="W663" s="295"/>
      <c r="X663" s="296"/>
      <c r="Y663" s="287" t="s">
        <v>25</v>
      </c>
      <c r="Z663" s="297" t="s">
        <v>25</v>
      </c>
      <c r="AA663" s="313"/>
      <c r="AB663" s="313"/>
      <c r="AC663" s="298">
        <f t="shared" si="22"/>
        <v>10000000</v>
      </c>
      <c r="AD663" s="298">
        <v>10000000</v>
      </c>
      <c r="AE663" s="298">
        <f t="shared" si="23"/>
        <v>0</v>
      </c>
      <c r="AF663" s="299"/>
      <c r="AG663" s="300"/>
      <c r="AH663" s="299"/>
      <c r="AI663" s="299"/>
      <c r="AJ663" s="300"/>
      <c r="AK663" s="299"/>
      <c r="AL663" s="301"/>
      <c r="AM663" s="314"/>
      <c r="AN663" s="301"/>
      <c r="AO663" s="302"/>
      <c r="AP663" s="301"/>
      <c r="AQ663" s="301"/>
      <c r="AR663" s="301"/>
      <c r="AS663" s="301"/>
      <c r="AT663" s="301"/>
      <c r="AU663" s="301"/>
      <c r="AV663" s="301"/>
      <c r="AW663" s="301"/>
      <c r="AX663" s="301"/>
      <c r="AY663" s="301"/>
      <c r="AZ663" s="301"/>
      <c r="BA663" s="301"/>
      <c r="BB663" s="301"/>
      <c r="BC663" s="301"/>
      <c r="BD663" s="301"/>
      <c r="BE663" s="301">
        <v>10000000</v>
      </c>
      <c r="BF663" s="301"/>
      <c r="BG663" s="303"/>
      <c r="BH663" s="304"/>
    </row>
    <row r="664" spans="1:60" s="305" customFormat="1" ht="16.5" hidden="1" customHeight="1" x14ac:dyDescent="0.4">
      <c r="A664" s="285">
        <v>641</v>
      </c>
      <c r="B664" s="286"/>
      <c r="C664" s="286"/>
      <c r="D664" s="287" t="s">
        <v>92</v>
      </c>
      <c r="E664" s="287" t="s">
        <v>138</v>
      </c>
      <c r="F664" s="288" t="s">
        <v>92</v>
      </c>
      <c r="G664" s="289" t="s">
        <v>732</v>
      </c>
      <c r="H664" s="307"/>
      <c r="I664" s="290"/>
      <c r="J664" s="291" t="s">
        <v>227</v>
      </c>
      <c r="K664" s="287"/>
      <c r="L664" s="287"/>
      <c r="M664" s="287">
        <v>1571</v>
      </c>
      <c r="N664" s="287" t="s">
        <v>23</v>
      </c>
      <c r="O664" s="287" t="s">
        <v>839</v>
      </c>
      <c r="P664" s="287" t="s">
        <v>93</v>
      </c>
      <c r="Q664" s="287" t="s">
        <v>49</v>
      </c>
      <c r="R664" s="287" t="s">
        <v>29</v>
      </c>
      <c r="S664" s="292" t="s">
        <v>29</v>
      </c>
      <c r="T664" s="293"/>
      <c r="U664" s="294">
        <v>253643000</v>
      </c>
      <c r="V664" s="294">
        <v>224154700</v>
      </c>
      <c r="W664" s="295"/>
      <c r="X664" s="296"/>
      <c r="Y664" s="287" t="s">
        <v>21</v>
      </c>
      <c r="Z664" s="297" t="s">
        <v>28</v>
      </c>
      <c r="AA664" s="313"/>
      <c r="AB664" s="313"/>
      <c r="AC664" s="298">
        <f t="shared" ref="AC664:AC727" si="24">AG664+AJ664+AM664+AO664+AQ664+AS664+AU664+AW664+AY664+BA664+BC664+BE664</f>
        <v>150000000</v>
      </c>
      <c r="AD664" s="298">
        <v>150000000</v>
      </c>
      <c r="AE664" s="298">
        <f t="shared" ref="AE664:AE727" si="25">AC664-AD664</f>
        <v>0</v>
      </c>
      <c r="AF664" s="299"/>
      <c r="AG664" s="300">
        <v>12140490</v>
      </c>
      <c r="AH664" s="299"/>
      <c r="AI664" s="299"/>
      <c r="AJ664" s="300"/>
      <c r="AK664" s="299"/>
      <c r="AL664" s="301">
        <v>13730270</v>
      </c>
      <c r="AM664" s="314">
        <v>28708300</v>
      </c>
      <c r="AN664" s="301" t="s">
        <v>842</v>
      </c>
      <c r="AO664" s="302"/>
      <c r="AP664" s="301"/>
      <c r="AQ664" s="301"/>
      <c r="AR664" s="301"/>
      <c r="AS664" s="301">
        <v>9151210</v>
      </c>
      <c r="AT664" s="301"/>
      <c r="AU664" s="301"/>
      <c r="AV664" s="301"/>
      <c r="AW664" s="301"/>
      <c r="AX664" s="301"/>
      <c r="AY664" s="301">
        <v>50000000</v>
      </c>
      <c r="AZ664" s="301"/>
      <c r="BA664" s="301"/>
      <c r="BB664" s="301"/>
      <c r="BC664" s="301"/>
      <c r="BD664" s="301"/>
      <c r="BE664" s="301">
        <v>50000000</v>
      </c>
      <c r="BF664" s="301"/>
      <c r="BG664" s="303"/>
      <c r="BH664" s="304"/>
    </row>
    <row r="665" spans="1:60" s="305" customFormat="1" ht="16.5" hidden="1" customHeight="1" x14ac:dyDescent="0.4">
      <c r="A665" s="285">
        <v>642</v>
      </c>
      <c r="B665" s="286"/>
      <c r="C665" s="286"/>
      <c r="D665" s="287" t="s">
        <v>92</v>
      </c>
      <c r="E665" s="287" t="s">
        <v>138</v>
      </c>
      <c r="F665" s="288" t="s">
        <v>92</v>
      </c>
      <c r="G665" s="289" t="s">
        <v>732</v>
      </c>
      <c r="H665" s="307"/>
      <c r="I665" s="290"/>
      <c r="J665" s="291" t="s">
        <v>227</v>
      </c>
      <c r="K665" s="287"/>
      <c r="L665" s="287"/>
      <c r="M665" s="287">
        <v>1571</v>
      </c>
      <c r="N665" s="287" t="s">
        <v>23</v>
      </c>
      <c r="O665" s="287" t="s">
        <v>33</v>
      </c>
      <c r="P665" s="287" t="s">
        <v>93</v>
      </c>
      <c r="Q665" s="287" t="s">
        <v>30</v>
      </c>
      <c r="R665" s="287" t="s">
        <v>31</v>
      </c>
      <c r="S665" s="292" t="s">
        <v>31</v>
      </c>
      <c r="T665" s="293"/>
      <c r="U665" s="294">
        <v>58000000</v>
      </c>
      <c r="V665" s="294">
        <v>0</v>
      </c>
      <c r="W665" s="295"/>
      <c r="X665" s="296"/>
      <c r="Y665" s="287" t="s">
        <v>544</v>
      </c>
      <c r="Z665" s="297" t="s">
        <v>618</v>
      </c>
      <c r="AA665" s="313"/>
      <c r="AB665" s="313"/>
      <c r="AC665" s="298">
        <f t="shared" si="24"/>
        <v>20000000</v>
      </c>
      <c r="AD665" s="298">
        <v>20000000</v>
      </c>
      <c r="AE665" s="298">
        <f t="shared" si="25"/>
        <v>0</v>
      </c>
      <c r="AF665" s="299"/>
      <c r="AG665" s="300"/>
      <c r="AH665" s="299"/>
      <c r="AI665" s="299"/>
      <c r="AJ665" s="300"/>
      <c r="AK665" s="299"/>
      <c r="AL665" s="301"/>
      <c r="AM665" s="314"/>
      <c r="AN665" s="301"/>
      <c r="AO665" s="302"/>
      <c r="AP665" s="301"/>
      <c r="AQ665" s="301"/>
      <c r="AR665" s="301"/>
      <c r="AS665" s="301"/>
      <c r="AT665" s="301"/>
      <c r="AU665" s="301"/>
      <c r="AV665" s="301"/>
      <c r="AW665" s="301"/>
      <c r="AX665" s="301"/>
      <c r="AY665" s="301"/>
      <c r="AZ665" s="301"/>
      <c r="BA665" s="301"/>
      <c r="BB665" s="301"/>
      <c r="BC665" s="301"/>
      <c r="BD665" s="301"/>
      <c r="BE665" s="301">
        <v>20000000</v>
      </c>
      <c r="BF665" s="301"/>
      <c r="BG665" s="303"/>
      <c r="BH665" s="304"/>
    </row>
    <row r="666" spans="1:60" s="305" customFormat="1" ht="16.5" hidden="1" customHeight="1" x14ac:dyDescent="0.4">
      <c r="A666" s="285">
        <v>643</v>
      </c>
      <c r="B666" s="286"/>
      <c r="C666" s="286"/>
      <c r="D666" s="287" t="s">
        <v>92</v>
      </c>
      <c r="E666" s="287" t="s">
        <v>138</v>
      </c>
      <c r="F666" s="288" t="s">
        <v>92</v>
      </c>
      <c r="G666" s="289" t="s">
        <v>732</v>
      </c>
      <c r="H666" s="307"/>
      <c r="I666" s="290"/>
      <c r="J666" s="291" t="s">
        <v>227</v>
      </c>
      <c r="K666" s="287"/>
      <c r="L666" s="287"/>
      <c r="M666" s="287">
        <v>1571</v>
      </c>
      <c r="N666" s="287" t="s">
        <v>23</v>
      </c>
      <c r="O666" s="287" t="s">
        <v>33</v>
      </c>
      <c r="P666" s="287" t="s">
        <v>93</v>
      </c>
      <c r="Q666" s="287" t="s">
        <v>47</v>
      </c>
      <c r="R666" s="287" t="s">
        <v>340</v>
      </c>
      <c r="S666" s="292" t="s">
        <v>340</v>
      </c>
      <c r="T666" s="293"/>
      <c r="U666" s="294"/>
      <c r="V666" s="294">
        <v>5730000</v>
      </c>
      <c r="W666" s="295"/>
      <c r="X666" s="296"/>
      <c r="Y666" s="287" t="s">
        <v>21</v>
      </c>
      <c r="Z666" s="297" t="s">
        <v>26</v>
      </c>
      <c r="AA666" s="313"/>
      <c r="AB666" s="313"/>
      <c r="AC666" s="298">
        <f t="shared" si="24"/>
        <v>10000000</v>
      </c>
      <c r="AD666" s="298">
        <v>10000000</v>
      </c>
      <c r="AE666" s="298">
        <f t="shared" si="25"/>
        <v>0</v>
      </c>
      <c r="AF666" s="299"/>
      <c r="AG666" s="300"/>
      <c r="AH666" s="299"/>
      <c r="AI666" s="299"/>
      <c r="AJ666" s="300"/>
      <c r="AK666" s="299"/>
      <c r="AL666" s="301"/>
      <c r="AM666" s="314"/>
      <c r="AN666" s="301"/>
      <c r="AO666" s="302"/>
      <c r="AP666" s="301"/>
      <c r="AQ666" s="301"/>
      <c r="AR666" s="301"/>
      <c r="AS666" s="301">
        <v>5000000</v>
      </c>
      <c r="AT666" s="301"/>
      <c r="AU666" s="301"/>
      <c r="AV666" s="301"/>
      <c r="AW666" s="301"/>
      <c r="AX666" s="301"/>
      <c r="AY666" s="301"/>
      <c r="AZ666" s="301"/>
      <c r="BA666" s="301"/>
      <c r="BB666" s="301"/>
      <c r="BC666" s="301"/>
      <c r="BD666" s="301"/>
      <c r="BE666" s="301">
        <v>5000000</v>
      </c>
      <c r="BF666" s="301"/>
      <c r="BG666" s="303"/>
      <c r="BH666" s="304"/>
    </row>
    <row r="667" spans="1:60" s="305" customFormat="1" ht="16.5" hidden="1" customHeight="1" x14ac:dyDescent="0.4">
      <c r="A667" s="285">
        <v>644</v>
      </c>
      <c r="B667" s="286"/>
      <c r="C667" s="286"/>
      <c r="D667" s="287" t="s">
        <v>92</v>
      </c>
      <c r="E667" s="287" t="s">
        <v>138</v>
      </c>
      <c r="F667" s="288" t="s">
        <v>92</v>
      </c>
      <c r="G667" s="289" t="s">
        <v>732</v>
      </c>
      <c r="H667" s="307"/>
      <c r="I667" s="290"/>
      <c r="J667" s="291" t="s">
        <v>227</v>
      </c>
      <c r="K667" s="287"/>
      <c r="L667" s="287"/>
      <c r="M667" s="287">
        <v>1571</v>
      </c>
      <c r="N667" s="287" t="s">
        <v>23</v>
      </c>
      <c r="O667" s="287" t="s">
        <v>33</v>
      </c>
      <c r="P667" s="287" t="s">
        <v>93</v>
      </c>
      <c r="Q667" s="287" t="s">
        <v>27</v>
      </c>
      <c r="R667" s="287" t="s">
        <v>340</v>
      </c>
      <c r="S667" s="292" t="s">
        <v>340</v>
      </c>
      <c r="T667" s="293"/>
      <c r="U667" s="294">
        <v>500000</v>
      </c>
      <c r="V667" s="294">
        <v>800000</v>
      </c>
      <c r="W667" s="295"/>
      <c r="X667" s="296"/>
      <c r="Y667" s="287" t="s">
        <v>22</v>
      </c>
      <c r="Z667" s="297" t="s">
        <v>618</v>
      </c>
      <c r="AA667" s="313"/>
      <c r="AB667" s="313"/>
      <c r="AC667" s="298">
        <f t="shared" si="24"/>
        <v>0</v>
      </c>
      <c r="AD667" s="298">
        <v>0</v>
      </c>
      <c r="AE667" s="298">
        <f t="shared" si="25"/>
        <v>0</v>
      </c>
      <c r="AF667" s="299"/>
      <c r="AG667" s="300"/>
      <c r="AH667" s="299"/>
      <c r="AI667" s="299"/>
      <c r="AJ667" s="300"/>
      <c r="AK667" s="299"/>
      <c r="AL667" s="301"/>
      <c r="AM667" s="314"/>
      <c r="AN667" s="301"/>
      <c r="AO667" s="302"/>
      <c r="AP667" s="301"/>
      <c r="AQ667" s="301"/>
      <c r="AR667" s="301"/>
      <c r="AS667" s="301"/>
      <c r="AT667" s="301"/>
      <c r="AU667" s="301"/>
      <c r="AV667" s="301"/>
      <c r="AW667" s="301"/>
      <c r="AX667" s="301"/>
      <c r="AY667" s="301"/>
      <c r="AZ667" s="301"/>
      <c r="BA667" s="301"/>
      <c r="BB667" s="301"/>
      <c r="BC667" s="301"/>
      <c r="BD667" s="301"/>
      <c r="BE667" s="301"/>
      <c r="BF667" s="301"/>
      <c r="BG667" s="303"/>
      <c r="BH667" s="304"/>
    </row>
    <row r="668" spans="1:60" s="305" customFormat="1" ht="16.5" hidden="1" customHeight="1" x14ac:dyDescent="0.4">
      <c r="A668" s="285">
        <v>645</v>
      </c>
      <c r="B668" s="286"/>
      <c r="C668" s="286"/>
      <c r="D668" s="287" t="s">
        <v>92</v>
      </c>
      <c r="E668" s="287" t="s">
        <v>138</v>
      </c>
      <c r="F668" s="288" t="s">
        <v>92</v>
      </c>
      <c r="G668" s="289" t="s">
        <v>732</v>
      </c>
      <c r="H668" s="307"/>
      <c r="I668" s="290"/>
      <c r="J668" s="291" t="s">
        <v>436</v>
      </c>
      <c r="K668" s="287"/>
      <c r="L668" s="287"/>
      <c r="M668" s="287">
        <v>59197</v>
      </c>
      <c r="N668" s="287" t="s">
        <v>23</v>
      </c>
      <c r="O668" s="287" t="s">
        <v>43</v>
      </c>
      <c r="P668" s="287" t="s">
        <v>93</v>
      </c>
      <c r="Q668" s="287" t="s">
        <v>19</v>
      </c>
      <c r="R668" s="287" t="s">
        <v>20</v>
      </c>
      <c r="S668" s="292" t="s">
        <v>20</v>
      </c>
      <c r="T668" s="293"/>
      <c r="U668" s="294">
        <v>18181818</v>
      </c>
      <c r="V668" s="294">
        <v>20000000</v>
      </c>
      <c r="W668" s="295">
        <v>20000000</v>
      </c>
      <c r="X668" s="296"/>
      <c r="Y668" s="287" t="s">
        <v>25</v>
      </c>
      <c r="Z668" s="297" t="s">
        <v>25</v>
      </c>
      <c r="AA668" s="313"/>
      <c r="AB668" s="313"/>
      <c r="AC668" s="298">
        <f t="shared" si="24"/>
        <v>20000000</v>
      </c>
      <c r="AD668" s="298">
        <v>20000000</v>
      </c>
      <c r="AE668" s="298">
        <f t="shared" si="25"/>
        <v>0</v>
      </c>
      <c r="AF668" s="299"/>
      <c r="AG668" s="300"/>
      <c r="AH668" s="299"/>
      <c r="AI668" s="299"/>
      <c r="AJ668" s="300"/>
      <c r="AK668" s="299"/>
      <c r="AL668" s="301"/>
      <c r="AM668" s="314"/>
      <c r="AN668" s="301"/>
      <c r="AO668" s="302"/>
      <c r="AP668" s="301"/>
      <c r="AQ668" s="301"/>
      <c r="AR668" s="301"/>
      <c r="AS668" s="301"/>
      <c r="AT668" s="301"/>
      <c r="AU668" s="301"/>
      <c r="AV668" s="301"/>
      <c r="AW668" s="301"/>
      <c r="AX668" s="301"/>
      <c r="AY668" s="301"/>
      <c r="AZ668" s="301"/>
      <c r="BA668" s="301"/>
      <c r="BB668" s="301"/>
      <c r="BC668" s="301">
        <v>20000000</v>
      </c>
      <c r="BD668" s="301"/>
      <c r="BE668" s="301"/>
      <c r="BF668" s="301"/>
      <c r="BG668" s="303"/>
      <c r="BH668" s="304"/>
    </row>
    <row r="669" spans="1:60" s="305" customFormat="1" ht="16.5" hidden="1" customHeight="1" x14ac:dyDescent="0.4">
      <c r="A669" s="285">
        <v>646</v>
      </c>
      <c r="B669" s="286"/>
      <c r="C669" s="286"/>
      <c r="D669" s="287" t="s">
        <v>92</v>
      </c>
      <c r="E669" s="287" t="s">
        <v>138</v>
      </c>
      <c r="F669" s="288" t="s">
        <v>92</v>
      </c>
      <c r="G669" s="289" t="s">
        <v>732</v>
      </c>
      <c r="H669" s="307"/>
      <c r="I669" s="290"/>
      <c r="J669" s="291" t="s">
        <v>592</v>
      </c>
      <c r="K669" s="287"/>
      <c r="L669" s="287"/>
      <c r="M669" s="287">
        <v>61326</v>
      </c>
      <c r="N669" s="287" t="s">
        <v>23</v>
      </c>
      <c r="O669" s="287" t="s">
        <v>43</v>
      </c>
      <c r="P669" s="287" t="s">
        <v>93</v>
      </c>
      <c r="Q669" s="287"/>
      <c r="R669" s="287" t="s">
        <v>20</v>
      </c>
      <c r="S669" s="292" t="s">
        <v>20</v>
      </c>
      <c r="T669" s="293"/>
      <c r="U669" s="294"/>
      <c r="V669" s="294">
        <v>0</v>
      </c>
      <c r="W669" s="295">
        <v>11567500</v>
      </c>
      <c r="X669" s="296"/>
      <c r="Y669" s="287" t="s">
        <v>28</v>
      </c>
      <c r="Z669" s="297" t="s">
        <v>25</v>
      </c>
      <c r="AA669" s="313"/>
      <c r="AB669" s="313"/>
      <c r="AC669" s="298">
        <f t="shared" si="24"/>
        <v>10000000</v>
      </c>
      <c r="AD669" s="298">
        <v>10000000</v>
      </c>
      <c r="AE669" s="298">
        <f t="shared" si="25"/>
        <v>0</v>
      </c>
      <c r="AF669" s="299"/>
      <c r="AG669" s="300"/>
      <c r="AH669" s="299"/>
      <c r="AI669" s="299"/>
      <c r="AJ669" s="300"/>
      <c r="AK669" s="299"/>
      <c r="AL669" s="301"/>
      <c r="AM669" s="314"/>
      <c r="AN669" s="301"/>
      <c r="AO669" s="302"/>
      <c r="AP669" s="301"/>
      <c r="AQ669" s="301"/>
      <c r="AR669" s="301"/>
      <c r="AS669" s="301">
        <v>5000000</v>
      </c>
      <c r="AT669" s="301"/>
      <c r="AU669" s="301"/>
      <c r="AV669" s="301"/>
      <c r="AW669" s="301"/>
      <c r="AX669" s="301"/>
      <c r="AY669" s="301"/>
      <c r="AZ669" s="301"/>
      <c r="BA669" s="301"/>
      <c r="BB669" s="301"/>
      <c r="BC669" s="301"/>
      <c r="BD669" s="301"/>
      <c r="BE669" s="301">
        <v>5000000</v>
      </c>
      <c r="BF669" s="301"/>
      <c r="BG669" s="303"/>
      <c r="BH669" s="304"/>
    </row>
    <row r="670" spans="1:60" s="305" customFormat="1" ht="16.5" hidden="1" customHeight="1" x14ac:dyDescent="0.4">
      <c r="A670" s="285">
        <v>647</v>
      </c>
      <c r="B670" s="286"/>
      <c r="C670" s="286"/>
      <c r="D670" s="287" t="s">
        <v>92</v>
      </c>
      <c r="E670" s="287" t="s">
        <v>138</v>
      </c>
      <c r="F670" s="288" t="s">
        <v>92</v>
      </c>
      <c r="G670" s="289" t="s">
        <v>732</v>
      </c>
      <c r="H670" s="307"/>
      <c r="I670" s="290"/>
      <c r="J670" s="291" t="s">
        <v>662</v>
      </c>
      <c r="K670" s="287"/>
      <c r="L670" s="287"/>
      <c r="M670" s="287">
        <v>1571</v>
      </c>
      <c r="N670" s="287" t="s">
        <v>23</v>
      </c>
      <c r="O670" s="287" t="s">
        <v>33</v>
      </c>
      <c r="P670" s="287" t="s">
        <v>93</v>
      </c>
      <c r="Q670" s="287"/>
      <c r="R670" s="287" t="s">
        <v>20</v>
      </c>
      <c r="S670" s="292" t="s">
        <v>20</v>
      </c>
      <c r="T670" s="293"/>
      <c r="U670" s="294"/>
      <c r="V670" s="294">
        <v>0</v>
      </c>
      <c r="W670" s="295"/>
      <c r="X670" s="296"/>
      <c r="Y670" s="287" t="s">
        <v>26</v>
      </c>
      <c r="Z670" s="297" t="s">
        <v>26</v>
      </c>
      <c r="AA670" s="313"/>
      <c r="AB670" s="313"/>
      <c r="AC670" s="298">
        <f t="shared" si="24"/>
        <v>600000000</v>
      </c>
      <c r="AD670" s="298">
        <v>600000000</v>
      </c>
      <c r="AE670" s="298">
        <f t="shared" si="25"/>
        <v>0</v>
      </c>
      <c r="AF670" s="299"/>
      <c r="AG670" s="300"/>
      <c r="AH670" s="299"/>
      <c r="AI670" s="299"/>
      <c r="AJ670" s="300"/>
      <c r="AK670" s="299"/>
      <c r="AL670" s="301"/>
      <c r="AM670" s="314"/>
      <c r="AN670" s="301"/>
      <c r="AO670" s="302"/>
      <c r="AP670" s="301"/>
      <c r="AQ670" s="301"/>
      <c r="AR670" s="301"/>
      <c r="AS670" s="301">
        <v>300000000</v>
      </c>
      <c r="AT670" s="301"/>
      <c r="AU670" s="301"/>
      <c r="AV670" s="301"/>
      <c r="AW670" s="301"/>
      <c r="AX670" s="301"/>
      <c r="AY670" s="301"/>
      <c r="AZ670" s="301"/>
      <c r="BA670" s="301"/>
      <c r="BB670" s="301"/>
      <c r="BC670" s="301"/>
      <c r="BD670" s="301"/>
      <c r="BE670" s="301">
        <v>300000000</v>
      </c>
      <c r="BF670" s="301"/>
      <c r="BG670" s="303"/>
      <c r="BH670" s="304"/>
    </row>
    <row r="671" spans="1:60" s="305" customFormat="1" ht="16.5" hidden="1" customHeight="1" x14ac:dyDescent="0.4">
      <c r="A671" s="285">
        <v>648</v>
      </c>
      <c r="B671" s="286"/>
      <c r="C671" s="286"/>
      <c r="D671" s="287" t="s">
        <v>92</v>
      </c>
      <c r="E671" s="287" t="s">
        <v>196</v>
      </c>
      <c r="F671" s="288" t="s">
        <v>92</v>
      </c>
      <c r="G671" s="289" t="s">
        <v>732</v>
      </c>
      <c r="H671" s="307"/>
      <c r="I671" s="290"/>
      <c r="J671" s="291" t="s">
        <v>207</v>
      </c>
      <c r="K671" s="287"/>
      <c r="L671" s="287"/>
      <c r="M671" s="287">
        <v>47573</v>
      </c>
      <c r="N671" s="287" t="s">
        <v>23</v>
      </c>
      <c r="O671" s="287" t="s">
        <v>33</v>
      </c>
      <c r="P671" s="287" t="s">
        <v>98</v>
      </c>
      <c r="Q671" s="287" t="s">
        <v>30</v>
      </c>
      <c r="R671" s="287" t="s">
        <v>31</v>
      </c>
      <c r="S671" s="292" t="s">
        <v>20</v>
      </c>
      <c r="T671" s="293"/>
      <c r="U671" s="294"/>
      <c r="V671" s="294">
        <v>7960000</v>
      </c>
      <c r="W671" s="295"/>
      <c r="X671" s="296"/>
      <c r="Y671" s="287" t="s">
        <v>28</v>
      </c>
      <c r="Z671" s="297" t="s">
        <v>28</v>
      </c>
      <c r="AA671" s="313"/>
      <c r="AB671" s="313"/>
      <c r="AC671" s="298">
        <f t="shared" si="24"/>
        <v>50000</v>
      </c>
      <c r="AD671" s="298">
        <v>50000</v>
      </c>
      <c r="AE671" s="298">
        <f t="shared" si="25"/>
        <v>0</v>
      </c>
      <c r="AF671" s="299"/>
      <c r="AG671" s="300">
        <v>50000</v>
      </c>
      <c r="AH671" s="299"/>
      <c r="AI671" s="299"/>
      <c r="AJ671" s="300"/>
      <c r="AK671" s="299"/>
      <c r="AL671" s="301"/>
      <c r="AM671" s="314"/>
      <c r="AN671" s="301"/>
      <c r="AO671" s="302"/>
      <c r="AP671" s="301"/>
      <c r="AQ671" s="301"/>
      <c r="AR671" s="301"/>
      <c r="AS671" s="301"/>
      <c r="AT671" s="301"/>
      <c r="AU671" s="301"/>
      <c r="AV671" s="301"/>
      <c r="AW671" s="301"/>
      <c r="AX671" s="301"/>
      <c r="AY671" s="301"/>
      <c r="AZ671" s="301"/>
      <c r="BA671" s="301"/>
      <c r="BB671" s="301"/>
      <c r="BC671" s="301"/>
      <c r="BD671" s="301"/>
      <c r="BE671" s="301"/>
      <c r="BF671" s="301"/>
      <c r="BG671" s="303"/>
      <c r="BH671" s="304"/>
    </row>
    <row r="672" spans="1:60" s="305" customFormat="1" ht="16.5" hidden="1" customHeight="1" x14ac:dyDescent="0.4">
      <c r="A672" s="285">
        <v>649</v>
      </c>
      <c r="B672" s="286"/>
      <c r="C672" s="286"/>
      <c r="D672" s="287" t="s">
        <v>92</v>
      </c>
      <c r="E672" s="287" t="s">
        <v>196</v>
      </c>
      <c r="F672" s="288" t="s">
        <v>92</v>
      </c>
      <c r="G672" s="289" t="s">
        <v>732</v>
      </c>
      <c r="H672" s="307"/>
      <c r="I672" s="290"/>
      <c r="J672" s="291" t="s">
        <v>207</v>
      </c>
      <c r="K672" s="287"/>
      <c r="L672" s="287"/>
      <c r="M672" s="287">
        <v>47573</v>
      </c>
      <c r="N672" s="287" t="s">
        <v>23</v>
      </c>
      <c r="O672" s="287" t="s">
        <v>43</v>
      </c>
      <c r="P672" s="287" t="s">
        <v>98</v>
      </c>
      <c r="Q672" s="287" t="s">
        <v>30</v>
      </c>
      <c r="R672" s="287" t="s">
        <v>31</v>
      </c>
      <c r="S672" s="292" t="s">
        <v>31</v>
      </c>
      <c r="T672" s="293"/>
      <c r="U672" s="294"/>
      <c r="V672" s="294">
        <v>7960000</v>
      </c>
      <c r="W672" s="295">
        <v>23200000</v>
      </c>
      <c r="X672" s="296"/>
      <c r="Y672" s="287" t="s">
        <v>28</v>
      </c>
      <c r="Z672" s="297" t="s">
        <v>25</v>
      </c>
      <c r="AA672" s="313"/>
      <c r="AB672" s="313"/>
      <c r="AC672" s="298">
        <f t="shared" si="24"/>
        <v>15000000</v>
      </c>
      <c r="AD672" s="298">
        <v>15000000</v>
      </c>
      <c r="AE672" s="298">
        <f t="shared" si="25"/>
        <v>0</v>
      </c>
      <c r="AF672" s="299"/>
      <c r="AG672" s="300"/>
      <c r="AH672" s="299"/>
      <c r="AI672" s="299"/>
      <c r="AJ672" s="300"/>
      <c r="AK672" s="299"/>
      <c r="AL672" s="301"/>
      <c r="AM672" s="314"/>
      <c r="AN672" s="301"/>
      <c r="AO672" s="302"/>
      <c r="AP672" s="301"/>
      <c r="AQ672" s="301"/>
      <c r="AR672" s="301"/>
      <c r="AS672" s="301">
        <v>7500000</v>
      </c>
      <c r="AT672" s="301"/>
      <c r="AU672" s="301"/>
      <c r="AV672" s="301"/>
      <c r="AW672" s="301"/>
      <c r="AX672" s="301"/>
      <c r="AY672" s="301"/>
      <c r="AZ672" s="301"/>
      <c r="BA672" s="301"/>
      <c r="BB672" s="301"/>
      <c r="BC672" s="301"/>
      <c r="BD672" s="301"/>
      <c r="BE672" s="301">
        <v>7500000</v>
      </c>
      <c r="BF672" s="301"/>
      <c r="BG672" s="303"/>
      <c r="BH672" s="304"/>
    </row>
    <row r="673" spans="1:60" s="305" customFormat="1" ht="16.5" hidden="1" customHeight="1" x14ac:dyDescent="0.4">
      <c r="A673" s="285">
        <v>650</v>
      </c>
      <c r="B673" s="286"/>
      <c r="C673" s="286"/>
      <c r="D673" s="287" t="s">
        <v>92</v>
      </c>
      <c r="E673" s="287" t="s">
        <v>196</v>
      </c>
      <c r="F673" s="288" t="s">
        <v>92</v>
      </c>
      <c r="G673" s="289" t="s">
        <v>732</v>
      </c>
      <c r="H673" s="307"/>
      <c r="I673" s="290"/>
      <c r="J673" s="291" t="s">
        <v>207</v>
      </c>
      <c r="K673" s="287"/>
      <c r="L673" s="287"/>
      <c r="M673" s="287">
        <v>47573</v>
      </c>
      <c r="N673" s="287" t="s">
        <v>23</v>
      </c>
      <c r="O673" s="287" t="s">
        <v>33</v>
      </c>
      <c r="P673" s="287" t="s">
        <v>98</v>
      </c>
      <c r="Q673" s="287" t="s">
        <v>24</v>
      </c>
      <c r="R673" s="287" t="s">
        <v>221</v>
      </c>
      <c r="S673" s="292" t="s">
        <v>745</v>
      </c>
      <c r="T673" s="293"/>
      <c r="U673" s="294"/>
      <c r="V673" s="294">
        <v>15000000</v>
      </c>
      <c r="W673" s="295"/>
      <c r="X673" s="296"/>
      <c r="Y673" s="287" t="s">
        <v>25</v>
      </c>
      <c r="Z673" s="297" t="s">
        <v>26</v>
      </c>
      <c r="AA673" s="313"/>
      <c r="AB673" s="313"/>
      <c r="AC673" s="298">
        <f t="shared" si="24"/>
        <v>15000000</v>
      </c>
      <c r="AD673" s="298">
        <v>15000000</v>
      </c>
      <c r="AE673" s="298">
        <f t="shared" si="25"/>
        <v>0</v>
      </c>
      <c r="AF673" s="299"/>
      <c r="AG673" s="300"/>
      <c r="AH673" s="299"/>
      <c r="AI673" s="299"/>
      <c r="AJ673" s="300"/>
      <c r="AK673" s="299"/>
      <c r="AL673" s="301"/>
      <c r="AM673" s="314"/>
      <c r="AN673" s="301"/>
      <c r="AO673" s="302"/>
      <c r="AP673" s="301"/>
      <c r="AQ673" s="301"/>
      <c r="AR673" s="301"/>
      <c r="AS673" s="301">
        <v>15000000</v>
      </c>
      <c r="AT673" s="301"/>
      <c r="AU673" s="301"/>
      <c r="AV673" s="301"/>
      <c r="AW673" s="301"/>
      <c r="AX673" s="301"/>
      <c r="AY673" s="301"/>
      <c r="AZ673" s="301"/>
      <c r="BA673" s="301"/>
      <c r="BB673" s="301"/>
      <c r="BC673" s="301"/>
      <c r="BD673" s="301"/>
      <c r="BE673" s="301"/>
      <c r="BF673" s="301"/>
      <c r="BG673" s="303"/>
      <c r="BH673" s="304"/>
    </row>
    <row r="674" spans="1:60" s="305" customFormat="1" ht="16.5" hidden="1" customHeight="1" x14ac:dyDescent="0.4">
      <c r="A674" s="285">
        <v>651</v>
      </c>
      <c r="B674" s="286"/>
      <c r="C674" s="286"/>
      <c r="D674" s="287" t="s">
        <v>92</v>
      </c>
      <c r="E674" s="287" t="s">
        <v>196</v>
      </c>
      <c r="F674" s="288" t="s">
        <v>92</v>
      </c>
      <c r="G674" s="289" t="s">
        <v>732</v>
      </c>
      <c r="H674" s="307"/>
      <c r="I674" s="290"/>
      <c r="J674" s="291" t="s">
        <v>207</v>
      </c>
      <c r="K674" s="287"/>
      <c r="L674" s="287"/>
      <c r="M674" s="287">
        <v>47573</v>
      </c>
      <c r="N674" s="287" t="s">
        <v>23</v>
      </c>
      <c r="O674" s="287" t="s">
        <v>33</v>
      </c>
      <c r="P674" s="287" t="s">
        <v>98</v>
      </c>
      <c r="Q674" s="287" t="s">
        <v>41</v>
      </c>
      <c r="R674" s="287" t="s">
        <v>339</v>
      </c>
      <c r="S674" s="292" t="s">
        <v>746</v>
      </c>
      <c r="T674" s="293"/>
      <c r="U674" s="294" t="s">
        <v>97</v>
      </c>
      <c r="V674" s="294">
        <v>0</v>
      </c>
      <c r="W674" s="295"/>
      <c r="X674" s="296"/>
      <c r="Y674" s="287" t="s">
        <v>26</v>
      </c>
      <c r="Z674" s="297" t="s">
        <v>26</v>
      </c>
      <c r="AA674" s="313"/>
      <c r="AB674" s="313"/>
      <c r="AC674" s="298">
        <f t="shared" si="24"/>
        <v>200000000</v>
      </c>
      <c r="AD674" s="298">
        <v>200000000</v>
      </c>
      <c r="AE674" s="298">
        <f t="shared" si="25"/>
        <v>0</v>
      </c>
      <c r="AF674" s="299"/>
      <c r="AG674" s="300"/>
      <c r="AH674" s="299"/>
      <c r="AI674" s="299"/>
      <c r="AJ674" s="300"/>
      <c r="AK674" s="299"/>
      <c r="AL674" s="301"/>
      <c r="AM674" s="314"/>
      <c r="AN674" s="301"/>
      <c r="AO674" s="302"/>
      <c r="AP674" s="301"/>
      <c r="AQ674" s="301"/>
      <c r="AR674" s="301"/>
      <c r="AS674" s="301">
        <v>100000000</v>
      </c>
      <c r="AT674" s="301"/>
      <c r="AU674" s="301"/>
      <c r="AV674" s="301"/>
      <c r="AW674" s="301"/>
      <c r="AX674" s="301"/>
      <c r="AY674" s="301"/>
      <c r="AZ674" s="301"/>
      <c r="BA674" s="301"/>
      <c r="BB674" s="301"/>
      <c r="BC674" s="301"/>
      <c r="BD674" s="301"/>
      <c r="BE674" s="301">
        <v>100000000</v>
      </c>
      <c r="BF674" s="301"/>
      <c r="BG674" s="303"/>
      <c r="BH674" s="304"/>
    </row>
    <row r="675" spans="1:60" s="305" customFormat="1" ht="16.5" hidden="1" customHeight="1" x14ac:dyDescent="0.4">
      <c r="A675" s="285">
        <v>652</v>
      </c>
      <c r="B675" s="286"/>
      <c r="C675" s="286"/>
      <c r="D675" s="287" t="s">
        <v>92</v>
      </c>
      <c r="E675" s="287" t="s">
        <v>138</v>
      </c>
      <c r="F675" s="288" t="s">
        <v>92</v>
      </c>
      <c r="G675" s="289" t="s">
        <v>732</v>
      </c>
      <c r="H675" s="307"/>
      <c r="I675" s="290"/>
      <c r="J675" s="291" t="s">
        <v>323</v>
      </c>
      <c r="K675" s="287"/>
      <c r="L675" s="287"/>
      <c r="M675" s="287">
        <v>21794</v>
      </c>
      <c r="N675" s="287" t="s">
        <v>23</v>
      </c>
      <c r="O675" s="287" t="s">
        <v>43</v>
      </c>
      <c r="P675" s="287" t="s">
        <v>98</v>
      </c>
      <c r="Q675" s="287" t="s">
        <v>48</v>
      </c>
      <c r="R675" s="287" t="s">
        <v>563</v>
      </c>
      <c r="S675" s="292" t="s">
        <v>739</v>
      </c>
      <c r="T675" s="293"/>
      <c r="U675" s="294" t="s">
        <v>97</v>
      </c>
      <c r="V675" s="294">
        <v>8680000</v>
      </c>
      <c r="W675" s="295">
        <v>8680000</v>
      </c>
      <c r="X675" s="296"/>
      <c r="Y675" s="287" t="s">
        <v>28</v>
      </c>
      <c r="Z675" s="297" t="s">
        <v>25</v>
      </c>
      <c r="AA675" s="313"/>
      <c r="AB675" s="313"/>
      <c r="AC675" s="298">
        <f t="shared" si="24"/>
        <v>5000000</v>
      </c>
      <c r="AD675" s="298">
        <v>5000000</v>
      </c>
      <c r="AE675" s="298">
        <f t="shared" si="25"/>
        <v>0</v>
      </c>
      <c r="AF675" s="299"/>
      <c r="AG675" s="300"/>
      <c r="AH675" s="299"/>
      <c r="AI675" s="299"/>
      <c r="AJ675" s="300"/>
      <c r="AK675" s="299"/>
      <c r="AL675" s="301"/>
      <c r="AM675" s="314"/>
      <c r="AN675" s="301"/>
      <c r="AO675" s="302"/>
      <c r="AP675" s="301"/>
      <c r="AQ675" s="301"/>
      <c r="AR675" s="301"/>
      <c r="AS675" s="301"/>
      <c r="AT675" s="301"/>
      <c r="AU675" s="301"/>
      <c r="AV675" s="301"/>
      <c r="AW675" s="301"/>
      <c r="AX675" s="301"/>
      <c r="AY675" s="301"/>
      <c r="AZ675" s="301"/>
      <c r="BA675" s="301"/>
      <c r="BB675" s="301"/>
      <c r="BC675" s="301"/>
      <c r="BD675" s="301"/>
      <c r="BE675" s="301">
        <v>5000000</v>
      </c>
      <c r="BF675" s="301"/>
      <c r="BG675" s="303"/>
      <c r="BH675" s="304"/>
    </row>
    <row r="676" spans="1:60" s="305" customFormat="1" ht="16.5" hidden="1" customHeight="1" x14ac:dyDescent="0.4">
      <c r="A676" s="285">
        <v>653</v>
      </c>
      <c r="B676" s="286"/>
      <c r="C676" s="286"/>
      <c r="D676" s="287" t="s">
        <v>92</v>
      </c>
      <c r="E676" s="287" t="s">
        <v>102</v>
      </c>
      <c r="F676" s="288" t="s">
        <v>92</v>
      </c>
      <c r="G676" s="289" t="s">
        <v>732</v>
      </c>
      <c r="H676" s="307"/>
      <c r="I676" s="290"/>
      <c r="J676" s="291" t="s">
        <v>443</v>
      </c>
      <c r="K676" s="287"/>
      <c r="L676" s="287"/>
      <c r="M676" s="287">
        <v>1138</v>
      </c>
      <c r="N676" s="287" t="s">
        <v>23</v>
      </c>
      <c r="O676" s="287" t="s">
        <v>43</v>
      </c>
      <c r="P676" s="287" t="s">
        <v>98</v>
      </c>
      <c r="Q676" s="287" t="s">
        <v>30</v>
      </c>
      <c r="R676" s="287" t="s">
        <v>31</v>
      </c>
      <c r="S676" s="292" t="s">
        <v>31</v>
      </c>
      <c r="T676" s="293"/>
      <c r="U676" s="294">
        <v>165000</v>
      </c>
      <c r="V676" s="294">
        <v>387000</v>
      </c>
      <c r="W676" s="295">
        <v>444000</v>
      </c>
      <c r="X676" s="296"/>
      <c r="Y676" s="287" t="s">
        <v>28</v>
      </c>
      <c r="Z676" s="297" t="s">
        <v>25</v>
      </c>
      <c r="AA676" s="313"/>
      <c r="AB676" s="313"/>
      <c r="AC676" s="298">
        <f t="shared" si="24"/>
        <v>1000000</v>
      </c>
      <c r="AD676" s="298">
        <v>1000000</v>
      </c>
      <c r="AE676" s="298">
        <f t="shared" si="25"/>
        <v>0</v>
      </c>
      <c r="AF676" s="299"/>
      <c r="AG676" s="300"/>
      <c r="AH676" s="299"/>
      <c r="AI676" s="299"/>
      <c r="AJ676" s="300"/>
      <c r="AK676" s="299"/>
      <c r="AL676" s="301"/>
      <c r="AM676" s="314"/>
      <c r="AN676" s="301"/>
      <c r="AO676" s="302"/>
      <c r="AP676" s="301"/>
      <c r="AQ676" s="301"/>
      <c r="AR676" s="301"/>
      <c r="AS676" s="301"/>
      <c r="AT676" s="301"/>
      <c r="AU676" s="301"/>
      <c r="AV676" s="301"/>
      <c r="AW676" s="301"/>
      <c r="AX676" s="301"/>
      <c r="AY676" s="301"/>
      <c r="AZ676" s="301"/>
      <c r="BA676" s="301"/>
      <c r="BB676" s="301"/>
      <c r="BC676" s="301">
        <v>500000</v>
      </c>
      <c r="BD676" s="301"/>
      <c r="BE676" s="301">
        <v>500000</v>
      </c>
      <c r="BF676" s="301"/>
      <c r="BG676" s="303"/>
      <c r="BH676" s="304"/>
    </row>
    <row r="677" spans="1:60" s="305" customFormat="1" ht="16.5" hidden="1" customHeight="1" x14ac:dyDescent="0.4">
      <c r="A677" s="285">
        <v>654</v>
      </c>
      <c r="B677" s="286"/>
      <c r="C677" s="286"/>
      <c r="D677" s="287" t="s">
        <v>92</v>
      </c>
      <c r="E677" s="287" t="s">
        <v>102</v>
      </c>
      <c r="F677" s="288" t="s">
        <v>92</v>
      </c>
      <c r="G677" s="289" t="s">
        <v>732</v>
      </c>
      <c r="H677" s="307"/>
      <c r="I677" s="290"/>
      <c r="J677" s="291" t="s">
        <v>443</v>
      </c>
      <c r="K677" s="287"/>
      <c r="L677" s="287"/>
      <c r="M677" s="287">
        <v>1138</v>
      </c>
      <c r="N677" s="287" t="s">
        <v>23</v>
      </c>
      <c r="O677" s="287" t="s">
        <v>33</v>
      </c>
      <c r="P677" s="287" t="s">
        <v>98</v>
      </c>
      <c r="Q677" s="287" t="s">
        <v>27</v>
      </c>
      <c r="R677" s="287" t="s">
        <v>340</v>
      </c>
      <c r="S677" s="292" t="s">
        <v>340</v>
      </c>
      <c r="T677" s="293"/>
      <c r="U677" s="294"/>
      <c r="V677" s="294">
        <v>0</v>
      </c>
      <c r="W677" s="295"/>
      <c r="X677" s="296"/>
      <c r="Y677" s="287" t="s">
        <v>26</v>
      </c>
      <c r="Z677" s="297" t="s">
        <v>26</v>
      </c>
      <c r="AA677" s="313"/>
      <c r="AB677" s="313"/>
      <c r="AC677" s="298">
        <f t="shared" si="24"/>
        <v>2000000</v>
      </c>
      <c r="AD677" s="298">
        <v>2000000</v>
      </c>
      <c r="AE677" s="298">
        <f t="shared" si="25"/>
        <v>0</v>
      </c>
      <c r="AF677" s="299"/>
      <c r="AG677" s="300"/>
      <c r="AH677" s="299"/>
      <c r="AI677" s="299"/>
      <c r="AJ677" s="300"/>
      <c r="AK677" s="299"/>
      <c r="AL677" s="301"/>
      <c r="AM677" s="314"/>
      <c r="AN677" s="301"/>
      <c r="AO677" s="302"/>
      <c r="AP677" s="301"/>
      <c r="AQ677" s="316">
        <v>2000000</v>
      </c>
      <c r="AR677" s="301"/>
      <c r="AS677" s="301"/>
      <c r="AT677" s="301"/>
      <c r="AU677" s="301"/>
      <c r="AV677" s="301"/>
      <c r="AW677" s="301"/>
      <c r="AX677" s="301"/>
      <c r="AY677" s="301"/>
      <c r="AZ677" s="301"/>
      <c r="BA677" s="301"/>
      <c r="BB677" s="301"/>
      <c r="BC677" s="301"/>
      <c r="BD677" s="301"/>
      <c r="BE677" s="301"/>
      <c r="BF677" s="301"/>
      <c r="BG677" s="303"/>
      <c r="BH677" s="304"/>
    </row>
    <row r="678" spans="1:60" s="305" customFormat="1" ht="16.5" hidden="1" customHeight="1" x14ac:dyDescent="0.4">
      <c r="A678" s="285">
        <v>655</v>
      </c>
      <c r="B678" s="286"/>
      <c r="C678" s="286"/>
      <c r="D678" s="287" t="s">
        <v>92</v>
      </c>
      <c r="E678" s="287" t="s">
        <v>102</v>
      </c>
      <c r="F678" s="288" t="s">
        <v>92</v>
      </c>
      <c r="G678" s="289" t="s">
        <v>732</v>
      </c>
      <c r="H678" s="307"/>
      <c r="I678" s="290"/>
      <c r="J678" s="291" t="s">
        <v>443</v>
      </c>
      <c r="K678" s="287"/>
      <c r="L678" s="287"/>
      <c r="M678" s="287">
        <v>1138</v>
      </c>
      <c r="N678" s="287" t="s">
        <v>23</v>
      </c>
      <c r="O678" s="287" t="s">
        <v>33</v>
      </c>
      <c r="P678" s="287" t="s">
        <v>98</v>
      </c>
      <c r="Q678" s="287" t="s">
        <v>24</v>
      </c>
      <c r="R678" s="287" t="s">
        <v>221</v>
      </c>
      <c r="S678" s="292" t="s">
        <v>745</v>
      </c>
      <c r="T678" s="293"/>
      <c r="U678" s="294"/>
      <c r="V678" s="294">
        <v>0</v>
      </c>
      <c r="W678" s="295"/>
      <c r="X678" s="296"/>
      <c r="Y678" s="287" t="s">
        <v>26</v>
      </c>
      <c r="Z678" s="297" t="s">
        <v>26</v>
      </c>
      <c r="AA678" s="313"/>
      <c r="AB678" s="313"/>
      <c r="AC678" s="298">
        <f t="shared" si="24"/>
        <v>50000000</v>
      </c>
      <c r="AD678" s="298">
        <v>50000000</v>
      </c>
      <c r="AE678" s="298">
        <f t="shared" si="25"/>
        <v>0</v>
      </c>
      <c r="AF678" s="299"/>
      <c r="AG678" s="300"/>
      <c r="AH678" s="299"/>
      <c r="AI678" s="299"/>
      <c r="AJ678" s="300"/>
      <c r="AK678" s="299"/>
      <c r="AL678" s="301"/>
      <c r="AM678" s="314"/>
      <c r="AN678" s="301"/>
      <c r="AO678" s="302"/>
      <c r="AP678" s="301"/>
      <c r="AQ678" s="301"/>
      <c r="AR678" s="301"/>
      <c r="AS678" s="301"/>
      <c r="AT678" s="301"/>
      <c r="AU678" s="301"/>
      <c r="AV678" s="301"/>
      <c r="AW678" s="301"/>
      <c r="AX678" s="301"/>
      <c r="AY678" s="301">
        <v>50000000</v>
      </c>
      <c r="AZ678" s="301"/>
      <c r="BA678" s="301"/>
      <c r="BB678" s="301"/>
      <c r="BC678" s="301"/>
      <c r="BD678" s="301"/>
      <c r="BE678" s="301"/>
      <c r="BF678" s="301"/>
      <c r="BG678" s="303"/>
      <c r="BH678" s="304"/>
    </row>
    <row r="679" spans="1:60" s="305" customFormat="1" ht="16.5" hidden="1" customHeight="1" x14ac:dyDescent="0.4">
      <c r="A679" s="285">
        <v>656</v>
      </c>
      <c r="B679" s="286"/>
      <c r="C679" s="286"/>
      <c r="D679" s="287" t="s">
        <v>92</v>
      </c>
      <c r="E679" s="287" t="s">
        <v>102</v>
      </c>
      <c r="F679" s="288" t="s">
        <v>92</v>
      </c>
      <c r="G679" s="289" t="s">
        <v>732</v>
      </c>
      <c r="H679" s="307"/>
      <c r="I679" s="290"/>
      <c r="J679" s="291" t="s">
        <v>444</v>
      </c>
      <c r="K679" s="287"/>
      <c r="L679" s="287"/>
      <c r="M679" s="287">
        <v>22649</v>
      </c>
      <c r="N679" s="287" t="s">
        <v>23</v>
      </c>
      <c r="O679" s="287" t="s">
        <v>43</v>
      </c>
      <c r="P679" s="287" t="s">
        <v>98</v>
      </c>
      <c r="Q679" s="287" t="s">
        <v>46</v>
      </c>
      <c r="R679" s="287" t="s">
        <v>347</v>
      </c>
      <c r="S679" s="292" t="s">
        <v>750</v>
      </c>
      <c r="T679" s="293"/>
      <c r="U679" s="294">
        <v>3500000</v>
      </c>
      <c r="V679" s="294">
        <v>3500000</v>
      </c>
      <c r="W679" s="295">
        <v>3500000</v>
      </c>
      <c r="X679" s="296"/>
      <c r="Y679" s="287" t="s">
        <v>28</v>
      </c>
      <c r="Z679" s="297" t="s">
        <v>28</v>
      </c>
      <c r="AA679" s="313"/>
      <c r="AB679" s="313"/>
      <c r="AC679" s="298">
        <f t="shared" si="24"/>
        <v>3500000</v>
      </c>
      <c r="AD679" s="298">
        <v>3500000</v>
      </c>
      <c r="AE679" s="298">
        <f t="shared" si="25"/>
        <v>0</v>
      </c>
      <c r="AF679" s="299">
        <v>3500000</v>
      </c>
      <c r="AG679" s="300">
        <v>3500000</v>
      </c>
      <c r="AH679" s="299"/>
      <c r="AI679" s="299"/>
      <c r="AJ679" s="300"/>
      <c r="AK679" s="299"/>
      <c r="AL679" s="301"/>
      <c r="AM679" s="314"/>
      <c r="AN679" s="301"/>
      <c r="AO679" s="302"/>
      <c r="AP679" s="301"/>
      <c r="AQ679" s="301"/>
      <c r="AR679" s="301"/>
      <c r="AS679" s="301"/>
      <c r="AT679" s="301"/>
      <c r="AU679" s="301"/>
      <c r="AV679" s="301"/>
      <c r="AW679" s="301"/>
      <c r="AX679" s="301"/>
      <c r="AY679" s="301"/>
      <c r="AZ679" s="301"/>
      <c r="BA679" s="301"/>
      <c r="BB679" s="301"/>
      <c r="BC679" s="301"/>
      <c r="BD679" s="301"/>
      <c r="BE679" s="301"/>
      <c r="BF679" s="301"/>
      <c r="BG679" s="303"/>
      <c r="BH679" s="304"/>
    </row>
    <row r="680" spans="1:60" s="305" customFormat="1" ht="16.5" hidden="1" customHeight="1" x14ac:dyDescent="0.4">
      <c r="A680" s="285">
        <v>657</v>
      </c>
      <c r="B680" s="286"/>
      <c r="C680" s="286"/>
      <c r="D680" s="287" t="s">
        <v>92</v>
      </c>
      <c r="E680" s="287" t="s">
        <v>102</v>
      </c>
      <c r="F680" s="288" t="s">
        <v>92</v>
      </c>
      <c r="G680" s="289" t="s">
        <v>732</v>
      </c>
      <c r="H680" s="307"/>
      <c r="I680" s="290"/>
      <c r="J680" s="291" t="s">
        <v>216</v>
      </c>
      <c r="K680" s="287"/>
      <c r="L680" s="287"/>
      <c r="M680" s="287">
        <v>54832</v>
      </c>
      <c r="N680" s="287" t="s">
        <v>18</v>
      </c>
      <c r="O680" s="287" t="s">
        <v>33</v>
      </c>
      <c r="P680" s="287" t="s">
        <v>98</v>
      </c>
      <c r="Q680" s="287" t="s">
        <v>19</v>
      </c>
      <c r="R680" s="287" t="s">
        <v>20</v>
      </c>
      <c r="S680" s="292" t="s">
        <v>20</v>
      </c>
      <c r="T680" s="293"/>
      <c r="U680" s="294">
        <v>1833188</v>
      </c>
      <c r="V680" s="294">
        <v>0</v>
      </c>
      <c r="W680" s="295"/>
      <c r="X680" s="296"/>
      <c r="Y680" s="287" t="s">
        <v>22</v>
      </c>
      <c r="Z680" s="297" t="s">
        <v>544</v>
      </c>
      <c r="AA680" s="313"/>
      <c r="AB680" s="313"/>
      <c r="AC680" s="298">
        <f t="shared" si="24"/>
        <v>0</v>
      </c>
      <c r="AD680" s="298">
        <v>0</v>
      </c>
      <c r="AE680" s="298">
        <f t="shared" si="25"/>
        <v>0</v>
      </c>
      <c r="AF680" s="299"/>
      <c r="AG680" s="300"/>
      <c r="AH680" s="299"/>
      <c r="AI680" s="299"/>
      <c r="AJ680" s="300"/>
      <c r="AK680" s="299"/>
      <c r="AL680" s="301"/>
      <c r="AM680" s="314"/>
      <c r="AN680" s="301"/>
      <c r="AO680" s="302"/>
      <c r="AP680" s="301"/>
      <c r="AQ680" s="301"/>
      <c r="AR680" s="301"/>
      <c r="AS680" s="301"/>
      <c r="AT680" s="301"/>
      <c r="AU680" s="301"/>
      <c r="AV680" s="301"/>
      <c r="AW680" s="301"/>
      <c r="AX680" s="301"/>
      <c r="AY680" s="301"/>
      <c r="AZ680" s="301"/>
      <c r="BA680" s="301"/>
      <c r="BB680" s="301"/>
      <c r="BC680" s="301"/>
      <c r="BD680" s="301"/>
      <c r="BE680" s="301"/>
      <c r="BF680" s="301"/>
      <c r="BG680" s="303"/>
      <c r="BH680" s="304"/>
    </row>
    <row r="681" spans="1:60" s="305" customFormat="1" ht="16.5" hidden="1" customHeight="1" x14ac:dyDescent="0.4">
      <c r="A681" s="285">
        <v>658</v>
      </c>
      <c r="B681" s="286"/>
      <c r="C681" s="286"/>
      <c r="D681" s="287" t="s">
        <v>92</v>
      </c>
      <c r="E681" s="287" t="s">
        <v>102</v>
      </c>
      <c r="F681" s="288" t="s">
        <v>92</v>
      </c>
      <c r="G681" s="289" t="s">
        <v>732</v>
      </c>
      <c r="H681" s="307"/>
      <c r="I681" s="290"/>
      <c r="J681" s="291" t="s">
        <v>217</v>
      </c>
      <c r="K681" s="287"/>
      <c r="L681" s="287"/>
      <c r="M681" s="287">
        <v>6780</v>
      </c>
      <c r="N681" s="287" t="s">
        <v>23</v>
      </c>
      <c r="O681" s="287" t="s">
        <v>33</v>
      </c>
      <c r="P681" s="287" t="s">
        <v>98</v>
      </c>
      <c r="Q681" s="287" t="s">
        <v>49</v>
      </c>
      <c r="R681" s="287" t="s">
        <v>29</v>
      </c>
      <c r="S681" s="292" t="s">
        <v>29</v>
      </c>
      <c r="T681" s="293"/>
      <c r="U681" s="294">
        <v>168238192</v>
      </c>
      <c r="V681" s="294">
        <v>64807496</v>
      </c>
      <c r="W681" s="295"/>
      <c r="X681" s="296"/>
      <c r="Y681" s="287" t="s">
        <v>25</v>
      </c>
      <c r="Z681" s="297" t="s">
        <v>26</v>
      </c>
      <c r="AA681" s="313"/>
      <c r="AB681" s="313"/>
      <c r="AC681" s="298">
        <f t="shared" si="24"/>
        <v>70000000</v>
      </c>
      <c r="AD681" s="298">
        <v>70000000</v>
      </c>
      <c r="AE681" s="298">
        <f t="shared" si="25"/>
        <v>0</v>
      </c>
      <c r="AF681" s="299"/>
      <c r="AG681" s="300"/>
      <c r="AH681" s="299"/>
      <c r="AI681" s="299"/>
      <c r="AJ681" s="300"/>
      <c r="AK681" s="299"/>
      <c r="AL681" s="301"/>
      <c r="AM681" s="314"/>
      <c r="AN681" s="301"/>
      <c r="AO681" s="302"/>
      <c r="AP681" s="301"/>
      <c r="AQ681" s="316">
        <v>15000000</v>
      </c>
      <c r="AR681" s="301"/>
      <c r="AS681" s="301">
        <v>15000000</v>
      </c>
      <c r="AT681" s="301"/>
      <c r="AU681" s="301"/>
      <c r="AV681" s="301"/>
      <c r="AW681" s="301">
        <v>15000000</v>
      </c>
      <c r="AX681" s="301"/>
      <c r="AY681" s="301"/>
      <c r="AZ681" s="301"/>
      <c r="BA681" s="301"/>
      <c r="BB681" s="301"/>
      <c r="BC681" s="301">
        <v>25000000</v>
      </c>
      <c r="BD681" s="301"/>
      <c r="BE681" s="301"/>
      <c r="BF681" s="301"/>
      <c r="BG681" s="303"/>
      <c r="BH681" s="304"/>
    </row>
    <row r="682" spans="1:60" s="305" customFormat="1" ht="16.5" hidden="1" customHeight="1" x14ac:dyDescent="0.4">
      <c r="A682" s="285">
        <v>659</v>
      </c>
      <c r="B682" s="286"/>
      <c r="C682" s="286"/>
      <c r="D682" s="287" t="s">
        <v>92</v>
      </c>
      <c r="E682" s="287" t="s">
        <v>235</v>
      </c>
      <c r="F682" s="288" t="s">
        <v>92</v>
      </c>
      <c r="G682" s="289" t="s">
        <v>732</v>
      </c>
      <c r="H682" s="307"/>
      <c r="I682" s="290"/>
      <c r="J682" s="291" t="s">
        <v>242</v>
      </c>
      <c r="K682" s="287"/>
      <c r="L682" s="287"/>
      <c r="M682" s="287">
        <v>43670</v>
      </c>
      <c r="N682" s="287" t="s">
        <v>23</v>
      </c>
      <c r="O682" s="287" t="s">
        <v>33</v>
      </c>
      <c r="P682" s="287" t="s">
        <v>98</v>
      </c>
      <c r="Q682" s="287" t="s">
        <v>30</v>
      </c>
      <c r="R682" s="287" t="s">
        <v>31</v>
      </c>
      <c r="S682" s="292" t="s">
        <v>31</v>
      </c>
      <c r="T682" s="293"/>
      <c r="U682" s="294">
        <v>42195000</v>
      </c>
      <c r="V682" s="294">
        <v>36965000</v>
      </c>
      <c r="W682" s="295"/>
      <c r="X682" s="296"/>
      <c r="Y682" s="287" t="s">
        <v>56</v>
      </c>
      <c r="Z682" s="297" t="s">
        <v>618</v>
      </c>
      <c r="AA682" s="313"/>
      <c r="AB682" s="313"/>
      <c r="AC682" s="298">
        <f t="shared" si="24"/>
        <v>0</v>
      </c>
      <c r="AD682" s="298">
        <v>0</v>
      </c>
      <c r="AE682" s="298">
        <f t="shared" si="25"/>
        <v>0</v>
      </c>
      <c r="AF682" s="299"/>
      <c r="AG682" s="300"/>
      <c r="AH682" s="299"/>
      <c r="AI682" s="299"/>
      <c r="AJ682" s="300"/>
      <c r="AK682" s="299"/>
      <c r="AL682" s="301"/>
      <c r="AM682" s="314"/>
      <c r="AN682" s="301"/>
      <c r="AO682" s="302"/>
      <c r="AP682" s="301"/>
      <c r="AQ682" s="301"/>
      <c r="AR682" s="301"/>
      <c r="AS682" s="301"/>
      <c r="AT682" s="301"/>
      <c r="AU682" s="301"/>
      <c r="AV682" s="301"/>
      <c r="AW682" s="301"/>
      <c r="AX682" s="301"/>
      <c r="AY682" s="301"/>
      <c r="AZ682" s="301"/>
      <c r="BA682" s="301"/>
      <c r="BB682" s="301"/>
      <c r="BC682" s="301"/>
      <c r="BD682" s="301"/>
      <c r="BE682" s="301"/>
      <c r="BF682" s="301"/>
      <c r="BG682" s="303"/>
      <c r="BH682" s="304"/>
    </row>
    <row r="683" spans="1:60" s="305" customFormat="1" ht="16.5" hidden="1" customHeight="1" x14ac:dyDescent="0.4">
      <c r="A683" s="285">
        <v>660</v>
      </c>
      <c r="B683" s="286"/>
      <c r="C683" s="286"/>
      <c r="D683" s="287" t="s">
        <v>92</v>
      </c>
      <c r="E683" s="287" t="s">
        <v>235</v>
      </c>
      <c r="F683" s="288" t="s">
        <v>92</v>
      </c>
      <c r="G683" s="289" t="s">
        <v>732</v>
      </c>
      <c r="H683" s="307"/>
      <c r="I683" s="290"/>
      <c r="J683" s="291" t="s">
        <v>243</v>
      </c>
      <c r="K683" s="287"/>
      <c r="L683" s="287"/>
      <c r="M683" s="287">
        <v>24279</v>
      </c>
      <c r="N683" s="287" t="s">
        <v>23</v>
      </c>
      <c r="O683" s="287" t="s">
        <v>33</v>
      </c>
      <c r="P683" s="287" t="s">
        <v>98</v>
      </c>
      <c r="Q683" s="287" t="s">
        <v>36</v>
      </c>
      <c r="R683" s="287" t="s">
        <v>20</v>
      </c>
      <c r="S683" s="292" t="s">
        <v>20</v>
      </c>
      <c r="T683" s="293"/>
      <c r="U683" s="294" t="s">
        <v>97</v>
      </c>
      <c r="V683" s="294">
        <v>0</v>
      </c>
      <c r="W683" s="295"/>
      <c r="X683" s="296"/>
      <c r="Y683" s="287" t="s">
        <v>56</v>
      </c>
      <c r="Z683" s="297" t="s">
        <v>26</v>
      </c>
      <c r="AA683" s="313"/>
      <c r="AB683" s="313"/>
      <c r="AC683" s="298">
        <f t="shared" si="24"/>
        <v>20000000</v>
      </c>
      <c r="AD683" s="298">
        <v>20000000</v>
      </c>
      <c r="AE683" s="298">
        <f t="shared" si="25"/>
        <v>0</v>
      </c>
      <c r="AF683" s="299"/>
      <c r="AG683" s="300"/>
      <c r="AH683" s="299"/>
      <c r="AI683" s="299"/>
      <c r="AJ683" s="300"/>
      <c r="AK683" s="299"/>
      <c r="AL683" s="301"/>
      <c r="AM683" s="314"/>
      <c r="AN683" s="301"/>
      <c r="AO683" s="302"/>
      <c r="AP683" s="301"/>
      <c r="AQ683" s="301"/>
      <c r="AR683" s="301"/>
      <c r="AS683" s="301">
        <v>20000000</v>
      </c>
      <c r="AT683" s="301"/>
      <c r="AU683" s="301"/>
      <c r="AV683" s="301"/>
      <c r="AW683" s="301"/>
      <c r="AX683" s="301"/>
      <c r="AY683" s="301"/>
      <c r="AZ683" s="301"/>
      <c r="BA683" s="301"/>
      <c r="BB683" s="301"/>
      <c r="BC683" s="301"/>
      <c r="BD683" s="301"/>
      <c r="BE683" s="301"/>
      <c r="BF683" s="301"/>
      <c r="BG683" s="303"/>
      <c r="BH683" s="304"/>
    </row>
    <row r="684" spans="1:60" s="305" customFormat="1" ht="16.5" hidden="1" customHeight="1" x14ac:dyDescent="0.4">
      <c r="A684" s="285">
        <v>661</v>
      </c>
      <c r="B684" s="286"/>
      <c r="C684" s="286"/>
      <c r="D684" s="287" t="s">
        <v>92</v>
      </c>
      <c r="E684" s="287" t="s">
        <v>235</v>
      </c>
      <c r="F684" s="288" t="s">
        <v>92</v>
      </c>
      <c r="G684" s="289" t="s">
        <v>732</v>
      </c>
      <c r="H684" s="307"/>
      <c r="I684" s="290"/>
      <c r="J684" s="291" t="s">
        <v>243</v>
      </c>
      <c r="K684" s="287"/>
      <c r="L684" s="287"/>
      <c r="M684" s="287">
        <v>24279</v>
      </c>
      <c r="N684" s="287" t="s">
        <v>23</v>
      </c>
      <c r="O684" s="287" t="s">
        <v>43</v>
      </c>
      <c r="P684" s="287" t="s">
        <v>98</v>
      </c>
      <c r="Q684" s="287" t="s">
        <v>30</v>
      </c>
      <c r="R684" s="287" t="s">
        <v>31</v>
      </c>
      <c r="S684" s="292" t="s">
        <v>31</v>
      </c>
      <c r="T684" s="293"/>
      <c r="U684" s="294"/>
      <c r="V684" s="294"/>
      <c r="W684" s="295">
        <v>3350000</v>
      </c>
      <c r="X684" s="296"/>
      <c r="Y684" s="287" t="s">
        <v>28</v>
      </c>
      <c r="Z684" s="297" t="s">
        <v>25</v>
      </c>
      <c r="AA684" s="313"/>
      <c r="AB684" s="313"/>
      <c r="AC684" s="298">
        <f t="shared" si="24"/>
        <v>3500000</v>
      </c>
      <c r="AD684" s="298">
        <v>3500000</v>
      </c>
      <c r="AE684" s="298">
        <f t="shared" si="25"/>
        <v>0</v>
      </c>
      <c r="AF684" s="299"/>
      <c r="AG684" s="300"/>
      <c r="AH684" s="299"/>
      <c r="AI684" s="299"/>
      <c r="AJ684" s="300"/>
      <c r="AK684" s="299"/>
      <c r="AL684" s="301"/>
      <c r="AM684" s="314"/>
      <c r="AN684" s="301"/>
      <c r="AO684" s="302"/>
      <c r="AP684" s="301"/>
      <c r="AQ684" s="301"/>
      <c r="AR684" s="301"/>
      <c r="AS684" s="301"/>
      <c r="AT684" s="301"/>
      <c r="AU684" s="301"/>
      <c r="AV684" s="301"/>
      <c r="AW684" s="301">
        <v>3500000</v>
      </c>
      <c r="AX684" s="301"/>
      <c r="AY684" s="301"/>
      <c r="AZ684" s="301"/>
      <c r="BA684" s="301"/>
      <c r="BB684" s="301"/>
      <c r="BC684" s="301"/>
      <c r="BD684" s="301"/>
      <c r="BE684" s="301"/>
      <c r="BF684" s="301"/>
      <c r="BG684" s="303"/>
      <c r="BH684" s="304"/>
    </row>
    <row r="685" spans="1:60" s="305" customFormat="1" ht="16.5" hidden="1" customHeight="1" x14ac:dyDescent="0.4">
      <c r="A685" s="285">
        <v>662</v>
      </c>
      <c r="B685" s="286"/>
      <c r="C685" s="286"/>
      <c r="D685" s="287" t="s">
        <v>92</v>
      </c>
      <c r="E685" s="287" t="s">
        <v>235</v>
      </c>
      <c r="F685" s="288" t="s">
        <v>92</v>
      </c>
      <c r="G685" s="289" t="s">
        <v>732</v>
      </c>
      <c r="H685" s="307"/>
      <c r="I685" s="290"/>
      <c r="J685" s="291" t="s">
        <v>243</v>
      </c>
      <c r="K685" s="287"/>
      <c r="L685" s="287"/>
      <c r="M685" s="287">
        <v>24279</v>
      </c>
      <c r="N685" s="287" t="s">
        <v>23</v>
      </c>
      <c r="O685" s="287" t="s">
        <v>33</v>
      </c>
      <c r="P685" s="287" t="s">
        <v>98</v>
      </c>
      <c r="Q685" s="287" t="s">
        <v>27</v>
      </c>
      <c r="R685" s="287" t="s">
        <v>340</v>
      </c>
      <c r="S685" s="292" t="s">
        <v>340</v>
      </c>
      <c r="T685" s="293"/>
      <c r="U685" s="294"/>
      <c r="V685" s="294">
        <v>4705000</v>
      </c>
      <c r="W685" s="295"/>
      <c r="X685" s="296"/>
      <c r="Y685" s="287" t="s">
        <v>26</v>
      </c>
      <c r="Z685" s="297" t="s">
        <v>26</v>
      </c>
      <c r="AA685" s="313"/>
      <c r="AB685" s="313"/>
      <c r="AC685" s="298">
        <f t="shared" si="24"/>
        <v>5000000</v>
      </c>
      <c r="AD685" s="298">
        <v>5000000</v>
      </c>
      <c r="AE685" s="298">
        <f t="shared" si="25"/>
        <v>0</v>
      </c>
      <c r="AF685" s="299"/>
      <c r="AG685" s="300"/>
      <c r="AH685" s="299"/>
      <c r="AI685" s="299"/>
      <c r="AJ685" s="300"/>
      <c r="AK685" s="299"/>
      <c r="AL685" s="301"/>
      <c r="AM685" s="314"/>
      <c r="AN685" s="301"/>
      <c r="AO685" s="302"/>
      <c r="AP685" s="301"/>
      <c r="AQ685" s="301"/>
      <c r="AR685" s="301"/>
      <c r="AS685" s="301"/>
      <c r="AT685" s="301"/>
      <c r="AU685" s="301"/>
      <c r="AV685" s="301"/>
      <c r="AW685" s="301">
        <v>5000000</v>
      </c>
      <c r="AX685" s="301"/>
      <c r="AY685" s="301"/>
      <c r="AZ685" s="301"/>
      <c r="BA685" s="301"/>
      <c r="BB685" s="301"/>
      <c r="BC685" s="301"/>
      <c r="BD685" s="301"/>
      <c r="BE685" s="301"/>
      <c r="BF685" s="301"/>
      <c r="BG685" s="303"/>
      <c r="BH685" s="304"/>
    </row>
    <row r="686" spans="1:60" s="305" customFormat="1" ht="16.5" hidden="1" customHeight="1" x14ac:dyDescent="0.4">
      <c r="A686" s="285">
        <v>663</v>
      </c>
      <c r="B686" s="286"/>
      <c r="C686" s="286"/>
      <c r="D686" s="287"/>
      <c r="E686" s="287"/>
      <c r="F686" s="288" t="s">
        <v>92</v>
      </c>
      <c r="G686" s="289" t="s">
        <v>732</v>
      </c>
      <c r="H686" s="307"/>
      <c r="I686" s="290"/>
      <c r="J686" s="291" t="s">
        <v>782</v>
      </c>
      <c r="K686" s="287"/>
      <c r="L686" s="287"/>
      <c r="M686" s="287">
        <v>6031</v>
      </c>
      <c r="N686" s="287" t="s">
        <v>23</v>
      </c>
      <c r="O686" s="287" t="s">
        <v>43</v>
      </c>
      <c r="P686" s="287" t="s">
        <v>44</v>
      </c>
      <c r="Q686" s="287"/>
      <c r="R686" s="287"/>
      <c r="S686" s="292" t="s">
        <v>20</v>
      </c>
      <c r="T686" s="293"/>
      <c r="U686" s="294"/>
      <c r="V686" s="294"/>
      <c r="W686" s="295">
        <v>310000</v>
      </c>
      <c r="X686" s="296"/>
      <c r="Y686" s="287"/>
      <c r="Z686" s="297" t="s">
        <v>656</v>
      </c>
      <c r="AA686" s="313"/>
      <c r="AB686" s="313"/>
      <c r="AC686" s="298">
        <f t="shared" si="24"/>
        <v>0</v>
      </c>
      <c r="AD686" s="298">
        <v>0</v>
      </c>
      <c r="AE686" s="298">
        <f t="shared" si="25"/>
        <v>0</v>
      </c>
      <c r="AF686" s="299"/>
      <c r="AG686" s="300"/>
      <c r="AH686" s="299"/>
      <c r="AI686" s="299"/>
      <c r="AJ686" s="300"/>
      <c r="AK686" s="299"/>
      <c r="AL686" s="301"/>
      <c r="AM686" s="314"/>
      <c r="AN686" s="301"/>
      <c r="AO686" s="302"/>
      <c r="AP686" s="301"/>
      <c r="AQ686" s="301"/>
      <c r="AR686" s="301"/>
      <c r="AS686" s="301"/>
      <c r="AT686" s="301"/>
      <c r="AU686" s="301"/>
      <c r="AV686" s="301"/>
      <c r="AW686" s="301"/>
      <c r="AX686" s="301"/>
      <c r="AY686" s="301"/>
      <c r="AZ686" s="301"/>
      <c r="BA686" s="301"/>
      <c r="BB686" s="301"/>
      <c r="BC686" s="301"/>
      <c r="BD686" s="301"/>
      <c r="BE686" s="301"/>
      <c r="BF686" s="301"/>
      <c r="BG686" s="303"/>
      <c r="BH686" s="304"/>
    </row>
    <row r="687" spans="1:60" s="305" customFormat="1" ht="16.5" hidden="1" customHeight="1" x14ac:dyDescent="0.4">
      <c r="A687" s="285">
        <v>664</v>
      </c>
      <c r="B687" s="286"/>
      <c r="C687" s="286"/>
      <c r="D687" s="287"/>
      <c r="E687" s="287"/>
      <c r="F687" s="288" t="s">
        <v>92</v>
      </c>
      <c r="G687" s="289" t="s">
        <v>732</v>
      </c>
      <c r="H687" s="307"/>
      <c r="I687" s="290"/>
      <c r="J687" s="291" t="s">
        <v>783</v>
      </c>
      <c r="K687" s="287"/>
      <c r="L687" s="287"/>
      <c r="M687" s="287">
        <v>8566</v>
      </c>
      <c r="N687" s="287" t="s">
        <v>23</v>
      </c>
      <c r="O687" s="287" t="s">
        <v>43</v>
      </c>
      <c r="P687" s="287" t="s">
        <v>44</v>
      </c>
      <c r="Q687" s="287"/>
      <c r="R687" s="287"/>
      <c r="S687" s="292" t="s">
        <v>20</v>
      </c>
      <c r="T687" s="293"/>
      <c r="U687" s="294"/>
      <c r="V687" s="294"/>
      <c r="W687" s="295">
        <v>9041000</v>
      </c>
      <c r="X687" s="296"/>
      <c r="Y687" s="287"/>
      <c r="Z687" s="297" t="s">
        <v>656</v>
      </c>
      <c r="AA687" s="313"/>
      <c r="AB687" s="313"/>
      <c r="AC687" s="298">
        <f t="shared" si="24"/>
        <v>0</v>
      </c>
      <c r="AD687" s="298">
        <v>0</v>
      </c>
      <c r="AE687" s="298">
        <f t="shared" si="25"/>
        <v>0</v>
      </c>
      <c r="AF687" s="299"/>
      <c r="AG687" s="300"/>
      <c r="AH687" s="299"/>
      <c r="AI687" s="299"/>
      <c r="AJ687" s="300"/>
      <c r="AK687" s="299"/>
      <c r="AL687" s="301"/>
      <c r="AM687" s="314"/>
      <c r="AN687" s="301"/>
      <c r="AO687" s="302"/>
      <c r="AP687" s="301"/>
      <c r="AQ687" s="301"/>
      <c r="AR687" s="301"/>
      <c r="AS687" s="301"/>
      <c r="AT687" s="301"/>
      <c r="AU687" s="301"/>
      <c r="AV687" s="301"/>
      <c r="AW687" s="301"/>
      <c r="AX687" s="301"/>
      <c r="AY687" s="301"/>
      <c r="AZ687" s="301"/>
      <c r="BA687" s="301"/>
      <c r="BB687" s="301"/>
      <c r="BC687" s="301"/>
      <c r="BD687" s="301"/>
      <c r="BE687" s="301"/>
      <c r="BF687" s="301"/>
      <c r="BG687" s="303"/>
      <c r="BH687" s="304"/>
    </row>
    <row r="688" spans="1:60" s="305" customFormat="1" ht="16.5" hidden="1" customHeight="1" x14ac:dyDescent="0.4">
      <c r="A688" s="285">
        <v>665</v>
      </c>
      <c r="B688" s="286"/>
      <c r="C688" s="286"/>
      <c r="D688" s="287" t="s">
        <v>137</v>
      </c>
      <c r="E688" s="287" t="s">
        <v>2</v>
      </c>
      <c r="F688" s="288" t="s">
        <v>92</v>
      </c>
      <c r="G688" s="289" t="s">
        <v>732</v>
      </c>
      <c r="H688" s="307"/>
      <c r="I688" s="290"/>
      <c r="J688" s="291" t="s">
        <v>723</v>
      </c>
      <c r="K688" s="287"/>
      <c r="L688" s="287"/>
      <c r="M688" s="287">
        <v>1081</v>
      </c>
      <c r="N688" s="287" t="s">
        <v>23</v>
      </c>
      <c r="O688" s="287" t="s">
        <v>43</v>
      </c>
      <c r="P688" s="287" t="s">
        <v>44</v>
      </c>
      <c r="Q688" s="287" t="s">
        <v>49</v>
      </c>
      <c r="R688" s="287" t="s">
        <v>29</v>
      </c>
      <c r="S688" s="292" t="s">
        <v>29</v>
      </c>
      <c r="T688" s="293" t="s">
        <v>798</v>
      </c>
      <c r="U688" s="294">
        <v>203918604</v>
      </c>
      <c r="V688" s="294">
        <v>181073270</v>
      </c>
      <c r="W688" s="295">
        <v>208636315</v>
      </c>
      <c r="X688" s="296"/>
      <c r="Y688" s="287" t="s">
        <v>28</v>
      </c>
      <c r="Z688" s="297" t="s">
        <v>28</v>
      </c>
      <c r="AA688" s="313"/>
      <c r="AB688" s="313"/>
      <c r="AC688" s="298">
        <f t="shared" si="24"/>
        <v>196791445</v>
      </c>
      <c r="AD688" s="298">
        <v>196791445</v>
      </c>
      <c r="AE688" s="298">
        <f t="shared" si="25"/>
        <v>0</v>
      </c>
      <c r="AF688" s="299">
        <v>20000000</v>
      </c>
      <c r="AG688" s="300">
        <v>8340850</v>
      </c>
      <c r="AH688" s="299"/>
      <c r="AI688" s="299">
        <v>10416438</v>
      </c>
      <c r="AJ688" s="300">
        <v>15935125</v>
      </c>
      <c r="AK688" s="299"/>
      <c r="AL688" s="301">
        <v>0</v>
      </c>
      <c r="AM688" s="314">
        <v>10416438</v>
      </c>
      <c r="AN688" s="301" t="s">
        <v>842</v>
      </c>
      <c r="AO688" s="302">
        <v>11759500</v>
      </c>
      <c r="AP688" s="301" t="s">
        <v>843</v>
      </c>
      <c r="AQ688" s="301">
        <v>50339532</v>
      </c>
      <c r="AR688" s="301"/>
      <c r="AS688" s="301">
        <v>20000000</v>
      </c>
      <c r="AT688" s="301"/>
      <c r="AU688" s="301">
        <v>20000000</v>
      </c>
      <c r="AV688" s="301"/>
      <c r="AW688" s="301">
        <v>20000000</v>
      </c>
      <c r="AX688" s="301"/>
      <c r="AY688" s="301">
        <v>10000000</v>
      </c>
      <c r="AZ688" s="301"/>
      <c r="BA688" s="301">
        <v>10000000</v>
      </c>
      <c r="BB688" s="301"/>
      <c r="BC688" s="301">
        <v>10000000</v>
      </c>
      <c r="BD688" s="301"/>
      <c r="BE688" s="301">
        <v>10000000</v>
      </c>
      <c r="BF688" s="301"/>
      <c r="BG688" s="303"/>
      <c r="BH688" s="304"/>
    </row>
    <row r="689" spans="1:60" s="305" customFormat="1" ht="16.5" hidden="1" customHeight="1" x14ac:dyDescent="0.4">
      <c r="A689" s="285">
        <v>666</v>
      </c>
      <c r="B689" s="286"/>
      <c r="C689" s="286"/>
      <c r="D689" s="287" t="s">
        <v>137</v>
      </c>
      <c r="E689" s="287" t="s">
        <v>2</v>
      </c>
      <c r="F689" s="288" t="s">
        <v>92</v>
      </c>
      <c r="G689" s="289" t="s">
        <v>732</v>
      </c>
      <c r="H689" s="307"/>
      <c r="I689" s="290"/>
      <c r="J689" s="291" t="s">
        <v>723</v>
      </c>
      <c r="K689" s="287"/>
      <c r="L689" s="287"/>
      <c r="M689" s="287">
        <v>1081</v>
      </c>
      <c r="N689" s="287" t="s">
        <v>23</v>
      </c>
      <c r="O689" s="287" t="s">
        <v>33</v>
      </c>
      <c r="P689" s="287" t="s">
        <v>44</v>
      </c>
      <c r="Q689" s="287"/>
      <c r="R689" s="287" t="s">
        <v>29</v>
      </c>
      <c r="S689" s="292" t="s">
        <v>29</v>
      </c>
      <c r="T689" s="293"/>
      <c r="U689" s="294"/>
      <c r="V689" s="294"/>
      <c r="W689" s="295">
        <v>0</v>
      </c>
      <c r="X689" s="296"/>
      <c r="Y689" s="287" t="s">
        <v>25</v>
      </c>
      <c r="Z689" s="297" t="s">
        <v>25</v>
      </c>
      <c r="AA689" s="313"/>
      <c r="AB689" s="313"/>
      <c r="AC689" s="298">
        <f t="shared" si="24"/>
        <v>0</v>
      </c>
      <c r="AD689" s="298">
        <v>0</v>
      </c>
      <c r="AE689" s="298">
        <f t="shared" si="25"/>
        <v>0</v>
      </c>
      <c r="AF689" s="299"/>
      <c r="AG689" s="300"/>
      <c r="AH689" s="299"/>
      <c r="AI689" s="299"/>
      <c r="AJ689" s="300"/>
      <c r="AK689" s="299"/>
      <c r="AL689" s="301"/>
      <c r="AM689" s="314"/>
      <c r="AN689" s="301"/>
      <c r="AO689" s="302"/>
      <c r="AP689" s="301"/>
      <c r="AQ689" s="301"/>
      <c r="AR689" s="301"/>
      <c r="AS689" s="301"/>
      <c r="AT689" s="301"/>
      <c r="AU689" s="301"/>
      <c r="AV689" s="301"/>
      <c r="AW689" s="301"/>
      <c r="AX689" s="301"/>
      <c r="AY689" s="301"/>
      <c r="AZ689" s="301"/>
      <c r="BA689" s="301"/>
      <c r="BB689" s="301"/>
      <c r="BC689" s="301"/>
      <c r="BD689" s="301"/>
      <c r="BE689" s="301"/>
      <c r="BF689" s="301"/>
      <c r="BG689" s="303"/>
      <c r="BH689" s="304"/>
    </row>
    <row r="690" spans="1:60" s="305" customFormat="1" ht="16.5" hidden="1" customHeight="1" x14ac:dyDescent="0.4">
      <c r="A690" s="285">
        <v>667</v>
      </c>
      <c r="B690" s="286"/>
      <c r="C690" s="286"/>
      <c r="D690" s="287" t="s">
        <v>137</v>
      </c>
      <c r="E690" s="287" t="s">
        <v>2</v>
      </c>
      <c r="F690" s="288" t="s">
        <v>92</v>
      </c>
      <c r="G690" s="289" t="s">
        <v>732</v>
      </c>
      <c r="H690" s="307"/>
      <c r="I690" s="290"/>
      <c r="J690" s="291" t="s">
        <v>723</v>
      </c>
      <c r="K690" s="287"/>
      <c r="L690" s="287"/>
      <c r="M690" s="287">
        <v>1081</v>
      </c>
      <c r="N690" s="287" t="s">
        <v>23</v>
      </c>
      <c r="O690" s="287" t="s">
        <v>33</v>
      </c>
      <c r="P690" s="287" t="s">
        <v>44</v>
      </c>
      <c r="Q690" s="287" t="s">
        <v>60</v>
      </c>
      <c r="R690" s="287" t="s">
        <v>20</v>
      </c>
      <c r="S690" s="292" t="s">
        <v>20</v>
      </c>
      <c r="T690" s="293"/>
      <c r="U690" s="294"/>
      <c r="V690" s="294">
        <v>38918988</v>
      </c>
      <c r="W690" s="295"/>
      <c r="X690" s="296"/>
      <c r="Y690" s="287" t="s">
        <v>21</v>
      </c>
      <c r="Z690" s="297" t="s">
        <v>21</v>
      </c>
      <c r="AA690" s="313"/>
      <c r="AB690" s="313"/>
      <c r="AC690" s="298">
        <f t="shared" si="24"/>
        <v>0</v>
      </c>
      <c r="AD690" s="298">
        <v>0</v>
      </c>
      <c r="AE690" s="298">
        <f t="shared" si="25"/>
        <v>0</v>
      </c>
      <c r="AF690" s="299"/>
      <c r="AG690" s="300"/>
      <c r="AH690" s="299"/>
      <c r="AI690" s="299"/>
      <c r="AJ690" s="300"/>
      <c r="AK690" s="299"/>
      <c r="AL690" s="301"/>
      <c r="AM690" s="314"/>
      <c r="AN690" s="301"/>
      <c r="AO690" s="302"/>
      <c r="AP690" s="301"/>
      <c r="AQ690" s="301"/>
      <c r="AR690" s="301"/>
      <c r="AS690" s="301"/>
      <c r="AT690" s="301"/>
      <c r="AU690" s="301"/>
      <c r="AV690" s="301"/>
      <c r="AW690" s="301"/>
      <c r="AX690" s="301"/>
      <c r="AY690" s="301"/>
      <c r="AZ690" s="301"/>
      <c r="BA690" s="301"/>
      <c r="BB690" s="301"/>
      <c r="BC690" s="301"/>
      <c r="BD690" s="301"/>
      <c r="BE690" s="301"/>
      <c r="BF690" s="301"/>
      <c r="BG690" s="303"/>
      <c r="BH690" s="304"/>
    </row>
    <row r="691" spans="1:60" s="305" customFormat="1" ht="16.5" hidden="1" customHeight="1" x14ac:dyDescent="0.4">
      <c r="A691" s="285">
        <v>668</v>
      </c>
      <c r="B691" s="286"/>
      <c r="C691" s="286"/>
      <c r="D691" s="287" t="s">
        <v>137</v>
      </c>
      <c r="E691" s="287" t="s">
        <v>2</v>
      </c>
      <c r="F691" s="288" t="s">
        <v>92</v>
      </c>
      <c r="G691" s="289" t="s">
        <v>732</v>
      </c>
      <c r="H691" s="307"/>
      <c r="I691" s="290"/>
      <c r="J691" s="291" t="s">
        <v>723</v>
      </c>
      <c r="K691" s="287"/>
      <c r="L691" s="287"/>
      <c r="M691" s="287">
        <v>1081</v>
      </c>
      <c r="N691" s="287" t="s">
        <v>23</v>
      </c>
      <c r="O691" s="287" t="s">
        <v>33</v>
      </c>
      <c r="P691" s="287" t="s">
        <v>44</v>
      </c>
      <c r="Q691" s="287" t="s">
        <v>30</v>
      </c>
      <c r="R691" s="287" t="s">
        <v>31</v>
      </c>
      <c r="S691" s="292" t="s">
        <v>31</v>
      </c>
      <c r="T691" s="293"/>
      <c r="U691" s="294">
        <v>25358500</v>
      </c>
      <c r="V691" s="294">
        <v>25599000</v>
      </c>
      <c r="W691" s="295"/>
      <c r="X691" s="296"/>
      <c r="Y691" s="287" t="s">
        <v>25</v>
      </c>
      <c r="Z691" s="297" t="s">
        <v>25</v>
      </c>
      <c r="AA691" s="313"/>
      <c r="AB691" s="313"/>
      <c r="AC691" s="298">
        <f t="shared" si="24"/>
        <v>0</v>
      </c>
      <c r="AD691" s="298">
        <v>0</v>
      </c>
      <c r="AE691" s="298">
        <f t="shared" si="25"/>
        <v>0</v>
      </c>
      <c r="AF691" s="299"/>
      <c r="AG691" s="300"/>
      <c r="AH691" s="299"/>
      <c r="AI691" s="299"/>
      <c r="AJ691" s="300"/>
      <c r="AK691" s="299"/>
      <c r="AL691" s="301"/>
      <c r="AM691" s="314"/>
      <c r="AN691" s="301"/>
      <c r="AO691" s="302"/>
      <c r="AP691" s="301"/>
      <c r="AQ691" s="301"/>
      <c r="AR691" s="301"/>
      <c r="AS691" s="301"/>
      <c r="AT691" s="301"/>
      <c r="AU691" s="301"/>
      <c r="AV691" s="301"/>
      <c r="AW691" s="301"/>
      <c r="AX691" s="301"/>
      <c r="AY691" s="301"/>
      <c r="AZ691" s="301"/>
      <c r="BA691" s="301"/>
      <c r="BB691" s="301"/>
      <c r="BC691" s="301"/>
      <c r="BD691" s="301"/>
      <c r="BE691" s="301"/>
      <c r="BF691" s="301"/>
      <c r="BG691" s="303"/>
      <c r="BH691" s="304"/>
    </row>
    <row r="692" spans="1:60" s="305" customFormat="1" ht="16.5" hidden="1" customHeight="1" x14ac:dyDescent="0.4">
      <c r="A692" s="285">
        <v>669</v>
      </c>
      <c r="B692" s="286"/>
      <c r="C692" s="286"/>
      <c r="D692" s="287" t="s">
        <v>137</v>
      </c>
      <c r="E692" s="287" t="s">
        <v>2</v>
      </c>
      <c r="F692" s="288" t="s">
        <v>92</v>
      </c>
      <c r="G692" s="289" t="s">
        <v>732</v>
      </c>
      <c r="H692" s="307"/>
      <c r="I692" s="290"/>
      <c r="J692" s="291" t="s">
        <v>723</v>
      </c>
      <c r="K692" s="287"/>
      <c r="L692" s="287"/>
      <c r="M692" s="287">
        <v>1081</v>
      </c>
      <c r="N692" s="287" t="s">
        <v>23</v>
      </c>
      <c r="O692" s="287" t="s">
        <v>33</v>
      </c>
      <c r="P692" s="287" t="s">
        <v>44</v>
      </c>
      <c r="Q692" s="287"/>
      <c r="R692" s="287" t="s">
        <v>349</v>
      </c>
      <c r="S692" s="292" t="s">
        <v>349</v>
      </c>
      <c r="T692" s="293"/>
      <c r="U692" s="294"/>
      <c r="V692" s="294">
        <v>0</v>
      </c>
      <c r="W692" s="295"/>
      <c r="X692" s="296"/>
      <c r="Y692" s="287" t="s">
        <v>26</v>
      </c>
      <c r="Z692" s="297" t="s">
        <v>26</v>
      </c>
      <c r="AA692" s="313"/>
      <c r="AB692" s="313"/>
      <c r="AC692" s="298">
        <f t="shared" si="24"/>
        <v>3000000</v>
      </c>
      <c r="AD692" s="298">
        <v>3000000</v>
      </c>
      <c r="AE692" s="298">
        <f t="shared" si="25"/>
        <v>0</v>
      </c>
      <c r="AF692" s="299"/>
      <c r="AG692" s="300"/>
      <c r="AH692" s="299"/>
      <c r="AI692" s="299"/>
      <c r="AJ692" s="300"/>
      <c r="AK692" s="299"/>
      <c r="AL692" s="301"/>
      <c r="AM692" s="314"/>
      <c r="AN692" s="301"/>
      <c r="AO692" s="302"/>
      <c r="AP692" s="301"/>
      <c r="AQ692" s="301"/>
      <c r="AR692" s="301"/>
      <c r="AS692" s="301"/>
      <c r="AT692" s="301"/>
      <c r="AU692" s="301"/>
      <c r="AV692" s="301"/>
      <c r="AW692" s="301"/>
      <c r="AX692" s="301"/>
      <c r="AY692" s="301"/>
      <c r="AZ692" s="301"/>
      <c r="BA692" s="301"/>
      <c r="BB692" s="301"/>
      <c r="BC692" s="301"/>
      <c r="BD692" s="301"/>
      <c r="BE692" s="301">
        <v>3000000</v>
      </c>
      <c r="BF692" s="301"/>
      <c r="BG692" s="303"/>
      <c r="BH692" s="304"/>
    </row>
    <row r="693" spans="1:60" s="305" customFormat="1" ht="16.5" hidden="1" customHeight="1" x14ac:dyDescent="0.4">
      <c r="A693" s="285">
        <v>670</v>
      </c>
      <c r="B693" s="286"/>
      <c r="C693" s="286"/>
      <c r="D693" s="287" t="s">
        <v>137</v>
      </c>
      <c r="E693" s="287" t="s">
        <v>2</v>
      </c>
      <c r="F693" s="288" t="s">
        <v>92</v>
      </c>
      <c r="G693" s="289" t="s">
        <v>732</v>
      </c>
      <c r="H693" s="307"/>
      <c r="I693" s="290"/>
      <c r="J693" s="291" t="s">
        <v>723</v>
      </c>
      <c r="K693" s="287"/>
      <c r="L693" s="287"/>
      <c r="M693" s="287">
        <v>1081</v>
      </c>
      <c r="N693" s="287" t="s">
        <v>23</v>
      </c>
      <c r="O693" s="287" t="s">
        <v>33</v>
      </c>
      <c r="P693" s="287" t="s">
        <v>44</v>
      </c>
      <c r="Q693" s="287"/>
      <c r="R693" s="287" t="s">
        <v>345</v>
      </c>
      <c r="S693" s="292" t="s">
        <v>742</v>
      </c>
      <c r="T693" s="293"/>
      <c r="U693" s="294"/>
      <c r="V693" s="294">
        <v>0</v>
      </c>
      <c r="W693" s="295"/>
      <c r="X693" s="296"/>
      <c r="Y693" s="287" t="s">
        <v>26</v>
      </c>
      <c r="Z693" s="297" t="s">
        <v>26</v>
      </c>
      <c r="AA693" s="313"/>
      <c r="AB693" s="313"/>
      <c r="AC693" s="298">
        <f t="shared" si="24"/>
        <v>0</v>
      </c>
      <c r="AD693" s="298">
        <v>0</v>
      </c>
      <c r="AE693" s="298">
        <f t="shared" si="25"/>
        <v>0</v>
      </c>
      <c r="AF693" s="299"/>
      <c r="AG693" s="300"/>
      <c r="AH693" s="299"/>
      <c r="AI693" s="299"/>
      <c r="AJ693" s="300"/>
      <c r="AK693" s="299"/>
      <c r="AL693" s="301"/>
      <c r="AM693" s="314"/>
      <c r="AN693" s="301"/>
      <c r="AO693" s="302"/>
      <c r="AP693" s="301"/>
      <c r="AQ693" s="301"/>
      <c r="AR693" s="301"/>
      <c r="AS693" s="301"/>
      <c r="AT693" s="301"/>
      <c r="AU693" s="301"/>
      <c r="AV693" s="301"/>
      <c r="AW693" s="301"/>
      <c r="AX693" s="301"/>
      <c r="AY693" s="301"/>
      <c r="AZ693" s="301"/>
      <c r="BA693" s="301"/>
      <c r="BB693" s="301"/>
      <c r="BC693" s="301"/>
      <c r="BD693" s="301"/>
      <c r="BE693" s="301"/>
      <c r="BF693" s="301"/>
      <c r="BG693" s="303"/>
      <c r="BH693" s="304"/>
    </row>
    <row r="694" spans="1:60" s="305" customFormat="1" ht="16.5" hidden="1" customHeight="1" x14ac:dyDescent="0.4">
      <c r="A694" s="285">
        <v>671</v>
      </c>
      <c r="B694" s="286"/>
      <c r="C694" s="286"/>
      <c r="D694" s="287" t="s">
        <v>137</v>
      </c>
      <c r="E694" s="287" t="s">
        <v>2</v>
      </c>
      <c r="F694" s="288" t="s">
        <v>92</v>
      </c>
      <c r="G694" s="289" t="s">
        <v>732</v>
      </c>
      <c r="H694" s="307"/>
      <c r="I694" s="290"/>
      <c r="J694" s="291" t="s">
        <v>723</v>
      </c>
      <c r="K694" s="287"/>
      <c r="L694" s="287"/>
      <c r="M694" s="287">
        <v>1081</v>
      </c>
      <c r="N694" s="287" t="s">
        <v>23</v>
      </c>
      <c r="O694" s="287" t="s">
        <v>33</v>
      </c>
      <c r="P694" s="287" t="s">
        <v>44</v>
      </c>
      <c r="Q694" s="287" t="s">
        <v>24</v>
      </c>
      <c r="R694" s="287" t="s">
        <v>221</v>
      </c>
      <c r="S694" s="292" t="s">
        <v>745</v>
      </c>
      <c r="T694" s="293"/>
      <c r="U694" s="294">
        <v>700000</v>
      </c>
      <c r="V694" s="294">
        <v>0</v>
      </c>
      <c r="W694" s="295"/>
      <c r="X694" s="296"/>
      <c r="Y694" s="287" t="s">
        <v>26</v>
      </c>
      <c r="Z694" s="297" t="s">
        <v>26</v>
      </c>
      <c r="AA694" s="313"/>
      <c r="AB694" s="313"/>
      <c r="AC694" s="298">
        <f t="shared" si="24"/>
        <v>0</v>
      </c>
      <c r="AD694" s="298">
        <v>0</v>
      </c>
      <c r="AE694" s="298">
        <f t="shared" si="25"/>
        <v>0</v>
      </c>
      <c r="AF694" s="299"/>
      <c r="AG694" s="300"/>
      <c r="AH694" s="299"/>
      <c r="AI694" s="299"/>
      <c r="AJ694" s="300"/>
      <c r="AK694" s="299"/>
      <c r="AL694" s="301"/>
      <c r="AM694" s="314"/>
      <c r="AN694" s="301"/>
      <c r="AO694" s="302"/>
      <c r="AP694" s="301"/>
      <c r="AQ694" s="301"/>
      <c r="AR694" s="301"/>
      <c r="AS694" s="301"/>
      <c r="AT694" s="301"/>
      <c r="AU694" s="301"/>
      <c r="AV694" s="301"/>
      <c r="AW694" s="301"/>
      <c r="AX694" s="301"/>
      <c r="AY694" s="301"/>
      <c r="AZ694" s="301"/>
      <c r="BA694" s="301"/>
      <c r="BB694" s="301"/>
      <c r="BC694" s="301"/>
      <c r="BD694" s="301"/>
      <c r="BE694" s="301"/>
      <c r="BF694" s="301"/>
      <c r="BG694" s="303"/>
      <c r="BH694" s="304"/>
    </row>
    <row r="695" spans="1:60" s="305" customFormat="1" ht="16.5" hidden="1" customHeight="1" x14ac:dyDescent="0.4">
      <c r="A695" s="285">
        <v>672</v>
      </c>
      <c r="B695" s="286"/>
      <c r="C695" s="286"/>
      <c r="D695" s="287" t="s">
        <v>137</v>
      </c>
      <c r="E695" s="287" t="s">
        <v>2</v>
      </c>
      <c r="F695" s="288" t="s">
        <v>92</v>
      </c>
      <c r="G695" s="289" t="s">
        <v>732</v>
      </c>
      <c r="H695" s="307"/>
      <c r="I695" s="290"/>
      <c r="J695" s="291" t="s">
        <v>723</v>
      </c>
      <c r="K695" s="287"/>
      <c r="L695" s="287"/>
      <c r="M695" s="287">
        <v>1081</v>
      </c>
      <c r="N695" s="287" t="s">
        <v>23</v>
      </c>
      <c r="O695" s="287" t="s">
        <v>33</v>
      </c>
      <c r="P695" s="287" t="s">
        <v>44</v>
      </c>
      <c r="Q695" s="287" t="s">
        <v>42</v>
      </c>
      <c r="R695" s="287" t="s">
        <v>338</v>
      </c>
      <c r="S695" s="292" t="s">
        <v>753</v>
      </c>
      <c r="T695" s="293"/>
      <c r="U695" s="294"/>
      <c r="V695" s="294">
        <v>1007800</v>
      </c>
      <c r="W695" s="295"/>
      <c r="X695" s="296"/>
      <c r="Y695" s="287" t="s">
        <v>21</v>
      </c>
      <c r="Z695" s="297" t="s">
        <v>21</v>
      </c>
      <c r="AA695" s="313"/>
      <c r="AB695" s="313"/>
      <c r="AC695" s="298">
        <f t="shared" si="24"/>
        <v>0</v>
      </c>
      <c r="AD695" s="298">
        <v>0</v>
      </c>
      <c r="AE695" s="298">
        <f t="shared" si="25"/>
        <v>0</v>
      </c>
      <c r="AF695" s="299"/>
      <c r="AG695" s="300"/>
      <c r="AH695" s="299"/>
      <c r="AI695" s="299"/>
      <c r="AJ695" s="300"/>
      <c r="AK695" s="299"/>
      <c r="AL695" s="301"/>
      <c r="AM695" s="314"/>
      <c r="AN695" s="301"/>
      <c r="AO695" s="302"/>
      <c r="AP695" s="301"/>
      <c r="AQ695" s="301"/>
      <c r="AR695" s="301"/>
      <c r="AS695" s="301"/>
      <c r="AT695" s="301"/>
      <c r="AU695" s="301"/>
      <c r="AV695" s="301"/>
      <c r="AW695" s="301"/>
      <c r="AX695" s="301"/>
      <c r="AY695" s="301"/>
      <c r="AZ695" s="301"/>
      <c r="BA695" s="301"/>
      <c r="BB695" s="301"/>
      <c r="BC695" s="301"/>
      <c r="BD695" s="301"/>
      <c r="BE695" s="301"/>
      <c r="BF695" s="301"/>
      <c r="BG695" s="303"/>
      <c r="BH695" s="304"/>
    </row>
    <row r="696" spans="1:60" s="305" customFormat="1" ht="16.5" hidden="1" customHeight="1" x14ac:dyDescent="0.4">
      <c r="A696" s="285">
        <v>673</v>
      </c>
      <c r="B696" s="286"/>
      <c r="C696" s="286"/>
      <c r="D696" s="287" t="s">
        <v>92</v>
      </c>
      <c r="E696" s="287" t="s">
        <v>196</v>
      </c>
      <c r="F696" s="288" t="s">
        <v>92</v>
      </c>
      <c r="G696" s="289" t="s">
        <v>732</v>
      </c>
      <c r="H696" s="307"/>
      <c r="I696" s="290"/>
      <c r="J696" s="291" t="s">
        <v>862</v>
      </c>
      <c r="K696" s="287"/>
      <c r="L696" s="287"/>
      <c r="M696" s="287">
        <v>62781</v>
      </c>
      <c r="N696" s="287" t="s">
        <v>23</v>
      </c>
      <c r="O696" s="287" t="s">
        <v>33</v>
      </c>
      <c r="P696" s="287" t="s">
        <v>98</v>
      </c>
      <c r="Q696" s="287"/>
      <c r="R696" s="287"/>
      <c r="S696" s="292" t="s">
        <v>20</v>
      </c>
      <c r="T696" s="293"/>
      <c r="U696" s="294">
        <v>0</v>
      </c>
      <c r="V696" s="294">
        <v>0</v>
      </c>
      <c r="W696" s="295"/>
      <c r="X696" s="296"/>
      <c r="Y696" s="287" t="s">
        <v>28</v>
      </c>
      <c r="Z696" s="297" t="s">
        <v>28</v>
      </c>
      <c r="AA696" s="313"/>
      <c r="AB696" s="313"/>
      <c r="AC696" s="298">
        <f t="shared" si="24"/>
        <v>87000</v>
      </c>
      <c r="AD696" s="298">
        <v>87000</v>
      </c>
      <c r="AE696" s="298">
        <f t="shared" si="25"/>
        <v>0</v>
      </c>
      <c r="AF696" s="299"/>
      <c r="AG696" s="300"/>
      <c r="AH696" s="299"/>
      <c r="AI696" s="299"/>
      <c r="AJ696" s="300"/>
      <c r="AK696" s="299"/>
      <c r="AL696" s="301"/>
      <c r="AM696" s="314">
        <v>87000</v>
      </c>
      <c r="AN696" s="301"/>
      <c r="AO696" s="302"/>
      <c r="AP696" s="301"/>
      <c r="AQ696" s="301"/>
      <c r="AR696" s="301"/>
      <c r="AS696" s="301"/>
      <c r="AT696" s="301"/>
      <c r="AU696" s="301"/>
      <c r="AV696" s="301"/>
      <c r="AW696" s="301"/>
      <c r="AX696" s="301"/>
      <c r="AY696" s="301"/>
      <c r="AZ696" s="301"/>
      <c r="BA696" s="301"/>
      <c r="BB696" s="301"/>
      <c r="BC696" s="301"/>
      <c r="BD696" s="301"/>
      <c r="BE696" s="301"/>
      <c r="BF696" s="301"/>
      <c r="BG696" s="303"/>
      <c r="BH696" s="304"/>
    </row>
    <row r="697" spans="1:60" s="305" customFormat="1" ht="16.5" hidden="1" customHeight="1" x14ac:dyDescent="0.4">
      <c r="A697" s="285">
        <v>674</v>
      </c>
      <c r="B697" s="286"/>
      <c r="C697" s="286"/>
      <c r="D697" s="287"/>
      <c r="E697" s="287"/>
      <c r="F697" s="288" t="s">
        <v>92</v>
      </c>
      <c r="G697" s="289" t="s">
        <v>732</v>
      </c>
      <c r="H697" s="307"/>
      <c r="I697" s="290"/>
      <c r="J697" s="291" t="s">
        <v>820</v>
      </c>
      <c r="K697" s="287"/>
      <c r="L697" s="287"/>
      <c r="M697" s="287">
        <v>62777</v>
      </c>
      <c r="N697" s="287" t="s">
        <v>23</v>
      </c>
      <c r="O697" s="287" t="s">
        <v>33</v>
      </c>
      <c r="P697" s="287" t="s">
        <v>44</v>
      </c>
      <c r="Q697" s="287"/>
      <c r="R697" s="287"/>
      <c r="S697" s="292" t="s">
        <v>349</v>
      </c>
      <c r="T697" s="293"/>
      <c r="U697" s="294"/>
      <c r="V697" s="294"/>
      <c r="W697" s="295"/>
      <c r="X697" s="296"/>
      <c r="Y697" s="287"/>
      <c r="Z697" s="297" t="s">
        <v>28</v>
      </c>
      <c r="AA697" s="313"/>
      <c r="AB697" s="313"/>
      <c r="AC697" s="298">
        <f t="shared" si="24"/>
        <v>6900000</v>
      </c>
      <c r="AD697" s="298">
        <v>6900000</v>
      </c>
      <c r="AE697" s="298">
        <f t="shared" si="25"/>
        <v>0</v>
      </c>
      <c r="AF697" s="299"/>
      <c r="AG697" s="300"/>
      <c r="AH697" s="299"/>
      <c r="AI697" s="299"/>
      <c r="AJ697" s="300"/>
      <c r="AK697" s="299"/>
      <c r="AL697" s="301">
        <v>6900000</v>
      </c>
      <c r="AM697" s="314"/>
      <c r="AN697" s="301"/>
      <c r="AO697" s="302">
        <v>6900000</v>
      </c>
      <c r="AP697" s="301"/>
      <c r="AQ697" s="301"/>
      <c r="AR697" s="301"/>
      <c r="AS697" s="301"/>
      <c r="AT697" s="301"/>
      <c r="AU697" s="301"/>
      <c r="AV697" s="301"/>
      <c r="AW697" s="301"/>
      <c r="AX697" s="301"/>
      <c r="AY697" s="301"/>
      <c r="AZ697" s="301"/>
      <c r="BA697" s="301"/>
      <c r="BB697" s="301"/>
      <c r="BC697" s="301"/>
      <c r="BD697" s="301"/>
      <c r="BE697" s="301"/>
      <c r="BF697" s="301"/>
      <c r="BG697" s="303"/>
      <c r="BH697" s="304"/>
    </row>
    <row r="698" spans="1:60" s="305" customFormat="1" ht="16.5" hidden="1" customHeight="1" x14ac:dyDescent="0.4">
      <c r="A698" s="285">
        <v>675</v>
      </c>
      <c r="B698" s="286"/>
      <c r="C698" s="286"/>
      <c r="D698" s="287"/>
      <c r="E698" s="287"/>
      <c r="F698" s="288" t="s">
        <v>92</v>
      </c>
      <c r="G698" s="289" t="s">
        <v>732</v>
      </c>
      <c r="H698" s="307"/>
      <c r="I698" s="290"/>
      <c r="J698" s="291" t="s">
        <v>820</v>
      </c>
      <c r="K698" s="287"/>
      <c r="L698" s="287"/>
      <c r="M698" s="287">
        <v>62777</v>
      </c>
      <c r="N698" s="287" t="s">
        <v>23</v>
      </c>
      <c r="O698" s="287" t="s">
        <v>43</v>
      </c>
      <c r="P698" s="287" t="s">
        <v>44</v>
      </c>
      <c r="Q698" s="287"/>
      <c r="R698" s="287"/>
      <c r="S698" s="292" t="s">
        <v>741</v>
      </c>
      <c r="T698" s="293"/>
      <c r="U698" s="294"/>
      <c r="V698" s="294"/>
      <c r="W698" s="295"/>
      <c r="X698" s="296"/>
      <c r="Y698" s="287"/>
      <c r="Z698" s="297" t="s">
        <v>28</v>
      </c>
      <c r="AA698" s="313"/>
      <c r="AB698" s="313"/>
      <c r="AC698" s="298">
        <f t="shared" si="24"/>
        <v>10000000</v>
      </c>
      <c r="AD698" s="298">
        <v>10000000</v>
      </c>
      <c r="AE698" s="298">
        <f t="shared" si="25"/>
        <v>0</v>
      </c>
      <c r="AF698" s="299"/>
      <c r="AG698" s="300"/>
      <c r="AH698" s="299"/>
      <c r="AI698" s="299"/>
      <c r="AJ698" s="300"/>
      <c r="AK698" s="299"/>
      <c r="AL698" s="301">
        <v>10000000</v>
      </c>
      <c r="AM698" s="314"/>
      <c r="AN698" s="301"/>
      <c r="AO698" s="302">
        <v>10000000</v>
      </c>
      <c r="AP698" s="301"/>
      <c r="AQ698" s="301"/>
      <c r="AR698" s="301"/>
      <c r="AS698" s="301"/>
      <c r="AT698" s="301"/>
      <c r="AU698" s="301"/>
      <c r="AV698" s="301"/>
      <c r="AW698" s="301"/>
      <c r="AX698" s="301"/>
      <c r="AY698" s="301"/>
      <c r="AZ698" s="301"/>
      <c r="BA698" s="301"/>
      <c r="BB698" s="301"/>
      <c r="BC698" s="301"/>
      <c r="BD698" s="301"/>
      <c r="BE698" s="301"/>
      <c r="BF698" s="301"/>
      <c r="BG698" s="303"/>
      <c r="BH698" s="304"/>
    </row>
    <row r="699" spans="1:60" s="305" customFormat="1" ht="16.5" hidden="1" customHeight="1" x14ac:dyDescent="0.4">
      <c r="A699" s="285">
        <v>676</v>
      </c>
      <c r="B699" s="286"/>
      <c r="C699" s="286"/>
      <c r="D699" s="287"/>
      <c r="E699" s="287"/>
      <c r="F699" s="288" t="s">
        <v>92</v>
      </c>
      <c r="G699" s="289" t="s">
        <v>732</v>
      </c>
      <c r="H699" s="307"/>
      <c r="I699" s="290"/>
      <c r="J699" s="291" t="s">
        <v>784</v>
      </c>
      <c r="K699" s="287"/>
      <c r="L699" s="287"/>
      <c r="M699" s="287">
        <v>53489</v>
      </c>
      <c r="N699" s="287" t="s">
        <v>23</v>
      </c>
      <c r="O699" s="287" t="s">
        <v>43</v>
      </c>
      <c r="P699" s="287" t="s">
        <v>44</v>
      </c>
      <c r="Q699" s="287"/>
      <c r="R699" s="287"/>
      <c r="S699" s="292" t="s">
        <v>20</v>
      </c>
      <c r="T699" s="293"/>
      <c r="U699" s="294"/>
      <c r="V699" s="294"/>
      <c r="W699" s="295">
        <v>1693000</v>
      </c>
      <c r="X699" s="296"/>
      <c r="Y699" s="287"/>
      <c r="Z699" s="297" t="s">
        <v>656</v>
      </c>
      <c r="AA699" s="313"/>
      <c r="AB699" s="313"/>
      <c r="AC699" s="298">
        <f t="shared" si="24"/>
        <v>0</v>
      </c>
      <c r="AD699" s="298">
        <v>0</v>
      </c>
      <c r="AE699" s="298">
        <f t="shared" si="25"/>
        <v>0</v>
      </c>
      <c r="AF699" s="299"/>
      <c r="AG699" s="300"/>
      <c r="AH699" s="299"/>
      <c r="AI699" s="299"/>
      <c r="AJ699" s="300"/>
      <c r="AK699" s="299"/>
      <c r="AL699" s="301"/>
      <c r="AM699" s="314"/>
      <c r="AN699" s="301"/>
      <c r="AO699" s="302"/>
      <c r="AP699" s="301"/>
      <c r="AQ699" s="301"/>
      <c r="AR699" s="301"/>
      <c r="AS699" s="301"/>
      <c r="AT699" s="301"/>
      <c r="AU699" s="301"/>
      <c r="AV699" s="301"/>
      <c r="AW699" s="301"/>
      <c r="AX699" s="301"/>
      <c r="AY699" s="301"/>
      <c r="AZ699" s="301"/>
      <c r="BA699" s="301"/>
      <c r="BB699" s="301"/>
      <c r="BC699" s="301"/>
      <c r="BD699" s="301"/>
      <c r="BE699" s="301"/>
      <c r="BF699" s="301"/>
      <c r="BG699" s="303"/>
      <c r="BH699" s="304"/>
    </row>
    <row r="700" spans="1:60" s="305" customFormat="1" ht="16.5" hidden="1" customHeight="1" x14ac:dyDescent="0.4">
      <c r="A700" s="285">
        <v>677</v>
      </c>
      <c r="B700" s="286"/>
      <c r="C700" s="286"/>
      <c r="D700" s="287" t="s">
        <v>92</v>
      </c>
      <c r="E700" s="287" t="s">
        <v>229</v>
      </c>
      <c r="F700" s="288" t="s">
        <v>92</v>
      </c>
      <c r="G700" s="289" t="s">
        <v>732</v>
      </c>
      <c r="H700" s="307"/>
      <c r="I700" s="290"/>
      <c r="J700" s="291" t="s">
        <v>456</v>
      </c>
      <c r="K700" s="287"/>
      <c r="L700" s="287"/>
      <c r="M700" s="287">
        <v>59653</v>
      </c>
      <c r="N700" s="287" t="s">
        <v>35</v>
      </c>
      <c r="O700" s="287" t="s">
        <v>43</v>
      </c>
      <c r="P700" s="287" t="s">
        <v>44</v>
      </c>
      <c r="Q700" s="287" t="s">
        <v>49</v>
      </c>
      <c r="R700" s="287" t="s">
        <v>29</v>
      </c>
      <c r="S700" s="292" t="s">
        <v>29</v>
      </c>
      <c r="T700" s="293"/>
      <c r="U700" s="294">
        <v>30361560</v>
      </c>
      <c r="V700" s="294">
        <v>110048060</v>
      </c>
      <c r="W700" s="295">
        <v>929500</v>
      </c>
      <c r="X700" s="296"/>
      <c r="Y700" s="287" t="s">
        <v>28</v>
      </c>
      <c r="Z700" s="297" t="s">
        <v>618</v>
      </c>
      <c r="AA700" s="313"/>
      <c r="AB700" s="313"/>
      <c r="AC700" s="298">
        <f t="shared" si="24"/>
        <v>0</v>
      </c>
      <c r="AD700" s="298">
        <v>0</v>
      </c>
      <c r="AE700" s="298">
        <f t="shared" si="25"/>
        <v>0</v>
      </c>
      <c r="AF700" s="299"/>
      <c r="AG700" s="300"/>
      <c r="AH700" s="299"/>
      <c r="AI700" s="299"/>
      <c r="AJ700" s="300"/>
      <c r="AK700" s="299"/>
      <c r="AL700" s="301"/>
      <c r="AM700" s="314"/>
      <c r="AN700" s="301"/>
      <c r="AO700" s="302"/>
      <c r="AP700" s="301"/>
      <c r="AQ700" s="301"/>
      <c r="AR700" s="301"/>
      <c r="AS700" s="301"/>
      <c r="AT700" s="301"/>
      <c r="AU700" s="301"/>
      <c r="AV700" s="301"/>
      <c r="AW700" s="301"/>
      <c r="AX700" s="301"/>
      <c r="AY700" s="301"/>
      <c r="AZ700" s="301"/>
      <c r="BA700" s="301"/>
      <c r="BB700" s="301"/>
      <c r="BC700" s="301"/>
      <c r="BD700" s="301"/>
      <c r="BE700" s="301"/>
      <c r="BF700" s="301"/>
      <c r="BG700" s="303"/>
      <c r="BH700" s="304"/>
    </row>
    <row r="701" spans="1:60" s="305" customFormat="1" ht="16.5" hidden="1" customHeight="1" x14ac:dyDescent="0.4">
      <c r="A701" s="285">
        <v>678</v>
      </c>
      <c r="B701" s="286"/>
      <c r="C701" s="286"/>
      <c r="D701" s="287" t="s">
        <v>92</v>
      </c>
      <c r="E701" s="287" t="s">
        <v>229</v>
      </c>
      <c r="F701" s="288" t="s">
        <v>92</v>
      </c>
      <c r="G701" s="289" t="s">
        <v>732</v>
      </c>
      <c r="H701" s="307"/>
      <c r="I701" s="290"/>
      <c r="J701" s="291" t="s">
        <v>456</v>
      </c>
      <c r="K701" s="287"/>
      <c r="L701" s="287"/>
      <c r="M701" s="287">
        <v>11437</v>
      </c>
      <c r="N701" s="287" t="s">
        <v>35</v>
      </c>
      <c r="O701" s="287" t="s">
        <v>33</v>
      </c>
      <c r="P701" s="287" t="s">
        <v>44</v>
      </c>
      <c r="Q701" s="287"/>
      <c r="R701" s="287" t="s">
        <v>29</v>
      </c>
      <c r="S701" s="292" t="s">
        <v>29</v>
      </c>
      <c r="T701" s="293"/>
      <c r="U701" s="294"/>
      <c r="V701" s="294">
        <v>0</v>
      </c>
      <c r="W701" s="295"/>
      <c r="X701" s="296"/>
      <c r="Y701" s="287" t="s">
        <v>25</v>
      </c>
      <c r="Z701" s="297" t="s">
        <v>618</v>
      </c>
      <c r="AA701" s="313"/>
      <c r="AB701" s="313"/>
      <c r="AC701" s="298">
        <f t="shared" si="24"/>
        <v>0</v>
      </c>
      <c r="AD701" s="298">
        <v>0</v>
      </c>
      <c r="AE701" s="298">
        <f t="shared" si="25"/>
        <v>0</v>
      </c>
      <c r="AF701" s="299"/>
      <c r="AG701" s="300"/>
      <c r="AH701" s="299"/>
      <c r="AI701" s="299"/>
      <c r="AJ701" s="300"/>
      <c r="AK701" s="299"/>
      <c r="AL701" s="301"/>
      <c r="AM701" s="314"/>
      <c r="AN701" s="301"/>
      <c r="AO701" s="302"/>
      <c r="AP701" s="301"/>
      <c r="AQ701" s="301"/>
      <c r="AR701" s="301"/>
      <c r="AS701" s="301"/>
      <c r="AT701" s="301"/>
      <c r="AU701" s="301"/>
      <c r="AV701" s="301"/>
      <c r="AW701" s="301"/>
      <c r="AX701" s="301"/>
      <c r="AY701" s="301"/>
      <c r="AZ701" s="301"/>
      <c r="BA701" s="301"/>
      <c r="BB701" s="301"/>
      <c r="BC701" s="301"/>
      <c r="BD701" s="301"/>
      <c r="BE701" s="301"/>
      <c r="BF701" s="301"/>
      <c r="BG701" s="303"/>
      <c r="BH701" s="304"/>
    </row>
    <row r="702" spans="1:60" s="305" customFormat="1" ht="16.5" hidden="1" customHeight="1" x14ac:dyDescent="0.4">
      <c r="A702" s="285">
        <v>679</v>
      </c>
      <c r="B702" s="286"/>
      <c r="C702" s="286"/>
      <c r="D702" s="287" t="s">
        <v>92</v>
      </c>
      <c r="E702" s="287" t="s">
        <v>229</v>
      </c>
      <c r="F702" s="288" t="s">
        <v>92</v>
      </c>
      <c r="G702" s="289" t="s">
        <v>732</v>
      </c>
      <c r="H702" s="307"/>
      <c r="I702" s="290"/>
      <c r="J702" s="291" t="s">
        <v>456</v>
      </c>
      <c r="K702" s="287"/>
      <c r="L702" s="287"/>
      <c r="M702" s="287">
        <v>59653</v>
      </c>
      <c r="N702" s="287" t="s">
        <v>35</v>
      </c>
      <c r="O702" s="287" t="s">
        <v>33</v>
      </c>
      <c r="P702" s="287" t="s">
        <v>44</v>
      </c>
      <c r="Q702" s="287" t="s">
        <v>30</v>
      </c>
      <c r="R702" s="287" t="s">
        <v>31</v>
      </c>
      <c r="S702" s="292" t="s">
        <v>31</v>
      </c>
      <c r="T702" s="293"/>
      <c r="U702" s="294"/>
      <c r="V702" s="294">
        <v>8021860</v>
      </c>
      <c r="W702" s="295"/>
      <c r="X702" s="296"/>
      <c r="Y702" s="287" t="s">
        <v>25</v>
      </c>
      <c r="Z702" s="297" t="s">
        <v>618</v>
      </c>
      <c r="AA702" s="313"/>
      <c r="AB702" s="313"/>
      <c r="AC702" s="298">
        <f t="shared" si="24"/>
        <v>0</v>
      </c>
      <c r="AD702" s="298">
        <v>0</v>
      </c>
      <c r="AE702" s="298">
        <f t="shared" si="25"/>
        <v>0</v>
      </c>
      <c r="AF702" s="299"/>
      <c r="AG702" s="300"/>
      <c r="AH702" s="299"/>
      <c r="AI702" s="299"/>
      <c r="AJ702" s="300"/>
      <c r="AK702" s="299"/>
      <c r="AL702" s="301"/>
      <c r="AM702" s="314"/>
      <c r="AN702" s="301"/>
      <c r="AO702" s="302"/>
      <c r="AP702" s="301"/>
      <c r="AQ702" s="301"/>
      <c r="AR702" s="301"/>
      <c r="AS702" s="301"/>
      <c r="AT702" s="301"/>
      <c r="AU702" s="301"/>
      <c r="AV702" s="301"/>
      <c r="AW702" s="301"/>
      <c r="AX702" s="301"/>
      <c r="AY702" s="301"/>
      <c r="AZ702" s="301"/>
      <c r="BA702" s="301"/>
      <c r="BB702" s="301"/>
      <c r="BC702" s="301"/>
      <c r="BD702" s="301"/>
      <c r="BE702" s="301"/>
      <c r="BF702" s="301"/>
      <c r="BG702" s="303"/>
      <c r="BH702" s="304"/>
    </row>
    <row r="703" spans="1:60" s="305" customFormat="1" ht="16.5" hidden="1" customHeight="1" x14ac:dyDescent="0.4">
      <c r="A703" s="285">
        <v>680</v>
      </c>
      <c r="B703" s="286"/>
      <c r="C703" s="286"/>
      <c r="D703" s="287" t="s">
        <v>92</v>
      </c>
      <c r="E703" s="287" t="s">
        <v>229</v>
      </c>
      <c r="F703" s="288" t="s">
        <v>92</v>
      </c>
      <c r="G703" s="289" t="s">
        <v>732</v>
      </c>
      <c r="H703" s="307"/>
      <c r="I703" s="290"/>
      <c r="J703" s="291" t="s">
        <v>456</v>
      </c>
      <c r="K703" s="287"/>
      <c r="L703" s="287"/>
      <c r="M703" s="287">
        <v>11437</v>
      </c>
      <c r="N703" s="287" t="s">
        <v>35</v>
      </c>
      <c r="O703" s="287" t="s">
        <v>33</v>
      </c>
      <c r="P703" s="287" t="s">
        <v>44</v>
      </c>
      <c r="Q703" s="287" t="s">
        <v>30</v>
      </c>
      <c r="R703" s="287" t="s">
        <v>31</v>
      </c>
      <c r="S703" s="292" t="s">
        <v>31</v>
      </c>
      <c r="T703" s="293"/>
      <c r="U703" s="294">
        <v>10000000</v>
      </c>
      <c r="V703" s="294">
        <v>0</v>
      </c>
      <c r="W703" s="295"/>
      <c r="X703" s="296"/>
      <c r="Y703" s="287" t="s">
        <v>22</v>
      </c>
      <c r="Z703" s="297" t="s">
        <v>618</v>
      </c>
      <c r="AA703" s="313"/>
      <c r="AB703" s="313"/>
      <c r="AC703" s="298">
        <f t="shared" si="24"/>
        <v>0</v>
      </c>
      <c r="AD703" s="298">
        <v>0</v>
      </c>
      <c r="AE703" s="298">
        <f t="shared" si="25"/>
        <v>0</v>
      </c>
      <c r="AF703" s="299"/>
      <c r="AG703" s="300"/>
      <c r="AH703" s="299"/>
      <c r="AI703" s="299"/>
      <c r="AJ703" s="300"/>
      <c r="AK703" s="299"/>
      <c r="AL703" s="301"/>
      <c r="AM703" s="314"/>
      <c r="AN703" s="301"/>
      <c r="AO703" s="302"/>
      <c r="AP703" s="301"/>
      <c r="AQ703" s="301"/>
      <c r="AR703" s="301"/>
      <c r="AS703" s="301"/>
      <c r="AT703" s="301"/>
      <c r="AU703" s="301"/>
      <c r="AV703" s="301"/>
      <c r="AW703" s="301"/>
      <c r="AX703" s="301"/>
      <c r="AY703" s="301"/>
      <c r="AZ703" s="301"/>
      <c r="BA703" s="301"/>
      <c r="BB703" s="301"/>
      <c r="BC703" s="301"/>
      <c r="BD703" s="301"/>
      <c r="BE703" s="301"/>
      <c r="BF703" s="301"/>
      <c r="BG703" s="303"/>
      <c r="BH703" s="304"/>
    </row>
    <row r="704" spans="1:60" s="305" customFormat="1" ht="16.5" hidden="1" customHeight="1" x14ac:dyDescent="0.4">
      <c r="A704" s="285">
        <v>681</v>
      </c>
      <c r="B704" s="286"/>
      <c r="C704" s="286"/>
      <c r="D704" s="287" t="s">
        <v>92</v>
      </c>
      <c r="E704" s="287" t="s">
        <v>229</v>
      </c>
      <c r="F704" s="288" t="s">
        <v>92</v>
      </c>
      <c r="G704" s="289" t="s">
        <v>732</v>
      </c>
      <c r="H704" s="307"/>
      <c r="I704" s="290"/>
      <c r="J704" s="291" t="s">
        <v>456</v>
      </c>
      <c r="K704" s="287"/>
      <c r="L704" s="287"/>
      <c r="M704" s="287">
        <v>59653</v>
      </c>
      <c r="N704" s="287" t="s">
        <v>35</v>
      </c>
      <c r="O704" s="287" t="s">
        <v>43</v>
      </c>
      <c r="P704" s="287" t="s">
        <v>44</v>
      </c>
      <c r="Q704" s="287" t="s">
        <v>27</v>
      </c>
      <c r="R704" s="287" t="s">
        <v>340</v>
      </c>
      <c r="S704" s="292" t="s">
        <v>340</v>
      </c>
      <c r="T704" s="293"/>
      <c r="U704" s="294"/>
      <c r="V704" s="294">
        <v>7240000</v>
      </c>
      <c r="W704" s="295">
        <v>2000000</v>
      </c>
      <c r="X704" s="296"/>
      <c r="Y704" s="287" t="s">
        <v>26</v>
      </c>
      <c r="Z704" s="297" t="s">
        <v>618</v>
      </c>
      <c r="AA704" s="313"/>
      <c r="AB704" s="313"/>
      <c r="AC704" s="298">
        <f t="shared" si="24"/>
        <v>0</v>
      </c>
      <c r="AD704" s="298">
        <v>0</v>
      </c>
      <c r="AE704" s="298">
        <f t="shared" si="25"/>
        <v>0</v>
      </c>
      <c r="AF704" s="299"/>
      <c r="AG704" s="300"/>
      <c r="AH704" s="299"/>
      <c r="AI704" s="299"/>
      <c r="AJ704" s="300"/>
      <c r="AK704" s="299"/>
      <c r="AL704" s="301"/>
      <c r="AM704" s="314"/>
      <c r="AN704" s="301"/>
      <c r="AO704" s="302"/>
      <c r="AP704" s="301"/>
      <c r="AQ704" s="301">
        <v>0</v>
      </c>
      <c r="AR704" s="301"/>
      <c r="AS704" s="301"/>
      <c r="AT704" s="301"/>
      <c r="AU704" s="301"/>
      <c r="AV704" s="301"/>
      <c r="AW704" s="301"/>
      <c r="AX704" s="301"/>
      <c r="AY704" s="301"/>
      <c r="AZ704" s="301"/>
      <c r="BA704" s="301"/>
      <c r="BB704" s="301"/>
      <c r="BC704" s="301">
        <v>0</v>
      </c>
      <c r="BD704" s="301"/>
      <c r="BE704" s="301"/>
      <c r="BF704" s="301"/>
      <c r="BG704" s="303"/>
      <c r="BH704" s="304"/>
    </row>
    <row r="705" spans="1:60" s="305" customFormat="1" ht="16.5" hidden="1" customHeight="1" x14ac:dyDescent="0.4">
      <c r="A705" s="285">
        <v>682</v>
      </c>
      <c r="B705" s="286"/>
      <c r="C705" s="286"/>
      <c r="D705" s="287" t="s">
        <v>92</v>
      </c>
      <c r="E705" s="287" t="s">
        <v>138</v>
      </c>
      <c r="F705" s="288" t="s">
        <v>92</v>
      </c>
      <c r="G705" s="289" t="s">
        <v>732</v>
      </c>
      <c r="H705" s="307"/>
      <c r="I705" s="290"/>
      <c r="J705" s="291" t="s">
        <v>664</v>
      </c>
      <c r="K705" s="287"/>
      <c r="L705" s="287"/>
      <c r="M705" s="287">
        <v>13037</v>
      </c>
      <c r="N705" s="287" t="s">
        <v>23</v>
      </c>
      <c r="O705" s="287" t="s">
        <v>33</v>
      </c>
      <c r="P705" s="287" t="s">
        <v>98</v>
      </c>
      <c r="Q705" s="287"/>
      <c r="R705" s="287"/>
      <c r="S705" s="292" t="s">
        <v>340</v>
      </c>
      <c r="T705" s="293"/>
      <c r="U705" s="294">
        <v>0</v>
      </c>
      <c r="V705" s="294">
        <v>0</v>
      </c>
      <c r="W705" s="295"/>
      <c r="X705" s="296"/>
      <c r="Y705" s="287"/>
      <c r="Z705" s="297" t="s">
        <v>26</v>
      </c>
      <c r="AA705" s="313"/>
      <c r="AB705" s="313"/>
      <c r="AC705" s="298">
        <f t="shared" si="24"/>
        <v>20000000</v>
      </c>
      <c r="AD705" s="298">
        <v>20000000</v>
      </c>
      <c r="AE705" s="298">
        <f t="shared" si="25"/>
        <v>0</v>
      </c>
      <c r="AF705" s="299"/>
      <c r="AG705" s="300"/>
      <c r="AH705" s="299"/>
      <c r="AI705" s="299"/>
      <c r="AJ705" s="300"/>
      <c r="AK705" s="299"/>
      <c r="AL705" s="301"/>
      <c r="AM705" s="314"/>
      <c r="AN705" s="301"/>
      <c r="AO705" s="302"/>
      <c r="AP705" s="301"/>
      <c r="AQ705" s="301"/>
      <c r="AR705" s="301"/>
      <c r="AS705" s="301">
        <v>10000000</v>
      </c>
      <c r="AT705" s="301"/>
      <c r="AU705" s="301"/>
      <c r="AV705" s="301"/>
      <c r="AW705" s="301"/>
      <c r="AX705" s="301"/>
      <c r="AY705" s="301"/>
      <c r="AZ705" s="301"/>
      <c r="BA705" s="301"/>
      <c r="BB705" s="301"/>
      <c r="BC705" s="301"/>
      <c r="BD705" s="301"/>
      <c r="BE705" s="301">
        <v>10000000</v>
      </c>
      <c r="BF705" s="301"/>
      <c r="BG705" s="303"/>
      <c r="BH705" s="304"/>
    </row>
    <row r="706" spans="1:60" s="305" customFormat="1" ht="16.5" hidden="1" customHeight="1" x14ac:dyDescent="0.4">
      <c r="A706" s="285">
        <v>683</v>
      </c>
      <c r="B706" s="286"/>
      <c r="C706" s="286"/>
      <c r="D706" s="287" t="s">
        <v>92</v>
      </c>
      <c r="E706" s="287" t="s">
        <v>138</v>
      </c>
      <c r="F706" s="288" t="s">
        <v>92</v>
      </c>
      <c r="G706" s="289" t="s">
        <v>732</v>
      </c>
      <c r="H706" s="307"/>
      <c r="I706" s="290"/>
      <c r="J706" s="291" t="s">
        <v>211</v>
      </c>
      <c r="K706" s="287"/>
      <c r="L706" s="287"/>
      <c r="M706" s="287">
        <v>14803</v>
      </c>
      <c r="N706" s="287" t="s">
        <v>23</v>
      </c>
      <c r="O706" s="287" t="s">
        <v>43</v>
      </c>
      <c r="P706" s="287" t="s">
        <v>98</v>
      </c>
      <c r="Q706" s="287" t="s">
        <v>19</v>
      </c>
      <c r="R706" s="287" t="s">
        <v>20</v>
      </c>
      <c r="S706" s="292" t="s">
        <v>20</v>
      </c>
      <c r="T706" s="293"/>
      <c r="U706" s="294"/>
      <c r="V706" s="294"/>
      <c r="W706" s="295">
        <v>180000</v>
      </c>
      <c r="X706" s="296"/>
      <c r="Y706" s="287" t="s">
        <v>28</v>
      </c>
      <c r="Z706" s="297" t="s">
        <v>25</v>
      </c>
      <c r="AA706" s="313"/>
      <c r="AB706" s="313"/>
      <c r="AC706" s="298">
        <f t="shared" si="24"/>
        <v>1000000</v>
      </c>
      <c r="AD706" s="298">
        <v>1000000</v>
      </c>
      <c r="AE706" s="298">
        <f t="shared" si="25"/>
        <v>0</v>
      </c>
      <c r="AF706" s="299"/>
      <c r="AG706" s="300"/>
      <c r="AH706" s="299"/>
      <c r="AI706" s="299"/>
      <c r="AJ706" s="300"/>
      <c r="AK706" s="299"/>
      <c r="AL706" s="301"/>
      <c r="AM706" s="314"/>
      <c r="AN706" s="301"/>
      <c r="AO706" s="302"/>
      <c r="AP706" s="301"/>
      <c r="AQ706" s="301"/>
      <c r="AR706" s="301"/>
      <c r="AS706" s="301">
        <v>500000</v>
      </c>
      <c r="AT706" s="301"/>
      <c r="AU706" s="301"/>
      <c r="AV706" s="301"/>
      <c r="AW706" s="301"/>
      <c r="AX706" s="301"/>
      <c r="AY706" s="301"/>
      <c r="AZ706" s="301"/>
      <c r="BA706" s="301"/>
      <c r="BB706" s="301"/>
      <c r="BC706" s="301"/>
      <c r="BD706" s="301"/>
      <c r="BE706" s="301">
        <v>500000</v>
      </c>
      <c r="BF706" s="301"/>
      <c r="BG706" s="303"/>
      <c r="BH706" s="304"/>
    </row>
    <row r="707" spans="1:60" s="305" customFormat="1" ht="16.5" hidden="1" customHeight="1" x14ac:dyDescent="0.4">
      <c r="A707" s="285">
        <v>684</v>
      </c>
      <c r="B707" s="286"/>
      <c r="C707" s="286"/>
      <c r="D707" s="287" t="s">
        <v>92</v>
      </c>
      <c r="E707" s="287" t="s">
        <v>138</v>
      </c>
      <c r="F707" s="288" t="s">
        <v>92</v>
      </c>
      <c r="G707" s="289" t="s">
        <v>732</v>
      </c>
      <c r="H707" s="307"/>
      <c r="I707" s="290"/>
      <c r="J707" s="291" t="s">
        <v>211</v>
      </c>
      <c r="K707" s="287"/>
      <c r="L707" s="287"/>
      <c r="M707" s="287">
        <v>14803</v>
      </c>
      <c r="N707" s="287" t="s">
        <v>23</v>
      </c>
      <c r="O707" s="287" t="s">
        <v>43</v>
      </c>
      <c r="P707" s="287" t="s">
        <v>98</v>
      </c>
      <c r="Q707" s="287" t="s">
        <v>19</v>
      </c>
      <c r="R707" s="287" t="s">
        <v>20</v>
      </c>
      <c r="S707" s="292" t="s">
        <v>20</v>
      </c>
      <c r="T707" s="293"/>
      <c r="U707" s="294">
        <v>53588000</v>
      </c>
      <c r="V707" s="294">
        <v>900000</v>
      </c>
      <c r="W707" s="295">
        <v>0</v>
      </c>
      <c r="X707" s="296"/>
      <c r="Y707" s="287" t="s">
        <v>544</v>
      </c>
      <c r="Z707" s="297" t="s">
        <v>618</v>
      </c>
      <c r="AA707" s="313"/>
      <c r="AB707" s="313"/>
      <c r="AC707" s="298">
        <f t="shared" si="24"/>
        <v>50000000</v>
      </c>
      <c r="AD707" s="298">
        <v>50000000</v>
      </c>
      <c r="AE707" s="298">
        <f t="shared" si="25"/>
        <v>0</v>
      </c>
      <c r="AF707" s="299"/>
      <c r="AG707" s="300"/>
      <c r="AH707" s="299"/>
      <c r="AI707" s="299"/>
      <c r="AJ707" s="300"/>
      <c r="AK707" s="299"/>
      <c r="AL707" s="301"/>
      <c r="AM707" s="314"/>
      <c r="AN707" s="301"/>
      <c r="AO707" s="302"/>
      <c r="AP707" s="301"/>
      <c r="AQ707" s="301"/>
      <c r="AR707" s="301"/>
      <c r="AS707" s="301"/>
      <c r="AT707" s="301"/>
      <c r="AU707" s="301"/>
      <c r="AV707" s="301"/>
      <c r="AW707" s="301"/>
      <c r="AX707" s="301"/>
      <c r="AY707" s="301"/>
      <c r="AZ707" s="301"/>
      <c r="BA707" s="301"/>
      <c r="BB707" s="301"/>
      <c r="BC707" s="301"/>
      <c r="BD707" s="301"/>
      <c r="BE707" s="301">
        <v>50000000</v>
      </c>
      <c r="BF707" s="301"/>
      <c r="BG707" s="303"/>
      <c r="BH707" s="304"/>
    </row>
    <row r="708" spans="1:60" s="305" customFormat="1" ht="16.5" hidden="1" customHeight="1" x14ac:dyDescent="0.4">
      <c r="A708" s="285">
        <v>685</v>
      </c>
      <c r="B708" s="286"/>
      <c r="C708" s="286"/>
      <c r="D708" s="287" t="s">
        <v>92</v>
      </c>
      <c r="E708" s="287" t="s">
        <v>235</v>
      </c>
      <c r="F708" s="288" t="s">
        <v>92</v>
      </c>
      <c r="G708" s="289" t="s">
        <v>732</v>
      </c>
      <c r="H708" s="307"/>
      <c r="I708" s="290"/>
      <c r="J708" s="291" t="s">
        <v>244</v>
      </c>
      <c r="K708" s="287"/>
      <c r="L708" s="287"/>
      <c r="M708" s="287">
        <v>4046</v>
      </c>
      <c r="N708" s="287" t="s">
        <v>40</v>
      </c>
      <c r="O708" s="287" t="s">
        <v>33</v>
      </c>
      <c r="P708" s="287" t="s">
        <v>98</v>
      </c>
      <c r="Q708" s="287" t="s">
        <v>27</v>
      </c>
      <c r="R708" s="287" t="s">
        <v>31</v>
      </c>
      <c r="S708" s="292" t="s">
        <v>31</v>
      </c>
      <c r="T708" s="293"/>
      <c r="U708" s="294" t="s">
        <v>97</v>
      </c>
      <c r="V708" s="294">
        <v>0</v>
      </c>
      <c r="W708" s="295"/>
      <c r="X708" s="296"/>
      <c r="Y708" s="287" t="s">
        <v>56</v>
      </c>
      <c r="Z708" s="297" t="s">
        <v>26</v>
      </c>
      <c r="AA708" s="313"/>
      <c r="AB708" s="313"/>
      <c r="AC708" s="298">
        <f t="shared" si="24"/>
        <v>30000000</v>
      </c>
      <c r="AD708" s="298">
        <v>30000000</v>
      </c>
      <c r="AE708" s="298">
        <f t="shared" si="25"/>
        <v>0</v>
      </c>
      <c r="AF708" s="299"/>
      <c r="AG708" s="300"/>
      <c r="AH708" s="299"/>
      <c r="AI708" s="299"/>
      <c r="AJ708" s="300"/>
      <c r="AK708" s="299"/>
      <c r="AL708" s="301"/>
      <c r="AM708" s="314"/>
      <c r="AN708" s="301"/>
      <c r="AO708" s="302"/>
      <c r="AP708" s="301"/>
      <c r="AQ708" s="301"/>
      <c r="AR708" s="301"/>
      <c r="AS708" s="301">
        <v>30000000</v>
      </c>
      <c r="AT708" s="301"/>
      <c r="AU708" s="301"/>
      <c r="AV708" s="301"/>
      <c r="AW708" s="301"/>
      <c r="AX708" s="301"/>
      <c r="AY708" s="301"/>
      <c r="AZ708" s="301"/>
      <c r="BA708" s="301"/>
      <c r="BB708" s="301"/>
      <c r="BC708" s="301"/>
      <c r="BD708" s="301"/>
      <c r="BE708" s="301"/>
      <c r="BF708" s="301"/>
      <c r="BG708" s="303"/>
      <c r="BH708" s="304"/>
    </row>
    <row r="709" spans="1:60" s="305" customFormat="1" ht="16.5" hidden="1" customHeight="1" x14ac:dyDescent="0.4">
      <c r="A709" s="285">
        <v>686</v>
      </c>
      <c r="B709" s="286"/>
      <c r="C709" s="286"/>
      <c r="D709" s="287" t="s">
        <v>92</v>
      </c>
      <c r="E709" s="287" t="s">
        <v>196</v>
      </c>
      <c r="F709" s="288" t="s">
        <v>92</v>
      </c>
      <c r="G709" s="289" t="s">
        <v>732</v>
      </c>
      <c r="H709" s="307"/>
      <c r="I709" s="290"/>
      <c r="J709" s="291" t="s">
        <v>73</v>
      </c>
      <c r="K709" s="287"/>
      <c r="L709" s="287"/>
      <c r="M709" s="287">
        <v>1908</v>
      </c>
      <c r="N709" s="287" t="s">
        <v>32</v>
      </c>
      <c r="O709" s="287" t="s">
        <v>43</v>
      </c>
      <c r="P709" s="287" t="s">
        <v>44</v>
      </c>
      <c r="Q709" s="287" t="s">
        <v>19</v>
      </c>
      <c r="R709" s="287" t="s">
        <v>20</v>
      </c>
      <c r="S709" s="292" t="s">
        <v>20</v>
      </c>
      <c r="T709" s="293"/>
      <c r="U709" s="294">
        <v>30925840</v>
      </c>
      <c r="V709" s="294">
        <v>15060000</v>
      </c>
      <c r="W709" s="295">
        <v>6955260</v>
      </c>
      <c r="X709" s="296"/>
      <c r="Y709" s="287" t="s">
        <v>28</v>
      </c>
      <c r="Z709" s="297" t="s">
        <v>28</v>
      </c>
      <c r="AA709" s="313"/>
      <c r="AB709" s="313"/>
      <c r="AC709" s="298">
        <f t="shared" si="24"/>
        <v>725800</v>
      </c>
      <c r="AD709" s="298">
        <v>725800</v>
      </c>
      <c r="AE709" s="298">
        <f t="shared" si="25"/>
        <v>0</v>
      </c>
      <c r="AF709" s="299"/>
      <c r="AG709" s="300">
        <v>725800</v>
      </c>
      <c r="AH709" s="299"/>
      <c r="AI709" s="299"/>
      <c r="AJ709" s="300"/>
      <c r="AK709" s="299"/>
      <c r="AL709" s="301"/>
      <c r="AM709" s="314"/>
      <c r="AN709" s="301"/>
      <c r="AO709" s="302"/>
      <c r="AP709" s="301"/>
      <c r="AQ709" s="301"/>
      <c r="AR709" s="301"/>
      <c r="AS709" s="301"/>
      <c r="AT709" s="301"/>
      <c r="AU709" s="301"/>
      <c r="AV709" s="301"/>
      <c r="AW709" s="301"/>
      <c r="AX709" s="301"/>
      <c r="AY709" s="301"/>
      <c r="AZ709" s="301"/>
      <c r="BA709" s="301"/>
      <c r="BB709" s="301"/>
      <c r="BC709" s="301"/>
      <c r="BD709" s="301"/>
      <c r="BE709" s="301"/>
      <c r="BF709" s="301"/>
      <c r="BG709" s="303"/>
      <c r="BH709" s="304"/>
    </row>
    <row r="710" spans="1:60" s="305" customFormat="1" ht="16.5" hidden="1" customHeight="1" x14ac:dyDescent="0.4">
      <c r="A710" s="285">
        <v>687</v>
      </c>
      <c r="B710" s="286"/>
      <c r="C710" s="286"/>
      <c r="D710" s="287" t="s">
        <v>92</v>
      </c>
      <c r="E710" s="287" t="s">
        <v>196</v>
      </c>
      <c r="F710" s="288" t="s">
        <v>92</v>
      </c>
      <c r="G710" s="289" t="s">
        <v>732</v>
      </c>
      <c r="H710" s="307"/>
      <c r="I710" s="290"/>
      <c r="J710" s="291" t="s">
        <v>73</v>
      </c>
      <c r="K710" s="287"/>
      <c r="L710" s="287"/>
      <c r="M710" s="287">
        <v>1908</v>
      </c>
      <c r="N710" s="287" t="s">
        <v>32</v>
      </c>
      <c r="O710" s="287" t="s">
        <v>33</v>
      </c>
      <c r="P710" s="287" t="s">
        <v>44</v>
      </c>
      <c r="Q710" s="287" t="s">
        <v>19</v>
      </c>
      <c r="R710" s="287" t="s">
        <v>20</v>
      </c>
      <c r="S710" s="292" t="s">
        <v>20</v>
      </c>
      <c r="T710" s="293"/>
      <c r="U710" s="294"/>
      <c r="V710" s="294">
        <v>0</v>
      </c>
      <c r="W710" s="295">
        <v>0</v>
      </c>
      <c r="X710" s="296"/>
      <c r="Y710" s="287" t="s">
        <v>25</v>
      </c>
      <c r="Z710" s="297" t="s">
        <v>26</v>
      </c>
      <c r="AA710" s="313"/>
      <c r="AB710" s="313"/>
      <c r="AC710" s="298">
        <f t="shared" si="24"/>
        <v>30000000</v>
      </c>
      <c r="AD710" s="298">
        <v>30000000</v>
      </c>
      <c r="AE710" s="298">
        <f t="shared" si="25"/>
        <v>0</v>
      </c>
      <c r="AF710" s="299"/>
      <c r="AG710" s="300"/>
      <c r="AH710" s="299"/>
      <c r="AI710" s="299"/>
      <c r="AJ710" s="300"/>
      <c r="AK710" s="299"/>
      <c r="AL710" s="301"/>
      <c r="AM710" s="314"/>
      <c r="AN710" s="301"/>
      <c r="AO710" s="302"/>
      <c r="AP710" s="301"/>
      <c r="AQ710" s="316">
        <v>5000000</v>
      </c>
      <c r="AR710" s="301"/>
      <c r="AS710" s="301">
        <v>15000000</v>
      </c>
      <c r="AT710" s="301"/>
      <c r="AU710" s="301">
        <v>5000000</v>
      </c>
      <c r="AV710" s="301"/>
      <c r="AW710" s="301"/>
      <c r="AX710" s="301"/>
      <c r="AY710" s="301"/>
      <c r="AZ710" s="301"/>
      <c r="BA710" s="301"/>
      <c r="BB710" s="301"/>
      <c r="BC710" s="301"/>
      <c r="BD710" s="301"/>
      <c r="BE710" s="301">
        <v>5000000</v>
      </c>
      <c r="BF710" s="301"/>
      <c r="BG710" s="303"/>
      <c r="BH710" s="304"/>
    </row>
    <row r="711" spans="1:60" s="305" customFormat="1" ht="16.5" hidden="1" customHeight="1" x14ac:dyDescent="0.4">
      <c r="A711" s="285">
        <v>688</v>
      </c>
      <c r="B711" s="286"/>
      <c r="C711" s="286"/>
      <c r="D711" s="287" t="s">
        <v>92</v>
      </c>
      <c r="E711" s="287" t="s">
        <v>196</v>
      </c>
      <c r="F711" s="288" t="s">
        <v>92</v>
      </c>
      <c r="G711" s="289" t="s">
        <v>732</v>
      </c>
      <c r="H711" s="307"/>
      <c r="I711" s="290"/>
      <c r="J711" s="291" t="s">
        <v>73</v>
      </c>
      <c r="K711" s="287"/>
      <c r="L711" s="287"/>
      <c r="M711" s="287">
        <v>1908</v>
      </c>
      <c r="N711" s="287" t="s">
        <v>32</v>
      </c>
      <c r="O711" s="287" t="s">
        <v>43</v>
      </c>
      <c r="P711" s="287" t="s">
        <v>44</v>
      </c>
      <c r="Q711" s="287"/>
      <c r="R711" s="287"/>
      <c r="S711" s="292" t="s">
        <v>31</v>
      </c>
      <c r="T711" s="293"/>
      <c r="U711" s="294"/>
      <c r="V711" s="294"/>
      <c r="W711" s="295">
        <v>19158000</v>
      </c>
      <c r="X711" s="296"/>
      <c r="Y711" s="287"/>
      <c r="Z711" s="297" t="s">
        <v>656</v>
      </c>
      <c r="AA711" s="313"/>
      <c r="AB711" s="313"/>
      <c r="AC711" s="298">
        <f t="shared" si="24"/>
        <v>0</v>
      </c>
      <c r="AD711" s="298">
        <v>0</v>
      </c>
      <c r="AE711" s="298">
        <f t="shared" si="25"/>
        <v>0</v>
      </c>
      <c r="AF711" s="299"/>
      <c r="AG711" s="300"/>
      <c r="AH711" s="299"/>
      <c r="AI711" s="299"/>
      <c r="AJ711" s="300"/>
      <c r="AK711" s="299"/>
      <c r="AL711" s="301"/>
      <c r="AM711" s="314"/>
      <c r="AN711" s="301"/>
      <c r="AO711" s="302"/>
      <c r="AP711" s="301"/>
      <c r="AQ711" s="301"/>
      <c r="AR711" s="301"/>
      <c r="AS711" s="301"/>
      <c r="AT711" s="301"/>
      <c r="AU711" s="301"/>
      <c r="AV711" s="301"/>
      <c r="AW711" s="301"/>
      <c r="AX711" s="301"/>
      <c r="AY711" s="301"/>
      <c r="AZ711" s="301"/>
      <c r="BA711" s="301"/>
      <c r="BB711" s="301"/>
      <c r="BC711" s="301"/>
      <c r="BD711" s="301"/>
      <c r="BE711" s="301"/>
      <c r="BF711" s="301"/>
      <c r="BG711" s="303"/>
      <c r="BH711" s="304"/>
    </row>
    <row r="712" spans="1:60" s="305" customFormat="1" ht="16.5" hidden="1" customHeight="1" x14ac:dyDescent="0.4">
      <c r="A712" s="285">
        <v>689</v>
      </c>
      <c r="B712" s="286"/>
      <c r="C712" s="286"/>
      <c r="D712" s="287" t="s">
        <v>92</v>
      </c>
      <c r="E712" s="287" t="s">
        <v>196</v>
      </c>
      <c r="F712" s="288" t="s">
        <v>92</v>
      </c>
      <c r="G712" s="289" t="s">
        <v>732</v>
      </c>
      <c r="H712" s="307"/>
      <c r="I712" s="290"/>
      <c r="J712" s="291" t="s">
        <v>73</v>
      </c>
      <c r="K712" s="287"/>
      <c r="L712" s="287"/>
      <c r="M712" s="287">
        <v>1908</v>
      </c>
      <c r="N712" s="287" t="s">
        <v>32</v>
      </c>
      <c r="O712" s="287" t="s">
        <v>43</v>
      </c>
      <c r="P712" s="287" t="s">
        <v>44</v>
      </c>
      <c r="Q712" s="287"/>
      <c r="R712" s="287" t="s">
        <v>340</v>
      </c>
      <c r="S712" s="292" t="s">
        <v>340</v>
      </c>
      <c r="T712" s="293"/>
      <c r="U712" s="294"/>
      <c r="V712" s="294"/>
      <c r="W712" s="295">
        <v>22420000</v>
      </c>
      <c r="X712" s="296"/>
      <c r="Y712" s="287" t="s">
        <v>28</v>
      </c>
      <c r="Z712" s="297" t="s">
        <v>25</v>
      </c>
      <c r="AA712" s="313"/>
      <c r="AB712" s="313"/>
      <c r="AC712" s="298">
        <f t="shared" si="24"/>
        <v>14000000</v>
      </c>
      <c r="AD712" s="298">
        <v>14000000</v>
      </c>
      <c r="AE712" s="298">
        <f t="shared" si="25"/>
        <v>0</v>
      </c>
      <c r="AF712" s="299"/>
      <c r="AG712" s="300"/>
      <c r="AH712" s="299"/>
      <c r="AI712" s="299"/>
      <c r="AJ712" s="300"/>
      <c r="AK712" s="299"/>
      <c r="AL712" s="301"/>
      <c r="AM712" s="314"/>
      <c r="AN712" s="301"/>
      <c r="AO712" s="302"/>
      <c r="AP712" s="301"/>
      <c r="AQ712" s="316">
        <v>7000000</v>
      </c>
      <c r="AR712" s="301"/>
      <c r="AS712" s="301"/>
      <c r="AT712" s="301"/>
      <c r="AU712" s="301"/>
      <c r="AV712" s="301"/>
      <c r="AW712" s="301">
        <v>7000000</v>
      </c>
      <c r="AX712" s="301"/>
      <c r="AY712" s="301"/>
      <c r="AZ712" s="301"/>
      <c r="BA712" s="301"/>
      <c r="BB712" s="301"/>
      <c r="BC712" s="301"/>
      <c r="BD712" s="301"/>
      <c r="BE712" s="301"/>
      <c r="BF712" s="301"/>
      <c r="BG712" s="303"/>
      <c r="BH712" s="304"/>
    </row>
    <row r="713" spans="1:60" s="305" customFormat="1" ht="16.5" hidden="1" customHeight="1" x14ac:dyDescent="0.4">
      <c r="A713" s="285">
        <v>690</v>
      </c>
      <c r="B713" s="286"/>
      <c r="C713" s="286"/>
      <c r="D713" s="287" t="s">
        <v>92</v>
      </c>
      <c r="E713" s="287" t="s">
        <v>196</v>
      </c>
      <c r="F713" s="288" t="s">
        <v>92</v>
      </c>
      <c r="G713" s="289" t="s">
        <v>732</v>
      </c>
      <c r="H713" s="307"/>
      <c r="I713" s="290"/>
      <c r="J713" s="291" t="s">
        <v>73</v>
      </c>
      <c r="K713" s="287"/>
      <c r="L713" s="287"/>
      <c r="M713" s="287">
        <v>1908</v>
      </c>
      <c r="N713" s="287" t="s">
        <v>32</v>
      </c>
      <c r="O713" s="287" t="s">
        <v>33</v>
      </c>
      <c r="P713" s="287" t="s">
        <v>44</v>
      </c>
      <c r="Q713" s="287" t="s">
        <v>27</v>
      </c>
      <c r="R713" s="287" t="s">
        <v>340</v>
      </c>
      <c r="S713" s="292" t="s">
        <v>340</v>
      </c>
      <c r="T713" s="293"/>
      <c r="U713" s="294">
        <v>38290910</v>
      </c>
      <c r="V713" s="294">
        <v>27250000</v>
      </c>
      <c r="W713" s="295">
        <v>0</v>
      </c>
      <c r="X713" s="296"/>
      <c r="Y713" s="287" t="s">
        <v>25</v>
      </c>
      <c r="Z713" s="297" t="s">
        <v>26</v>
      </c>
      <c r="AA713" s="313"/>
      <c r="AB713" s="313"/>
      <c r="AC713" s="298">
        <f t="shared" si="24"/>
        <v>15000000</v>
      </c>
      <c r="AD713" s="298">
        <v>15000000</v>
      </c>
      <c r="AE713" s="298">
        <f t="shared" si="25"/>
        <v>0</v>
      </c>
      <c r="AF713" s="299"/>
      <c r="AG713" s="300"/>
      <c r="AH713" s="299"/>
      <c r="AI713" s="299"/>
      <c r="AJ713" s="300"/>
      <c r="AK713" s="299"/>
      <c r="AL713" s="301"/>
      <c r="AM713" s="314"/>
      <c r="AN713" s="301"/>
      <c r="AO713" s="302"/>
      <c r="AP713" s="301"/>
      <c r="AQ713" s="301"/>
      <c r="AR713" s="301"/>
      <c r="AS713" s="301">
        <v>10000000</v>
      </c>
      <c r="AT713" s="301"/>
      <c r="AU713" s="301"/>
      <c r="AV713" s="301"/>
      <c r="AW713" s="301"/>
      <c r="AX713" s="301"/>
      <c r="AY713" s="301"/>
      <c r="AZ713" s="301"/>
      <c r="BA713" s="301"/>
      <c r="BB713" s="301"/>
      <c r="BC713" s="301"/>
      <c r="BD713" s="301"/>
      <c r="BE713" s="301">
        <v>5000000</v>
      </c>
      <c r="BF713" s="301"/>
      <c r="BG713" s="303"/>
      <c r="BH713" s="304"/>
    </row>
    <row r="714" spans="1:60" s="305" customFormat="1" ht="16.5" hidden="1" customHeight="1" x14ac:dyDescent="0.4">
      <c r="A714" s="285">
        <v>691</v>
      </c>
      <c r="B714" s="286"/>
      <c r="C714" s="286"/>
      <c r="D714" s="287" t="s">
        <v>92</v>
      </c>
      <c r="E714" s="287" t="s">
        <v>196</v>
      </c>
      <c r="F714" s="288" t="s">
        <v>92</v>
      </c>
      <c r="G714" s="289" t="s">
        <v>732</v>
      </c>
      <c r="H714" s="307"/>
      <c r="I714" s="290"/>
      <c r="J714" s="291" t="s">
        <v>73</v>
      </c>
      <c r="K714" s="287"/>
      <c r="L714" s="287"/>
      <c r="M714" s="287">
        <v>1908</v>
      </c>
      <c r="N714" s="287" t="s">
        <v>32</v>
      </c>
      <c r="O714" s="287" t="s">
        <v>43</v>
      </c>
      <c r="P714" s="287" t="s">
        <v>44</v>
      </c>
      <c r="Q714" s="287"/>
      <c r="R714" s="287" t="s">
        <v>221</v>
      </c>
      <c r="S714" s="292" t="s">
        <v>745</v>
      </c>
      <c r="T714" s="293"/>
      <c r="U714" s="294"/>
      <c r="V714" s="294"/>
      <c r="W714" s="295">
        <v>23181818</v>
      </c>
      <c r="X714" s="296"/>
      <c r="Y714" s="287" t="s">
        <v>28</v>
      </c>
      <c r="Z714" s="297" t="s">
        <v>25</v>
      </c>
      <c r="AA714" s="313"/>
      <c r="AB714" s="313"/>
      <c r="AC714" s="298">
        <f t="shared" si="24"/>
        <v>10000000</v>
      </c>
      <c r="AD714" s="298">
        <v>10000000</v>
      </c>
      <c r="AE714" s="298">
        <f t="shared" si="25"/>
        <v>0</v>
      </c>
      <c r="AF714" s="299"/>
      <c r="AG714" s="300"/>
      <c r="AH714" s="299"/>
      <c r="AI714" s="299"/>
      <c r="AJ714" s="300"/>
      <c r="AK714" s="299"/>
      <c r="AL714" s="301"/>
      <c r="AM714" s="314"/>
      <c r="AN714" s="301"/>
      <c r="AO714" s="302"/>
      <c r="AP714" s="301"/>
      <c r="AQ714" s="301"/>
      <c r="AR714" s="301"/>
      <c r="AS714" s="301"/>
      <c r="AT714" s="301"/>
      <c r="AU714" s="301"/>
      <c r="AV714" s="301"/>
      <c r="AW714" s="301"/>
      <c r="AX714" s="301"/>
      <c r="AY714" s="301"/>
      <c r="AZ714" s="301"/>
      <c r="BA714" s="301">
        <v>10000000</v>
      </c>
      <c r="BB714" s="301"/>
      <c r="BC714" s="301"/>
      <c r="BD714" s="301"/>
      <c r="BE714" s="301"/>
      <c r="BF714" s="301"/>
      <c r="BG714" s="303"/>
      <c r="BH714" s="304"/>
    </row>
    <row r="715" spans="1:60" s="305" customFormat="1" ht="16.5" hidden="1" customHeight="1" x14ac:dyDescent="0.4">
      <c r="A715" s="285">
        <v>692</v>
      </c>
      <c r="B715" s="286"/>
      <c r="C715" s="286"/>
      <c r="D715" s="287" t="s">
        <v>92</v>
      </c>
      <c r="E715" s="287" t="s">
        <v>196</v>
      </c>
      <c r="F715" s="288" t="s">
        <v>92</v>
      </c>
      <c r="G715" s="289" t="s">
        <v>732</v>
      </c>
      <c r="H715" s="307"/>
      <c r="I715" s="290"/>
      <c r="J715" s="291" t="s">
        <v>73</v>
      </c>
      <c r="K715" s="287"/>
      <c r="L715" s="287"/>
      <c r="M715" s="287">
        <v>1908</v>
      </c>
      <c r="N715" s="287" t="s">
        <v>32</v>
      </c>
      <c r="O715" s="287" t="s">
        <v>33</v>
      </c>
      <c r="P715" s="287" t="s">
        <v>44</v>
      </c>
      <c r="Q715" s="287" t="s">
        <v>24</v>
      </c>
      <c r="R715" s="287" t="s">
        <v>221</v>
      </c>
      <c r="S715" s="292" t="s">
        <v>745</v>
      </c>
      <c r="T715" s="293"/>
      <c r="U715" s="294">
        <v>19500000</v>
      </c>
      <c r="V715" s="294">
        <v>25500000</v>
      </c>
      <c r="W715" s="295">
        <v>0</v>
      </c>
      <c r="X715" s="296"/>
      <c r="Y715" s="287" t="s">
        <v>26</v>
      </c>
      <c r="Z715" s="297" t="s">
        <v>26</v>
      </c>
      <c r="AA715" s="313"/>
      <c r="AB715" s="313"/>
      <c r="AC715" s="298">
        <f t="shared" si="24"/>
        <v>10000000</v>
      </c>
      <c r="AD715" s="298">
        <v>10000000</v>
      </c>
      <c r="AE715" s="298">
        <f t="shared" si="25"/>
        <v>0</v>
      </c>
      <c r="AF715" s="299"/>
      <c r="AG715" s="300"/>
      <c r="AH715" s="299"/>
      <c r="AI715" s="299"/>
      <c r="AJ715" s="300"/>
      <c r="AK715" s="299"/>
      <c r="AL715" s="301"/>
      <c r="AM715" s="314"/>
      <c r="AN715" s="301"/>
      <c r="AO715" s="302"/>
      <c r="AP715" s="301"/>
      <c r="AQ715" s="301"/>
      <c r="AR715" s="301"/>
      <c r="AS715" s="301">
        <v>10000000</v>
      </c>
      <c r="AT715" s="301"/>
      <c r="AU715" s="301"/>
      <c r="AV715" s="301"/>
      <c r="AW715" s="301"/>
      <c r="AX715" s="301"/>
      <c r="AY715" s="301"/>
      <c r="AZ715" s="301"/>
      <c r="BA715" s="301"/>
      <c r="BB715" s="301"/>
      <c r="BC715" s="301"/>
      <c r="BD715" s="301"/>
      <c r="BE715" s="301"/>
      <c r="BF715" s="301"/>
      <c r="BG715" s="303"/>
      <c r="BH715" s="304"/>
    </row>
    <row r="716" spans="1:60" s="305" customFormat="1" ht="16.5" hidden="1" customHeight="1" x14ac:dyDescent="0.4">
      <c r="A716" s="285">
        <v>693</v>
      </c>
      <c r="B716" s="286"/>
      <c r="C716" s="286"/>
      <c r="D716" s="287" t="s">
        <v>92</v>
      </c>
      <c r="E716" s="287" t="s">
        <v>196</v>
      </c>
      <c r="F716" s="288" t="s">
        <v>92</v>
      </c>
      <c r="G716" s="289" t="s">
        <v>732</v>
      </c>
      <c r="H716" s="307"/>
      <c r="I716" s="290"/>
      <c r="J716" s="291" t="s">
        <v>228</v>
      </c>
      <c r="K716" s="287"/>
      <c r="L716" s="287"/>
      <c r="M716" s="287">
        <v>9563</v>
      </c>
      <c r="N716" s="287" t="s">
        <v>32</v>
      </c>
      <c r="O716" s="287" t="s">
        <v>43</v>
      </c>
      <c r="P716" s="287" t="s">
        <v>44</v>
      </c>
      <c r="Q716" s="287" t="s">
        <v>30</v>
      </c>
      <c r="R716" s="287" t="s">
        <v>31</v>
      </c>
      <c r="S716" s="292" t="s">
        <v>31</v>
      </c>
      <c r="T716" s="293"/>
      <c r="U716" s="294">
        <v>36363636</v>
      </c>
      <c r="V716" s="294">
        <v>39236363.636363633</v>
      </c>
      <c r="W716" s="295">
        <v>13092364</v>
      </c>
      <c r="X716" s="296"/>
      <c r="Y716" s="287" t="s">
        <v>28</v>
      </c>
      <c r="Z716" s="297" t="s">
        <v>28</v>
      </c>
      <c r="AA716" s="313"/>
      <c r="AB716" s="313"/>
      <c r="AC716" s="298">
        <f t="shared" si="24"/>
        <v>40240000</v>
      </c>
      <c r="AD716" s="298">
        <v>40240000</v>
      </c>
      <c r="AE716" s="298">
        <f t="shared" si="25"/>
        <v>0</v>
      </c>
      <c r="AF716" s="299"/>
      <c r="AG716" s="300"/>
      <c r="AH716" s="299"/>
      <c r="AI716" s="299"/>
      <c r="AJ716" s="300"/>
      <c r="AK716" s="299"/>
      <c r="AL716" s="301"/>
      <c r="AM716" s="314"/>
      <c r="AN716" s="301"/>
      <c r="AO716" s="302">
        <v>4330000</v>
      </c>
      <c r="AP716" s="301"/>
      <c r="AQ716" s="301">
        <v>4330000</v>
      </c>
      <c r="AR716" s="301"/>
      <c r="AS716" s="301">
        <v>4330000</v>
      </c>
      <c r="AT716" s="301"/>
      <c r="AU716" s="301">
        <v>4330000</v>
      </c>
      <c r="AV716" s="301"/>
      <c r="AW716" s="301">
        <v>4330000</v>
      </c>
      <c r="AX716" s="301"/>
      <c r="AY716" s="301">
        <v>4330000</v>
      </c>
      <c r="AZ716" s="301"/>
      <c r="BA716" s="301">
        <v>4330000</v>
      </c>
      <c r="BB716" s="301"/>
      <c r="BC716" s="301">
        <v>4330000</v>
      </c>
      <c r="BD716" s="301"/>
      <c r="BE716" s="301">
        <v>5600000</v>
      </c>
      <c r="BF716" s="301"/>
      <c r="BG716" s="303"/>
      <c r="BH716" s="304"/>
    </row>
    <row r="717" spans="1:60" s="305" customFormat="1" ht="16.5" hidden="1" customHeight="1" x14ac:dyDescent="0.4">
      <c r="A717" s="285">
        <v>694</v>
      </c>
      <c r="B717" s="286"/>
      <c r="C717" s="286"/>
      <c r="D717" s="287" t="s">
        <v>92</v>
      </c>
      <c r="E717" s="287" t="s">
        <v>196</v>
      </c>
      <c r="F717" s="288" t="s">
        <v>92</v>
      </c>
      <c r="G717" s="289" t="s">
        <v>732</v>
      </c>
      <c r="H717" s="307"/>
      <c r="I717" s="290"/>
      <c r="J717" s="291" t="s">
        <v>228</v>
      </c>
      <c r="K717" s="287"/>
      <c r="L717" s="287"/>
      <c r="M717" s="287">
        <v>9563</v>
      </c>
      <c r="N717" s="287" t="s">
        <v>32</v>
      </c>
      <c r="O717" s="287" t="s">
        <v>43</v>
      </c>
      <c r="P717" s="287" t="s">
        <v>44</v>
      </c>
      <c r="Q717" s="287" t="s">
        <v>24</v>
      </c>
      <c r="R717" s="287" t="s">
        <v>221</v>
      </c>
      <c r="S717" s="292" t="s">
        <v>745</v>
      </c>
      <c r="T717" s="293"/>
      <c r="U717" s="294"/>
      <c r="V717" s="294">
        <v>8000000</v>
      </c>
      <c r="W717" s="295">
        <v>9545455</v>
      </c>
      <c r="X717" s="296"/>
      <c r="Y717" s="287" t="s">
        <v>26</v>
      </c>
      <c r="Z717" s="297" t="s">
        <v>26</v>
      </c>
      <c r="AA717" s="313"/>
      <c r="AB717" s="313"/>
      <c r="AC717" s="298">
        <f t="shared" si="24"/>
        <v>8000000</v>
      </c>
      <c r="AD717" s="298">
        <v>8000000</v>
      </c>
      <c r="AE717" s="298">
        <f t="shared" si="25"/>
        <v>0</v>
      </c>
      <c r="AF717" s="299"/>
      <c r="AG717" s="300"/>
      <c r="AH717" s="299"/>
      <c r="AI717" s="299"/>
      <c r="AJ717" s="300"/>
      <c r="AK717" s="299"/>
      <c r="AL717" s="301"/>
      <c r="AM717" s="314"/>
      <c r="AN717" s="301"/>
      <c r="AO717" s="302"/>
      <c r="AP717" s="301"/>
      <c r="AQ717" s="301"/>
      <c r="AR717" s="301"/>
      <c r="AS717" s="301"/>
      <c r="AT717" s="301"/>
      <c r="AU717" s="301"/>
      <c r="AV717" s="301"/>
      <c r="AW717" s="301"/>
      <c r="AX717" s="301"/>
      <c r="AY717" s="301">
        <v>8000000</v>
      </c>
      <c r="AZ717" s="301"/>
      <c r="BA717" s="301"/>
      <c r="BB717" s="301"/>
      <c r="BC717" s="301"/>
      <c r="BD717" s="301"/>
      <c r="BE717" s="301"/>
      <c r="BF717" s="301"/>
      <c r="BG717" s="303"/>
      <c r="BH717" s="304"/>
    </row>
    <row r="718" spans="1:60" s="305" customFormat="1" ht="16.5" hidden="1" customHeight="1" x14ac:dyDescent="0.4">
      <c r="A718" s="285">
        <v>695</v>
      </c>
      <c r="B718" s="286"/>
      <c r="C718" s="286"/>
      <c r="D718" s="287" t="s">
        <v>92</v>
      </c>
      <c r="E718" s="287" t="s">
        <v>196</v>
      </c>
      <c r="F718" s="288" t="s">
        <v>92</v>
      </c>
      <c r="G718" s="289" t="s">
        <v>732</v>
      </c>
      <c r="H718" s="307"/>
      <c r="I718" s="290"/>
      <c r="J718" s="291" t="s">
        <v>228</v>
      </c>
      <c r="K718" s="287"/>
      <c r="L718" s="287"/>
      <c r="M718" s="287">
        <v>9563</v>
      </c>
      <c r="N718" s="287" t="s">
        <v>32</v>
      </c>
      <c r="O718" s="287" t="s">
        <v>43</v>
      </c>
      <c r="P718" s="287" t="s">
        <v>44</v>
      </c>
      <c r="Q718" s="287" t="s">
        <v>46</v>
      </c>
      <c r="R718" s="287" t="s">
        <v>347</v>
      </c>
      <c r="S718" s="292" t="s">
        <v>750</v>
      </c>
      <c r="T718" s="293"/>
      <c r="U718" s="294">
        <v>81818182</v>
      </c>
      <c r="V718" s="294">
        <v>79090908.909090906</v>
      </c>
      <c r="W718" s="295">
        <v>102369455</v>
      </c>
      <c r="X718" s="296"/>
      <c r="Y718" s="287" t="s">
        <v>28</v>
      </c>
      <c r="Z718" s="297" t="s">
        <v>28</v>
      </c>
      <c r="AA718" s="313"/>
      <c r="AB718" s="313"/>
      <c r="AC718" s="298">
        <f t="shared" si="24"/>
        <v>80000000</v>
      </c>
      <c r="AD718" s="298">
        <v>80000000</v>
      </c>
      <c r="AE718" s="298">
        <f t="shared" si="25"/>
        <v>0</v>
      </c>
      <c r="AF718" s="299"/>
      <c r="AG718" s="300"/>
      <c r="AH718" s="299"/>
      <c r="AI718" s="299"/>
      <c r="AJ718" s="300"/>
      <c r="AK718" s="299"/>
      <c r="AL718" s="301"/>
      <c r="AM718" s="314"/>
      <c r="AN718" s="301"/>
      <c r="AO718" s="302">
        <v>8800000</v>
      </c>
      <c r="AP718" s="301"/>
      <c r="AQ718" s="301">
        <v>8800000</v>
      </c>
      <c r="AR718" s="301"/>
      <c r="AS718" s="301">
        <v>8800000</v>
      </c>
      <c r="AT718" s="301"/>
      <c r="AU718" s="301">
        <v>8800000</v>
      </c>
      <c r="AV718" s="301"/>
      <c r="AW718" s="301">
        <v>8800000</v>
      </c>
      <c r="AX718" s="301"/>
      <c r="AY718" s="301">
        <v>8800000</v>
      </c>
      <c r="AZ718" s="301"/>
      <c r="BA718" s="301">
        <v>8800000</v>
      </c>
      <c r="BB718" s="301"/>
      <c r="BC718" s="301">
        <v>8800000</v>
      </c>
      <c r="BD718" s="301"/>
      <c r="BE718" s="301">
        <v>9600000</v>
      </c>
      <c r="BF718" s="301"/>
      <c r="BG718" s="303"/>
      <c r="BH718" s="304"/>
    </row>
    <row r="719" spans="1:60" s="305" customFormat="1" ht="16.5" hidden="1" customHeight="1" x14ac:dyDescent="0.4">
      <c r="A719" s="285">
        <v>696</v>
      </c>
      <c r="B719" s="286"/>
      <c r="C719" s="286"/>
      <c r="D719" s="287" t="s">
        <v>92</v>
      </c>
      <c r="E719" s="287" t="s">
        <v>102</v>
      </c>
      <c r="F719" s="288" t="s">
        <v>92</v>
      </c>
      <c r="G719" s="289" t="s">
        <v>732</v>
      </c>
      <c r="H719" s="307"/>
      <c r="I719" s="290"/>
      <c r="J719" s="291" t="s">
        <v>519</v>
      </c>
      <c r="K719" s="287"/>
      <c r="L719" s="287"/>
      <c r="M719" s="287">
        <v>6578</v>
      </c>
      <c r="N719" s="287" t="s">
        <v>23</v>
      </c>
      <c r="O719" s="287" t="s">
        <v>43</v>
      </c>
      <c r="P719" s="287" t="s">
        <v>44</v>
      </c>
      <c r="Q719" s="287" t="s">
        <v>49</v>
      </c>
      <c r="R719" s="287" t="s">
        <v>29</v>
      </c>
      <c r="S719" s="292" t="s">
        <v>29</v>
      </c>
      <c r="T719" s="293" t="s">
        <v>798</v>
      </c>
      <c r="U719" s="294"/>
      <c r="V719" s="294">
        <v>64163628</v>
      </c>
      <c r="W719" s="295">
        <v>70884900</v>
      </c>
      <c r="X719" s="296"/>
      <c r="Y719" s="287" t="s">
        <v>28</v>
      </c>
      <c r="Z719" s="297" t="s">
        <v>28</v>
      </c>
      <c r="AA719" s="313"/>
      <c r="AB719" s="313"/>
      <c r="AC719" s="298">
        <f t="shared" si="24"/>
        <v>79000000</v>
      </c>
      <c r="AD719" s="298">
        <v>79000000</v>
      </c>
      <c r="AE719" s="298">
        <f t="shared" si="25"/>
        <v>0</v>
      </c>
      <c r="AF719" s="299"/>
      <c r="AG719" s="300"/>
      <c r="AH719" s="299"/>
      <c r="AI719" s="299"/>
      <c r="AJ719" s="300"/>
      <c r="AK719" s="299"/>
      <c r="AL719" s="301">
        <v>5480320</v>
      </c>
      <c r="AM719" s="314">
        <v>5480320</v>
      </c>
      <c r="AN719" s="301" t="s">
        <v>822</v>
      </c>
      <c r="AO719" s="302">
        <v>11519680</v>
      </c>
      <c r="AP719" s="301"/>
      <c r="AQ719" s="301">
        <v>9000000</v>
      </c>
      <c r="AR719" s="301"/>
      <c r="AS719" s="301">
        <v>9000000</v>
      </c>
      <c r="AT719" s="301"/>
      <c r="AU719" s="301">
        <v>9000000</v>
      </c>
      <c r="AV719" s="301"/>
      <c r="AW719" s="301">
        <v>9000000</v>
      </c>
      <c r="AX719" s="301"/>
      <c r="AY719" s="301">
        <v>9000000</v>
      </c>
      <c r="AZ719" s="301"/>
      <c r="BA719" s="301">
        <v>9000000</v>
      </c>
      <c r="BB719" s="301"/>
      <c r="BC719" s="301">
        <v>8000000</v>
      </c>
      <c r="BD719" s="301"/>
      <c r="BE719" s="301"/>
      <c r="BF719" s="301"/>
      <c r="BG719" s="303"/>
      <c r="BH719" s="304"/>
    </row>
    <row r="720" spans="1:60" s="305" customFormat="1" ht="16.5" hidden="1" customHeight="1" x14ac:dyDescent="0.4">
      <c r="A720" s="285">
        <v>697</v>
      </c>
      <c r="B720" s="286"/>
      <c r="C720" s="286"/>
      <c r="D720" s="287" t="s">
        <v>92</v>
      </c>
      <c r="E720" s="287" t="s">
        <v>102</v>
      </c>
      <c r="F720" s="288" t="s">
        <v>92</v>
      </c>
      <c r="G720" s="289" t="s">
        <v>732</v>
      </c>
      <c r="H720" s="307"/>
      <c r="I720" s="290"/>
      <c r="J720" s="291" t="s">
        <v>519</v>
      </c>
      <c r="K720" s="287"/>
      <c r="L720" s="287"/>
      <c r="M720" s="287">
        <v>6578</v>
      </c>
      <c r="N720" s="287" t="s">
        <v>23</v>
      </c>
      <c r="O720" s="287" t="s">
        <v>33</v>
      </c>
      <c r="P720" s="287" t="s">
        <v>44</v>
      </c>
      <c r="Q720" s="287" t="s">
        <v>30</v>
      </c>
      <c r="R720" s="287" t="s">
        <v>31</v>
      </c>
      <c r="S720" s="292" t="s">
        <v>31</v>
      </c>
      <c r="T720" s="293"/>
      <c r="U720" s="294">
        <v>3105000</v>
      </c>
      <c r="V720" s="294">
        <v>0</v>
      </c>
      <c r="W720" s="295"/>
      <c r="X720" s="296"/>
      <c r="Y720" s="287" t="s">
        <v>25</v>
      </c>
      <c r="Z720" s="297" t="s">
        <v>25</v>
      </c>
      <c r="AA720" s="313"/>
      <c r="AB720" s="313"/>
      <c r="AC720" s="298">
        <f t="shared" si="24"/>
        <v>3000000</v>
      </c>
      <c r="AD720" s="298">
        <v>3000000</v>
      </c>
      <c r="AE720" s="298">
        <f t="shared" si="25"/>
        <v>0</v>
      </c>
      <c r="AF720" s="299"/>
      <c r="AG720" s="300"/>
      <c r="AH720" s="299"/>
      <c r="AI720" s="299"/>
      <c r="AJ720" s="300"/>
      <c r="AK720" s="299"/>
      <c r="AL720" s="301"/>
      <c r="AM720" s="314"/>
      <c r="AN720" s="301"/>
      <c r="AO720" s="302"/>
      <c r="AP720" s="301"/>
      <c r="AQ720" s="301"/>
      <c r="AR720" s="301"/>
      <c r="AS720" s="301"/>
      <c r="AT720" s="301"/>
      <c r="AU720" s="301"/>
      <c r="AV720" s="301"/>
      <c r="AW720" s="301"/>
      <c r="AX720" s="301"/>
      <c r="AY720" s="301"/>
      <c r="AZ720" s="301"/>
      <c r="BA720" s="301"/>
      <c r="BB720" s="301"/>
      <c r="BC720" s="301">
        <v>3000000</v>
      </c>
      <c r="BD720" s="301"/>
      <c r="BE720" s="301"/>
      <c r="BF720" s="301"/>
      <c r="BG720" s="303"/>
      <c r="BH720" s="304"/>
    </row>
    <row r="721" spans="1:60" s="305" customFormat="1" ht="16.5" hidden="1" customHeight="1" x14ac:dyDescent="0.4">
      <c r="A721" s="285">
        <v>698</v>
      </c>
      <c r="B721" s="286"/>
      <c r="C721" s="286"/>
      <c r="D721" s="287" t="s">
        <v>92</v>
      </c>
      <c r="E721" s="287" t="s">
        <v>102</v>
      </c>
      <c r="F721" s="288" t="s">
        <v>92</v>
      </c>
      <c r="G721" s="289" t="s">
        <v>732</v>
      </c>
      <c r="H721" s="307"/>
      <c r="I721" s="290"/>
      <c r="J721" s="291" t="s">
        <v>519</v>
      </c>
      <c r="K721" s="287"/>
      <c r="L721" s="287"/>
      <c r="M721" s="287">
        <v>6578</v>
      </c>
      <c r="N721" s="287" t="s">
        <v>23</v>
      </c>
      <c r="O721" s="287" t="s">
        <v>33</v>
      </c>
      <c r="P721" s="287" t="s">
        <v>44</v>
      </c>
      <c r="Q721" s="287" t="s">
        <v>27</v>
      </c>
      <c r="R721" s="287" t="s">
        <v>340</v>
      </c>
      <c r="S721" s="292" t="s">
        <v>340</v>
      </c>
      <c r="T721" s="293"/>
      <c r="U721" s="294"/>
      <c r="V721" s="294">
        <v>0</v>
      </c>
      <c r="W721" s="295"/>
      <c r="X721" s="296"/>
      <c r="Y721" s="287" t="s">
        <v>56</v>
      </c>
      <c r="Z721" s="297" t="s">
        <v>26</v>
      </c>
      <c r="AA721" s="313"/>
      <c r="AB721" s="313"/>
      <c r="AC721" s="298">
        <f t="shared" si="24"/>
        <v>100000000</v>
      </c>
      <c r="AD721" s="298">
        <v>100000000</v>
      </c>
      <c r="AE721" s="298">
        <f t="shared" si="25"/>
        <v>0</v>
      </c>
      <c r="AF721" s="299"/>
      <c r="AG721" s="300"/>
      <c r="AH721" s="299"/>
      <c r="AI721" s="299">
        <v>50000000</v>
      </c>
      <c r="AJ721" s="300"/>
      <c r="AK721" s="299"/>
      <c r="AL721" s="301"/>
      <c r="AM721" s="314"/>
      <c r="AN721" s="301"/>
      <c r="AO721" s="302"/>
      <c r="AP721" s="301"/>
      <c r="AQ721" s="301">
        <v>50000000</v>
      </c>
      <c r="AR721" s="301"/>
      <c r="AS721" s="301"/>
      <c r="AT721" s="301"/>
      <c r="AU721" s="301"/>
      <c r="AV721" s="301"/>
      <c r="AW721" s="301"/>
      <c r="AX721" s="301"/>
      <c r="AY721" s="301"/>
      <c r="AZ721" s="301"/>
      <c r="BA721" s="301"/>
      <c r="BB721" s="301"/>
      <c r="BC721" s="301"/>
      <c r="BD721" s="301"/>
      <c r="BE721" s="301">
        <v>50000000</v>
      </c>
      <c r="BF721" s="301"/>
      <c r="BG721" s="303"/>
      <c r="BH721" s="304"/>
    </row>
    <row r="722" spans="1:60" s="305" customFormat="1" ht="16.5" hidden="1" customHeight="1" x14ac:dyDescent="0.4">
      <c r="A722" s="285">
        <v>699</v>
      </c>
      <c r="B722" s="286"/>
      <c r="C722" s="286"/>
      <c r="D722" s="287" t="s">
        <v>92</v>
      </c>
      <c r="E722" s="287" t="s">
        <v>196</v>
      </c>
      <c r="F722" s="288" t="s">
        <v>92</v>
      </c>
      <c r="G722" s="289" t="s">
        <v>732</v>
      </c>
      <c r="H722" s="307"/>
      <c r="I722" s="290"/>
      <c r="J722" s="291" t="s">
        <v>861</v>
      </c>
      <c r="K722" s="287"/>
      <c r="L722" s="287"/>
      <c r="M722" s="287">
        <v>8232</v>
      </c>
      <c r="N722" s="287" t="s">
        <v>23</v>
      </c>
      <c r="O722" s="287" t="s">
        <v>33</v>
      </c>
      <c r="P722" s="287" t="s">
        <v>98</v>
      </c>
      <c r="Q722" s="287"/>
      <c r="R722" s="287"/>
      <c r="S722" s="292" t="s">
        <v>31</v>
      </c>
      <c r="T722" s="293"/>
      <c r="U722" s="294">
        <v>0</v>
      </c>
      <c r="V722" s="294">
        <v>0</v>
      </c>
      <c r="W722" s="295"/>
      <c r="X722" s="296"/>
      <c r="Y722" s="287" t="s">
        <v>28</v>
      </c>
      <c r="Z722" s="297" t="s">
        <v>28</v>
      </c>
      <c r="AA722" s="313"/>
      <c r="AB722" s="313"/>
      <c r="AC722" s="298">
        <f t="shared" si="24"/>
        <v>-357000</v>
      </c>
      <c r="AD722" s="298">
        <v>-357000</v>
      </c>
      <c r="AE722" s="298">
        <f t="shared" si="25"/>
        <v>0</v>
      </c>
      <c r="AF722" s="299"/>
      <c r="AG722" s="300"/>
      <c r="AH722" s="299"/>
      <c r="AI722" s="299"/>
      <c r="AJ722" s="300"/>
      <c r="AK722" s="299"/>
      <c r="AL722" s="301"/>
      <c r="AM722" s="314">
        <v>-357000</v>
      </c>
      <c r="AN722" s="301"/>
      <c r="AO722" s="302"/>
      <c r="AP722" s="301"/>
      <c r="AQ722" s="301"/>
      <c r="AR722" s="301"/>
      <c r="AS722" s="301"/>
      <c r="AT722" s="301"/>
      <c r="AU722" s="301"/>
      <c r="AV722" s="301"/>
      <c r="AW722" s="301"/>
      <c r="AX722" s="301"/>
      <c r="AY722" s="301"/>
      <c r="AZ722" s="301"/>
      <c r="BA722" s="301"/>
      <c r="BB722" s="301"/>
      <c r="BC722" s="301"/>
      <c r="BD722" s="301"/>
      <c r="BE722" s="301"/>
      <c r="BF722" s="301"/>
      <c r="BG722" s="303"/>
      <c r="BH722" s="304"/>
    </row>
    <row r="723" spans="1:60" s="305" customFormat="1" ht="16.5" hidden="1" customHeight="1" x14ac:dyDescent="0.4">
      <c r="A723" s="285">
        <v>700</v>
      </c>
      <c r="B723" s="286"/>
      <c r="C723" s="286"/>
      <c r="D723" s="287" t="s">
        <v>92</v>
      </c>
      <c r="E723" s="287" t="s">
        <v>196</v>
      </c>
      <c r="F723" s="288" t="s">
        <v>92</v>
      </c>
      <c r="G723" s="289" t="s">
        <v>732</v>
      </c>
      <c r="H723" s="307"/>
      <c r="I723" s="290"/>
      <c r="J723" s="291" t="s">
        <v>182</v>
      </c>
      <c r="K723" s="287"/>
      <c r="L723" s="287"/>
      <c r="M723" s="287">
        <v>8981</v>
      </c>
      <c r="N723" s="287" t="s">
        <v>23</v>
      </c>
      <c r="O723" s="287" t="s">
        <v>43</v>
      </c>
      <c r="P723" s="287" t="s">
        <v>98</v>
      </c>
      <c r="Q723" s="287" t="s">
        <v>30</v>
      </c>
      <c r="R723" s="287" t="s">
        <v>31</v>
      </c>
      <c r="S723" s="292" t="s">
        <v>31</v>
      </c>
      <c r="T723" s="293"/>
      <c r="U723" s="294" t="s">
        <v>97</v>
      </c>
      <c r="V723" s="294">
        <v>2200000</v>
      </c>
      <c r="W723" s="295">
        <v>1900000</v>
      </c>
      <c r="X723" s="296"/>
      <c r="Y723" s="287" t="s">
        <v>21</v>
      </c>
      <c r="Z723" s="297" t="s">
        <v>656</v>
      </c>
      <c r="AA723" s="313"/>
      <c r="AB723" s="313"/>
      <c r="AC723" s="298">
        <f t="shared" si="24"/>
        <v>0</v>
      </c>
      <c r="AD723" s="298">
        <v>0</v>
      </c>
      <c r="AE723" s="298">
        <f t="shared" si="25"/>
        <v>0</v>
      </c>
      <c r="AF723" s="299"/>
      <c r="AG723" s="300"/>
      <c r="AH723" s="299"/>
      <c r="AI723" s="299"/>
      <c r="AJ723" s="300"/>
      <c r="AK723" s="299"/>
      <c r="AL723" s="301"/>
      <c r="AM723" s="314"/>
      <c r="AN723" s="301"/>
      <c r="AO723" s="302"/>
      <c r="AP723" s="301"/>
      <c r="AQ723" s="301"/>
      <c r="AR723" s="301"/>
      <c r="AS723" s="301"/>
      <c r="AT723" s="301"/>
      <c r="AU723" s="301"/>
      <c r="AV723" s="301"/>
      <c r="AW723" s="301"/>
      <c r="AX723" s="301"/>
      <c r="AY723" s="301"/>
      <c r="AZ723" s="301"/>
      <c r="BA723" s="301"/>
      <c r="BB723" s="301"/>
      <c r="BC723" s="301"/>
      <c r="BD723" s="301"/>
      <c r="BE723" s="301"/>
      <c r="BF723" s="301"/>
      <c r="BG723" s="303"/>
      <c r="BH723" s="304"/>
    </row>
    <row r="724" spans="1:60" s="305" customFormat="1" ht="16.5" hidden="1" customHeight="1" x14ac:dyDescent="0.4">
      <c r="A724" s="285">
        <v>701</v>
      </c>
      <c r="B724" s="286"/>
      <c r="C724" s="286"/>
      <c r="D724" s="287" t="s">
        <v>92</v>
      </c>
      <c r="E724" s="287" t="s">
        <v>196</v>
      </c>
      <c r="F724" s="288" t="s">
        <v>92</v>
      </c>
      <c r="G724" s="289" t="s">
        <v>732</v>
      </c>
      <c r="H724" s="307"/>
      <c r="I724" s="290"/>
      <c r="J724" s="291" t="s">
        <v>182</v>
      </c>
      <c r="K724" s="287"/>
      <c r="L724" s="287"/>
      <c r="M724" s="287">
        <v>8981</v>
      </c>
      <c r="N724" s="287" t="s">
        <v>23</v>
      </c>
      <c r="O724" s="287" t="s">
        <v>33</v>
      </c>
      <c r="P724" s="287" t="s">
        <v>98</v>
      </c>
      <c r="Q724" s="287" t="s">
        <v>48</v>
      </c>
      <c r="R724" s="287" t="s">
        <v>685</v>
      </c>
      <c r="S724" s="292" t="s">
        <v>743</v>
      </c>
      <c r="T724" s="293"/>
      <c r="U724" s="294">
        <v>2100000</v>
      </c>
      <c r="V724" s="294">
        <v>0</v>
      </c>
      <c r="W724" s="295"/>
      <c r="X724" s="296"/>
      <c r="Y724" s="287" t="s">
        <v>22</v>
      </c>
      <c r="Z724" s="297" t="s">
        <v>26</v>
      </c>
      <c r="AA724" s="313"/>
      <c r="AB724" s="313"/>
      <c r="AC724" s="298">
        <f t="shared" si="24"/>
        <v>0</v>
      </c>
      <c r="AD724" s="298">
        <v>0</v>
      </c>
      <c r="AE724" s="298">
        <f t="shared" si="25"/>
        <v>0</v>
      </c>
      <c r="AF724" s="299"/>
      <c r="AG724" s="300"/>
      <c r="AH724" s="299"/>
      <c r="AI724" s="299"/>
      <c r="AJ724" s="300"/>
      <c r="AK724" s="299"/>
      <c r="AL724" s="301"/>
      <c r="AM724" s="314"/>
      <c r="AN724" s="301"/>
      <c r="AO724" s="302"/>
      <c r="AP724" s="301"/>
      <c r="AQ724" s="301"/>
      <c r="AR724" s="301"/>
      <c r="AS724" s="301"/>
      <c r="AT724" s="301"/>
      <c r="AU724" s="301"/>
      <c r="AV724" s="301"/>
      <c r="AW724" s="301"/>
      <c r="AX724" s="301"/>
      <c r="AY724" s="301"/>
      <c r="AZ724" s="301"/>
      <c r="BA724" s="301"/>
      <c r="BB724" s="301"/>
      <c r="BC724" s="301"/>
      <c r="BD724" s="301"/>
      <c r="BE724" s="301"/>
      <c r="BF724" s="301"/>
      <c r="BG724" s="303"/>
      <c r="BH724" s="304"/>
    </row>
    <row r="725" spans="1:60" s="305" customFormat="1" ht="16.5" hidden="1" customHeight="1" x14ac:dyDescent="0.4">
      <c r="A725" s="285">
        <v>702</v>
      </c>
      <c r="B725" s="286"/>
      <c r="C725" s="286"/>
      <c r="D725" s="287" t="s">
        <v>92</v>
      </c>
      <c r="E725" s="287" t="s">
        <v>196</v>
      </c>
      <c r="F725" s="288" t="s">
        <v>92</v>
      </c>
      <c r="G725" s="289" t="s">
        <v>732</v>
      </c>
      <c r="H725" s="307"/>
      <c r="I725" s="290"/>
      <c r="J725" s="291" t="s">
        <v>183</v>
      </c>
      <c r="K725" s="287"/>
      <c r="L725" s="287"/>
      <c r="M725" s="287">
        <v>1793</v>
      </c>
      <c r="N725" s="287" t="s">
        <v>23</v>
      </c>
      <c r="O725" s="287" t="s">
        <v>33</v>
      </c>
      <c r="P725" s="287" t="s">
        <v>98</v>
      </c>
      <c r="Q725" s="287"/>
      <c r="R725" s="287"/>
      <c r="S725" s="292" t="s">
        <v>29</v>
      </c>
      <c r="T725" s="293"/>
      <c r="U725" s="294">
        <v>0</v>
      </c>
      <c r="V725" s="294">
        <v>0</v>
      </c>
      <c r="W725" s="295"/>
      <c r="X725" s="296"/>
      <c r="Y725" s="287" t="s">
        <v>26</v>
      </c>
      <c r="Z725" s="297" t="s">
        <v>26</v>
      </c>
      <c r="AA725" s="313"/>
      <c r="AB725" s="313"/>
      <c r="AC725" s="298">
        <f t="shared" si="24"/>
        <v>200000000</v>
      </c>
      <c r="AD725" s="298">
        <v>200000000</v>
      </c>
      <c r="AE725" s="298">
        <f t="shared" si="25"/>
        <v>0</v>
      </c>
      <c r="AF725" s="299"/>
      <c r="AG725" s="300"/>
      <c r="AH725" s="299"/>
      <c r="AI725" s="299"/>
      <c r="AJ725" s="300"/>
      <c r="AK725" s="299"/>
      <c r="AL725" s="301"/>
      <c r="AM725" s="314"/>
      <c r="AN725" s="301"/>
      <c r="AO725" s="302"/>
      <c r="AP725" s="301"/>
      <c r="AQ725" s="301"/>
      <c r="AR725" s="301"/>
      <c r="AS725" s="301"/>
      <c r="AT725" s="301"/>
      <c r="AU725" s="301">
        <v>200000000</v>
      </c>
      <c r="AV725" s="301"/>
      <c r="AW725" s="301"/>
      <c r="AX725" s="301"/>
      <c r="AY725" s="301"/>
      <c r="AZ725" s="301"/>
      <c r="BA725" s="301"/>
      <c r="BB725" s="301"/>
      <c r="BC725" s="301"/>
      <c r="BD725" s="301"/>
      <c r="BE725" s="301"/>
      <c r="BF725" s="301"/>
      <c r="BG725" s="303"/>
      <c r="BH725" s="304"/>
    </row>
    <row r="726" spans="1:60" s="305" customFormat="1" ht="16.5" hidden="1" customHeight="1" x14ac:dyDescent="0.4">
      <c r="A726" s="285">
        <v>703</v>
      </c>
      <c r="B726" s="286"/>
      <c r="C726" s="286"/>
      <c r="D726" s="287" t="s">
        <v>92</v>
      </c>
      <c r="E726" s="287" t="s">
        <v>196</v>
      </c>
      <c r="F726" s="288" t="s">
        <v>92</v>
      </c>
      <c r="G726" s="289" t="s">
        <v>732</v>
      </c>
      <c r="H726" s="307"/>
      <c r="I726" s="290"/>
      <c r="J726" s="291" t="s">
        <v>183</v>
      </c>
      <c r="K726" s="287"/>
      <c r="L726" s="287"/>
      <c r="M726" s="287">
        <v>1793</v>
      </c>
      <c r="N726" s="287" t="s">
        <v>23</v>
      </c>
      <c r="O726" s="287" t="s">
        <v>43</v>
      </c>
      <c r="P726" s="287" t="s">
        <v>98</v>
      </c>
      <c r="Q726" s="287" t="s">
        <v>30</v>
      </c>
      <c r="R726" s="287" t="s">
        <v>31</v>
      </c>
      <c r="S726" s="292" t="s">
        <v>31</v>
      </c>
      <c r="T726" s="293"/>
      <c r="U726" s="294">
        <v>7074000</v>
      </c>
      <c r="V726" s="294">
        <v>0</v>
      </c>
      <c r="W726" s="295">
        <v>11145000</v>
      </c>
      <c r="X726" s="296"/>
      <c r="Y726" s="287" t="s">
        <v>28</v>
      </c>
      <c r="Z726" s="297" t="s">
        <v>28</v>
      </c>
      <c r="AA726" s="313"/>
      <c r="AB726" s="313"/>
      <c r="AC726" s="298">
        <f t="shared" si="24"/>
        <v>11000000</v>
      </c>
      <c r="AD726" s="298">
        <v>11000000</v>
      </c>
      <c r="AE726" s="298">
        <f t="shared" si="25"/>
        <v>0</v>
      </c>
      <c r="AF726" s="299"/>
      <c r="AG726" s="300"/>
      <c r="AH726" s="299"/>
      <c r="AI726" s="299"/>
      <c r="AJ726" s="300">
        <v>357000</v>
      </c>
      <c r="AK726" s="299" t="s">
        <v>793</v>
      </c>
      <c r="AL726" s="301"/>
      <c r="AM726" s="314"/>
      <c r="AN726" s="301"/>
      <c r="AO726" s="302"/>
      <c r="AP726" s="301"/>
      <c r="AQ726" s="301"/>
      <c r="AR726" s="301"/>
      <c r="AS726" s="301">
        <v>10643000</v>
      </c>
      <c r="AT726" s="301"/>
      <c r="AU726" s="301"/>
      <c r="AV726" s="301"/>
      <c r="AW726" s="301"/>
      <c r="AX726" s="301"/>
      <c r="AY726" s="301"/>
      <c r="AZ726" s="301"/>
      <c r="BA726" s="301"/>
      <c r="BB726" s="301"/>
      <c r="BC726" s="301"/>
      <c r="BD726" s="301"/>
      <c r="BE726" s="301"/>
      <c r="BF726" s="301"/>
      <c r="BG726" s="303"/>
      <c r="BH726" s="304"/>
    </row>
    <row r="727" spans="1:60" s="305" customFormat="1" ht="16.5" hidden="1" customHeight="1" x14ac:dyDescent="0.4">
      <c r="A727" s="285">
        <v>704</v>
      </c>
      <c r="B727" s="286"/>
      <c r="C727" s="286"/>
      <c r="D727" s="287" t="s">
        <v>92</v>
      </c>
      <c r="E727" s="287" t="s">
        <v>196</v>
      </c>
      <c r="F727" s="288" t="s">
        <v>92</v>
      </c>
      <c r="G727" s="289" t="s">
        <v>732</v>
      </c>
      <c r="H727" s="307"/>
      <c r="I727" s="290"/>
      <c r="J727" s="291" t="s">
        <v>183</v>
      </c>
      <c r="K727" s="287"/>
      <c r="L727" s="287"/>
      <c r="M727" s="287">
        <v>1793</v>
      </c>
      <c r="N727" s="287" t="s">
        <v>23</v>
      </c>
      <c r="O727" s="287" t="s">
        <v>33</v>
      </c>
      <c r="P727" s="287" t="s">
        <v>98</v>
      </c>
      <c r="Q727" s="287"/>
      <c r="R727" s="287"/>
      <c r="S727" s="292" t="s">
        <v>349</v>
      </c>
      <c r="T727" s="293"/>
      <c r="U727" s="294">
        <v>0</v>
      </c>
      <c r="V727" s="294">
        <v>0</v>
      </c>
      <c r="W727" s="295"/>
      <c r="X727" s="296"/>
      <c r="Y727" s="287" t="s">
        <v>26</v>
      </c>
      <c r="Z727" s="297" t="s">
        <v>26</v>
      </c>
      <c r="AA727" s="313"/>
      <c r="AB727" s="313"/>
      <c r="AC727" s="298">
        <f t="shared" si="24"/>
        <v>10000000</v>
      </c>
      <c r="AD727" s="298">
        <v>10000000</v>
      </c>
      <c r="AE727" s="298">
        <f t="shared" si="25"/>
        <v>0</v>
      </c>
      <c r="AF727" s="299"/>
      <c r="AG727" s="300"/>
      <c r="AH727" s="299"/>
      <c r="AI727" s="299"/>
      <c r="AJ727" s="300"/>
      <c r="AK727" s="299"/>
      <c r="AL727" s="301"/>
      <c r="AM727" s="314"/>
      <c r="AN727" s="301"/>
      <c r="AO727" s="302"/>
      <c r="AP727" s="301"/>
      <c r="AQ727" s="301"/>
      <c r="AR727" s="301"/>
      <c r="AS727" s="301">
        <v>10000000</v>
      </c>
      <c r="AT727" s="301"/>
      <c r="AU727" s="301"/>
      <c r="AV727" s="301"/>
      <c r="AW727" s="301"/>
      <c r="AX727" s="301"/>
      <c r="AY727" s="301"/>
      <c r="AZ727" s="301"/>
      <c r="BA727" s="301"/>
      <c r="BB727" s="301"/>
      <c r="BC727" s="301"/>
      <c r="BD727" s="301"/>
      <c r="BE727" s="301"/>
      <c r="BF727" s="301"/>
      <c r="BG727" s="303"/>
      <c r="BH727" s="304"/>
    </row>
  </sheetData>
  <autoFilter ref="A23:BF727">
    <filterColumn colId="6">
      <filters>
        <filter val="신우섭"/>
      </filters>
    </filterColumn>
    <filterColumn colId="25">
      <filters>
        <filter val="01 확정"/>
      </filters>
    </filterColumn>
  </autoFilter>
  <sortState ref="A24:BH728">
    <sortCondition ref="G24:G728" customList="서동윤,박민우,안혜연,이종혁,박혜원,최다경,신우섭"/>
    <sortCondition ref="J24:J728"/>
    <sortCondition ref="S24:S728"/>
    <sortCondition ref="Z24:Z728"/>
  </sortState>
  <dataConsolidate/>
  <mergeCells count="3">
    <mergeCell ref="D3:R14"/>
    <mergeCell ref="V20:V21"/>
    <mergeCell ref="D2:M2"/>
  </mergeCells>
  <phoneticPr fontId="2" type="noConversion"/>
  <conditionalFormatting sqref="A1:A23">
    <cfRule type="containsText" dxfId="10" priority="119" operator="containsText" text="추가">
      <formula>NOT(ISERROR(SEARCH("추가",A1)))</formula>
    </cfRule>
  </conditionalFormatting>
  <conditionalFormatting sqref="M725">
    <cfRule type="duplicateValues" dxfId="9" priority="6"/>
  </conditionalFormatting>
  <conditionalFormatting sqref="M725">
    <cfRule type="duplicateValues" dxfId="8" priority="7"/>
  </conditionalFormatting>
  <conditionalFormatting sqref="M727">
    <cfRule type="duplicateValues" dxfId="7" priority="3"/>
  </conditionalFormatting>
  <conditionalFormatting sqref="M727">
    <cfRule type="duplicateValues" dxfId="6" priority="4"/>
  </conditionalFormatting>
  <dataValidations count="14">
    <dataValidation type="list" allowBlank="1" showInputMessage="1" showErrorMessage="1" sqref="O23">
      <formula1>$M$3:$M$6</formula1>
    </dataValidation>
    <dataValidation type="list" allowBlank="1" showInputMessage="1" showErrorMessage="1" sqref="P23">
      <formula1>$Q$3:$Q$5</formula1>
    </dataValidation>
    <dataValidation type="list" allowBlank="1" showInputMessage="1" showErrorMessage="1" sqref="Q23">
      <formula1>$N$3:$N$23</formula1>
    </dataValidation>
    <dataValidation type="list" allowBlank="1" showInputMessage="1" showErrorMessage="1" sqref="N235:N236 N217 N225 N215 Y456 Y388">
      <formula1>$P$3:$P$3</formula1>
    </dataValidation>
    <dataValidation type="list" allowBlank="1" showInputMessage="1" showErrorMessage="1" sqref="Y197:Y230 R619:R620 Y619:Y620 R303 Y302:Y303 R197:R230 P456 P388">
      <formula1>$Q$3:$Q$3</formula1>
    </dataValidation>
    <dataValidation type="list" allowBlank="1" showInputMessage="1" showErrorMessage="1" sqref="Q456 Q388 O24:O35 O37:O46">
      <formula1>$N$3:$N$3</formula1>
    </dataValidation>
    <dataValidation type="list" allowBlank="1" showInputMessage="1" showErrorMessage="1" sqref="R401 N498:N501 N503:N504 N696:N700 N702:N703 N705 N707 N710:N716 N643:N652 Y306 R306 N530:N536 N396:N402 N302:N309 N543:N544 N551 N553 N564:N565 N567 N557:N562 N539 N546 N482:N483 N488:N490 N492 N495:N496 N506:N508 N510:N512 N514 N516:N519 N521 N524:N527 N475:N480 N443 N445 N448:N454 N417 N431:N441 N457 N460:N464 N468:N470 N472:N473 N405:N406 N409 N412 N415 N419 N421:N424 N426:N429 N718:N723 N237:N240 N242 N248:N251 N254:N255 N257:N264 N268 N270:N272 N275:N277 N279:N281 N284:N291 N293:N294 N298 N300 N244:N246 N218:N224 N216 N226:N234 N635:N640 R616:R618 Y616:Y618 N577:N578 N614:N622 N607:N612 N571:N575 N580 N582:N589 N600 N603 N626:N631 N654:N655 N657 N660:N671 N673:N674 N676:N683 N685:N688 N690:N691 N694 N331 N311:N329 N349 N389:N393 N352:N356 N376:N385 N333:N347 N387 N359:N373 Q36:Q46 Q24:R35 R36:R196 Y24:Y196 N24:N214">
      <formula1>#REF!</formula1>
    </dataValidation>
    <dataValidation type="list" allowBlank="1" showInputMessage="1" showErrorMessage="1" sqref="N456">
      <formula1>$G$3:$G$3</formula1>
    </dataValidation>
    <dataValidation type="list" allowBlank="1" showInputMessage="1" showErrorMessage="1" sqref="O456">
      <formula1>$M$3:$M$3</formula1>
    </dataValidation>
    <dataValidation type="list" allowBlank="1" showInputMessage="1" showErrorMessage="1" sqref="R456 R388">
      <formula1>$O$3:$O$3</formula1>
    </dataValidation>
    <dataValidation type="list" allowBlank="1" showInputMessage="1" showErrorMessage="1" sqref="O388">
      <formula1>$K$3:$K$6</formula1>
    </dataValidation>
    <dataValidation type="list" allowBlank="1" showInputMessage="1" showErrorMessage="1" sqref="N388">
      <formula1>$G$3:$G$7</formula1>
    </dataValidation>
    <dataValidation type="list" allowBlank="1" showInputMessage="1" showErrorMessage="1" sqref="P24:P46">
      <formula1>$R$3:$R$3</formula1>
    </dataValidation>
    <dataValidation allowBlank="1" showInputMessage="1" showErrorMessage="1" promptTitle="수정금지!!!!" prompt="원본값, 수정하지 마세요." sqref="W23:W727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R16:R22 R2 Y22</xm:sqref>
        </x14:dataValidation>
        <x14:dataValidation type="list" allowBlank="1" showInputMessage="1" showErrorMessage="1">
          <x14:formula1>
            <xm:f>index!$K$3:$K$25</xm:f>
          </x14:formula1>
          <xm:sqref>R23</xm:sqref>
        </x14:dataValidation>
        <x14:dataValidation type="list" allowBlank="1" showInputMessage="1" showErrorMessage="1">
          <x14:formula1>
            <xm:f>$P$3:$P$10+$P$3:$P$11+index!$L$3:$L$11</xm:f>
          </x14:formula1>
          <xm:sqref>Y23</xm:sqref>
        </x14:dataValidation>
        <x14:dataValidation type="list" allowBlank="1" showInputMessage="1" showErrorMessage="1">
          <x14:formula1>
            <xm:f>index!$L$3:$L$11</xm:f>
          </x14:formula1>
          <xm:sqref>Z1:AB2 AA17:AB20 Z17:Z21 AA144:AB724 Z728:AB1048576 AA37:AB59 AA24:AB35 AA62:AB63 AA65:AB142 Z23:Z727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영업개발회의\2026년\260205\팀별자료\databook\26년 팀별취합\기교2팀\[★2026년_databook_기교2팀_260205_서동윤.xlsm]index'!#REF!</xm:f>
          </x14:formula1>
          <xm:sqref>Z22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팀별취합\[★2026년_databook_기교1팀_260305.xlsm]index'!#REF!</xm:f>
          </x14:formula1>
          <xm:sqref>T1:T20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영업개발회의\2026년\260416\팀별자료\databook\[★2026년_databook_FS3팀&amp;GS팀_260416_검토중.xlsx]index'!#REF!</xm:f>
          </x14:formula1>
          <xm:sqref>AA725:AB725 AA727:AB727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영업개발회의\2026년\260423\팀별자료\databook\기교2팀\[★2026년_databook_기교2팀_260423_박민우.xlsm]index'!#REF!</xm:f>
          </x14:formula1>
          <xm:sqref>AA143:AB143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영업개발회의\2026년\260423\팀별자료\databook\기교2팀\[★2026년_databook_기교2팀_260423_서동윤.xlsm]index'!#REF!</xm:f>
          </x14:formula1>
          <xm:sqref>AA60:AB61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영업개발회의\2026년\260423\팀별자료\databook\기교2팀\[★2026년_databook_기교2팀_260423_안혜연.xlsm]index'!#REF!</xm:f>
          </x14:formula1>
          <xm:sqref>AA726:AB726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영업개발회의\2026년\260430\팀별자료\databook\기교2팀\[★2026년_databook_기교2팀_260430_서동윤.xlsm]index'!#REF!</xm:f>
          </x14:formula1>
          <xm:sqref>AA64:AB64 AA36:AB36</xm:sqref>
        </x14:dataValidation>
        <x14:dataValidation type="list" allowBlank="1" showInputMessage="1" showErrorMessage="1">
          <x14:formula1>
            <xm:f>index!$K$3:$K$27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8" sqref="G8"/>
    </sheetView>
  </sheetViews>
  <sheetFormatPr defaultRowHeight="17.399999999999999" x14ac:dyDescent="0.4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6"/>
  <sheetViews>
    <sheetView zoomScale="70" zoomScaleNormal="70" workbookViewId="0">
      <pane ySplit="2" topLeftCell="A117" activePane="bottomLeft" state="frozen"/>
      <selection activeCell="I24" sqref="I24"/>
      <selection pane="bottomLeft" activeCell="I24" sqref="I24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51" customWidth="1"/>
    <col min="12" max="12" width="20.69921875" style="88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 x14ac:dyDescent="0.4">
      <c r="I1" s="3"/>
      <c r="L1" s="52"/>
      <c r="R1" s="53"/>
    </row>
    <row r="2" spans="1:18" ht="38.4" x14ac:dyDescent="0.4">
      <c r="A2" s="54" t="s">
        <v>360</v>
      </c>
      <c r="B2" s="55" t="s">
        <v>361</v>
      </c>
      <c r="C2" s="54" t="s">
        <v>362</v>
      </c>
      <c r="D2" s="54" t="s">
        <v>363</v>
      </c>
      <c r="E2" s="56" t="s">
        <v>364</v>
      </c>
      <c r="F2" s="54" t="s">
        <v>365</v>
      </c>
      <c r="G2" s="54" t="s">
        <v>366</v>
      </c>
      <c r="H2" s="54" t="s">
        <v>367</v>
      </c>
      <c r="I2" s="57" t="s">
        <v>368</v>
      </c>
      <c r="J2" s="57" t="s">
        <v>369</v>
      </c>
      <c r="K2" s="57" t="s">
        <v>414</v>
      </c>
      <c r="L2" s="58" t="s">
        <v>370</v>
      </c>
      <c r="M2" s="54" t="s">
        <v>371</v>
      </c>
      <c r="N2" s="54" t="s">
        <v>372</v>
      </c>
      <c r="O2" s="54" t="s">
        <v>373</v>
      </c>
      <c r="P2" s="54" t="s">
        <v>374</v>
      </c>
      <c r="Q2" s="54" t="s">
        <v>375</v>
      </c>
      <c r="R2" s="59" t="s">
        <v>376</v>
      </c>
    </row>
    <row r="3" spans="1:18" s="1" customFormat="1" x14ac:dyDescent="0.4">
      <c r="A3" s="175" t="s">
        <v>385</v>
      </c>
      <c r="B3" s="176">
        <v>45631</v>
      </c>
      <c r="C3" s="175" t="s">
        <v>276</v>
      </c>
      <c r="D3" s="175" t="s">
        <v>322</v>
      </c>
      <c r="E3" s="175">
        <v>52537</v>
      </c>
      <c r="F3" s="175" t="s">
        <v>340</v>
      </c>
      <c r="G3" s="177"/>
      <c r="H3" s="178"/>
      <c r="I3" s="13">
        <v>20000000</v>
      </c>
      <c r="J3" s="179"/>
      <c r="K3" s="179"/>
      <c r="L3" s="67">
        <f t="shared" ref="L3:L11" si="0">SUM(I3:K3)</f>
        <v>20000000</v>
      </c>
      <c r="M3" s="175"/>
      <c r="N3" s="180"/>
      <c r="O3" s="180"/>
      <c r="P3" s="180"/>
      <c r="Q3" s="178"/>
      <c r="R3" s="181"/>
    </row>
    <row r="4" spans="1:18" s="1" customFormat="1" x14ac:dyDescent="0.4">
      <c r="A4" s="175" t="s">
        <v>385</v>
      </c>
      <c r="B4" s="176">
        <v>45631</v>
      </c>
      <c r="C4" s="175" t="s">
        <v>223</v>
      </c>
      <c r="D4" s="175" t="s">
        <v>226</v>
      </c>
      <c r="E4" s="175">
        <v>475</v>
      </c>
      <c r="F4" s="175" t="s">
        <v>29</v>
      </c>
      <c r="G4" s="177"/>
      <c r="H4" s="178"/>
      <c r="I4" s="13">
        <v>50000000</v>
      </c>
      <c r="J4" s="179"/>
      <c r="K4" s="179"/>
      <c r="L4" s="67">
        <f t="shared" si="0"/>
        <v>50000000</v>
      </c>
      <c r="M4" s="175"/>
      <c r="N4" s="180"/>
      <c r="O4" s="180"/>
      <c r="P4" s="180"/>
      <c r="Q4" s="178"/>
      <c r="R4" s="181"/>
    </row>
    <row r="5" spans="1:18" s="1" customFormat="1" x14ac:dyDescent="0.4">
      <c r="A5" s="175" t="s">
        <v>385</v>
      </c>
      <c r="B5" s="176">
        <v>45631</v>
      </c>
      <c r="C5" s="175" t="s">
        <v>223</v>
      </c>
      <c r="D5" s="175" t="s">
        <v>189</v>
      </c>
      <c r="E5" s="175">
        <v>5007</v>
      </c>
      <c r="F5" s="175" t="s">
        <v>29</v>
      </c>
      <c r="G5" s="177"/>
      <c r="H5" s="178"/>
      <c r="I5" s="13">
        <v>84000000</v>
      </c>
      <c r="J5" s="179"/>
      <c r="K5" s="179"/>
      <c r="L5" s="67">
        <f t="shared" si="0"/>
        <v>84000000</v>
      </c>
      <c r="M5" s="175"/>
      <c r="N5" s="180"/>
      <c r="O5" s="180"/>
      <c r="P5" s="180"/>
      <c r="Q5" s="178"/>
      <c r="R5" s="181"/>
    </row>
    <row r="6" spans="1:18" s="1" customFormat="1" x14ac:dyDescent="0.4">
      <c r="A6" s="175" t="s">
        <v>385</v>
      </c>
      <c r="B6" s="176">
        <v>45638</v>
      </c>
      <c r="C6" s="175" t="s">
        <v>138</v>
      </c>
      <c r="D6" s="175" t="s">
        <v>141</v>
      </c>
      <c r="E6" s="175">
        <v>46166</v>
      </c>
      <c r="F6" s="175" t="s">
        <v>221</v>
      </c>
      <c r="G6" s="177"/>
      <c r="H6" s="178"/>
      <c r="I6" s="13">
        <v>277000000</v>
      </c>
      <c r="J6" s="179"/>
      <c r="K6" s="179"/>
      <c r="L6" s="67">
        <f t="shared" si="0"/>
        <v>277000000</v>
      </c>
      <c r="M6" s="175"/>
      <c r="N6" s="180"/>
      <c r="O6" s="180"/>
      <c r="P6" s="180"/>
      <c r="Q6" s="178"/>
      <c r="R6" s="181"/>
    </row>
    <row r="7" spans="1:18" s="1" customFormat="1" x14ac:dyDescent="0.4">
      <c r="A7" s="175" t="s">
        <v>385</v>
      </c>
      <c r="B7" s="176">
        <v>45638</v>
      </c>
      <c r="C7" s="175" t="s">
        <v>138</v>
      </c>
      <c r="D7" s="175" t="s">
        <v>146</v>
      </c>
      <c r="E7" s="175">
        <v>5862</v>
      </c>
      <c r="F7" s="175" t="s">
        <v>20</v>
      </c>
      <c r="G7" s="177"/>
      <c r="H7" s="178"/>
      <c r="I7" s="13">
        <v>30000000</v>
      </c>
      <c r="J7" s="179"/>
      <c r="K7" s="179"/>
      <c r="L7" s="67">
        <f t="shared" si="0"/>
        <v>30000000</v>
      </c>
      <c r="M7" s="175"/>
      <c r="N7" s="180"/>
      <c r="O7" s="180"/>
      <c r="P7" s="180"/>
      <c r="Q7" s="178"/>
      <c r="R7" s="181"/>
    </row>
    <row r="8" spans="1:18" s="1" customFormat="1" x14ac:dyDescent="0.4">
      <c r="A8" s="175" t="s">
        <v>385</v>
      </c>
      <c r="B8" s="176">
        <v>45638</v>
      </c>
      <c r="C8" s="175" t="s">
        <v>138</v>
      </c>
      <c r="D8" s="175" t="s">
        <v>148</v>
      </c>
      <c r="E8" s="175">
        <v>1832</v>
      </c>
      <c r="F8" s="175" t="s">
        <v>20</v>
      </c>
      <c r="G8" s="177"/>
      <c r="H8" s="178"/>
      <c r="I8" s="13">
        <v>68000000</v>
      </c>
      <c r="J8" s="179"/>
      <c r="K8" s="179"/>
      <c r="L8" s="67">
        <f t="shared" si="0"/>
        <v>68000000</v>
      </c>
      <c r="M8" s="175"/>
      <c r="N8" s="180"/>
      <c r="O8" s="180"/>
      <c r="P8" s="180"/>
      <c r="Q8" s="178"/>
      <c r="R8" s="181"/>
    </row>
    <row r="9" spans="1:18" s="1" customFormat="1" x14ac:dyDescent="0.4">
      <c r="A9" s="175" t="s">
        <v>385</v>
      </c>
      <c r="B9" s="176">
        <v>45638</v>
      </c>
      <c r="C9" s="175" t="s">
        <v>102</v>
      </c>
      <c r="D9" s="175" t="s">
        <v>72</v>
      </c>
      <c r="E9" s="175">
        <v>22649</v>
      </c>
      <c r="F9" s="175" t="s">
        <v>347</v>
      </c>
      <c r="G9" s="177"/>
      <c r="H9" s="178"/>
      <c r="I9" s="13">
        <v>3500000</v>
      </c>
      <c r="J9" s="179"/>
      <c r="K9" s="179"/>
      <c r="L9" s="67">
        <f t="shared" si="0"/>
        <v>3500000</v>
      </c>
      <c r="M9" s="175"/>
      <c r="N9" s="180"/>
      <c r="O9" s="180"/>
      <c r="P9" s="180"/>
      <c r="Q9" s="178"/>
      <c r="R9" s="181"/>
    </row>
    <row r="10" spans="1:18" s="1" customFormat="1" x14ac:dyDescent="0.4">
      <c r="A10" s="175" t="s">
        <v>385</v>
      </c>
      <c r="B10" s="176">
        <v>45638</v>
      </c>
      <c r="C10" s="175" t="s">
        <v>102</v>
      </c>
      <c r="D10" s="175" t="s">
        <v>105</v>
      </c>
      <c r="E10" s="175">
        <v>268</v>
      </c>
      <c r="F10" s="175" t="s">
        <v>340</v>
      </c>
      <c r="G10" s="177"/>
      <c r="H10" s="178"/>
      <c r="I10" s="13">
        <v>2800000</v>
      </c>
      <c r="J10" s="179"/>
      <c r="K10" s="179"/>
      <c r="L10" s="67">
        <f t="shared" si="0"/>
        <v>2800000</v>
      </c>
      <c r="M10" s="175"/>
      <c r="N10" s="180"/>
      <c r="O10" s="180"/>
      <c r="P10" s="180"/>
      <c r="Q10" s="178"/>
      <c r="R10" s="181"/>
    </row>
    <row r="11" spans="1:18" s="1" customFormat="1" x14ac:dyDescent="0.4">
      <c r="A11" s="175" t="s">
        <v>385</v>
      </c>
      <c r="B11" s="176">
        <v>45638</v>
      </c>
      <c r="C11" s="175" t="s">
        <v>184</v>
      </c>
      <c r="D11" s="175" t="s">
        <v>326</v>
      </c>
      <c r="E11" s="175">
        <v>59148</v>
      </c>
      <c r="F11" s="175" t="s">
        <v>349</v>
      </c>
      <c r="G11" s="177"/>
      <c r="H11" s="178"/>
      <c r="I11" s="13">
        <v>2400000</v>
      </c>
      <c r="J11" s="179"/>
      <c r="K11" s="179"/>
      <c r="L11" s="67">
        <f t="shared" si="0"/>
        <v>2400000</v>
      </c>
      <c r="M11" s="175"/>
      <c r="N11" s="180"/>
      <c r="O11" s="180"/>
      <c r="P11" s="180"/>
      <c r="Q11" s="178"/>
      <c r="R11" s="181"/>
    </row>
    <row r="12" spans="1:18" s="1" customFormat="1" x14ac:dyDescent="0.4">
      <c r="A12" s="175" t="s">
        <v>385</v>
      </c>
      <c r="B12" s="176">
        <v>45645</v>
      </c>
      <c r="C12" s="175" t="s">
        <v>184</v>
      </c>
      <c r="D12" s="175" t="s">
        <v>185</v>
      </c>
      <c r="E12" s="175">
        <v>1471</v>
      </c>
      <c r="F12" s="175" t="s">
        <v>20</v>
      </c>
      <c r="G12" s="177"/>
      <c r="H12" s="178"/>
      <c r="I12" s="13">
        <v>10000000</v>
      </c>
      <c r="J12" s="179"/>
      <c r="K12" s="179"/>
      <c r="L12" s="67">
        <f>SUM(I12:K12)</f>
        <v>10000000</v>
      </c>
      <c r="M12" s="175"/>
      <c r="N12" s="180"/>
      <c r="O12" s="180"/>
      <c r="P12" s="180"/>
      <c r="Q12" s="178"/>
      <c r="R12" s="181"/>
    </row>
    <row r="13" spans="1:18" s="1" customFormat="1" x14ac:dyDescent="0.4">
      <c r="A13" s="175" t="s">
        <v>385</v>
      </c>
      <c r="B13" s="176">
        <v>45645</v>
      </c>
      <c r="C13" s="175" t="s">
        <v>184</v>
      </c>
      <c r="D13" s="175" t="s">
        <v>186</v>
      </c>
      <c r="E13" s="175">
        <v>214</v>
      </c>
      <c r="F13" s="175" t="s">
        <v>342</v>
      </c>
      <c r="G13" s="177"/>
      <c r="H13" s="178"/>
      <c r="I13" s="13">
        <v>32000000</v>
      </c>
      <c r="J13" s="179"/>
      <c r="K13" s="179"/>
      <c r="L13" s="67">
        <f>SUM(I13:K13)</f>
        <v>32000000</v>
      </c>
      <c r="M13" s="175"/>
      <c r="N13" s="180"/>
      <c r="O13" s="180"/>
      <c r="P13" s="180"/>
      <c r="Q13" s="178"/>
      <c r="R13" s="181"/>
    </row>
    <row r="14" spans="1:18" s="1" customFormat="1" x14ac:dyDescent="0.4">
      <c r="A14" s="175" t="s">
        <v>385</v>
      </c>
      <c r="B14" s="176">
        <v>45645</v>
      </c>
      <c r="C14" s="175" t="s">
        <v>229</v>
      </c>
      <c r="D14" s="175" t="s">
        <v>230</v>
      </c>
      <c r="E14" s="175">
        <v>28179</v>
      </c>
      <c r="F14" s="175" t="s">
        <v>221</v>
      </c>
      <c r="G14" s="177"/>
      <c r="H14" s="178"/>
      <c r="I14" s="13">
        <v>100000000</v>
      </c>
      <c r="J14" s="179"/>
      <c r="K14" s="179"/>
      <c r="L14" s="67">
        <f t="shared" ref="L14:L36" si="1">SUM(I14:K14)</f>
        <v>100000000</v>
      </c>
      <c r="M14" s="175"/>
      <c r="N14" s="180"/>
      <c r="O14" s="180"/>
      <c r="P14" s="180"/>
      <c r="Q14" s="178"/>
      <c r="R14" s="181"/>
    </row>
    <row r="15" spans="1:18" s="1" customFormat="1" x14ac:dyDescent="0.4">
      <c r="A15" s="175" t="s">
        <v>385</v>
      </c>
      <c r="B15" s="176">
        <v>45645</v>
      </c>
      <c r="C15" s="175" t="s">
        <v>229</v>
      </c>
      <c r="D15" s="175" t="s">
        <v>231</v>
      </c>
      <c r="E15" s="175">
        <v>7794</v>
      </c>
      <c r="F15" s="175" t="s">
        <v>349</v>
      </c>
      <c r="G15" s="177"/>
      <c r="H15" s="178"/>
      <c r="I15" s="13">
        <v>48000000</v>
      </c>
      <c r="J15" s="179"/>
      <c r="K15" s="179"/>
      <c r="L15" s="67">
        <f t="shared" si="1"/>
        <v>48000000</v>
      </c>
      <c r="M15" s="175"/>
      <c r="N15" s="180"/>
      <c r="O15" s="180"/>
      <c r="P15" s="180"/>
      <c r="Q15" s="178"/>
      <c r="R15" s="181"/>
    </row>
    <row r="16" spans="1:18" s="1" customFormat="1" x14ac:dyDescent="0.4">
      <c r="A16" s="175" t="s">
        <v>385</v>
      </c>
      <c r="B16" s="176">
        <v>45645</v>
      </c>
      <c r="C16" s="175" t="s">
        <v>229</v>
      </c>
      <c r="D16" s="175" t="s">
        <v>327</v>
      </c>
      <c r="E16" s="175">
        <v>11375</v>
      </c>
      <c r="F16" s="175" t="s">
        <v>340</v>
      </c>
      <c r="G16" s="177"/>
      <c r="H16" s="178"/>
      <c r="I16" s="13">
        <v>100000000</v>
      </c>
      <c r="J16" s="179"/>
      <c r="K16" s="179"/>
      <c r="L16" s="67">
        <f t="shared" si="1"/>
        <v>100000000</v>
      </c>
      <c r="M16" s="175"/>
      <c r="N16" s="180"/>
      <c r="O16" s="180"/>
      <c r="P16" s="180"/>
      <c r="Q16" s="178"/>
      <c r="R16" s="181"/>
    </row>
    <row r="17" spans="1:18" s="1" customFormat="1" x14ac:dyDescent="0.4">
      <c r="A17" s="175" t="s">
        <v>385</v>
      </c>
      <c r="B17" s="176">
        <v>45645</v>
      </c>
      <c r="C17" s="175" t="s">
        <v>249</v>
      </c>
      <c r="D17" s="175" t="s">
        <v>77</v>
      </c>
      <c r="E17" s="175">
        <v>10065</v>
      </c>
      <c r="F17" s="175" t="s">
        <v>29</v>
      </c>
      <c r="G17" s="177"/>
      <c r="H17" s="178"/>
      <c r="I17" s="13">
        <v>250000000</v>
      </c>
      <c r="J17" s="179"/>
      <c r="K17" s="179"/>
      <c r="L17" s="67">
        <f t="shared" si="1"/>
        <v>250000000</v>
      </c>
      <c r="M17" s="175"/>
      <c r="N17" s="180"/>
      <c r="O17" s="180"/>
      <c r="P17" s="180"/>
      <c r="Q17" s="178"/>
      <c r="R17" s="181"/>
    </row>
    <row r="18" spans="1:18" s="1" customFormat="1" x14ac:dyDescent="0.4">
      <c r="A18" s="175" t="s">
        <v>385</v>
      </c>
      <c r="B18" s="176">
        <v>45645</v>
      </c>
      <c r="C18" s="175" t="s">
        <v>276</v>
      </c>
      <c r="D18" s="175" t="s">
        <v>441</v>
      </c>
      <c r="E18" s="175">
        <v>22246</v>
      </c>
      <c r="F18" s="175" t="s">
        <v>340</v>
      </c>
      <c r="G18" s="177"/>
      <c r="H18" s="178"/>
      <c r="I18" s="13">
        <v>200000000</v>
      </c>
      <c r="J18" s="179"/>
      <c r="K18" s="179"/>
      <c r="L18" s="67">
        <f t="shared" si="1"/>
        <v>200000000</v>
      </c>
      <c r="M18" s="175"/>
      <c r="N18" s="180"/>
      <c r="O18" s="180"/>
      <c r="P18" s="180"/>
      <c r="Q18" s="178"/>
      <c r="R18" s="181"/>
    </row>
    <row r="19" spans="1:18" s="1" customFormat="1" x14ac:dyDescent="0.4">
      <c r="A19" s="175" t="s">
        <v>385</v>
      </c>
      <c r="B19" s="176">
        <v>45652</v>
      </c>
      <c r="C19" s="175" t="s">
        <v>276</v>
      </c>
      <c r="D19" s="175" t="s">
        <v>160</v>
      </c>
      <c r="E19" s="175">
        <v>28114</v>
      </c>
      <c r="F19" s="175" t="s">
        <v>29</v>
      </c>
      <c r="G19" s="177"/>
      <c r="H19" s="178"/>
      <c r="I19" s="13">
        <v>100000000</v>
      </c>
      <c r="J19" s="179"/>
      <c r="K19" s="179"/>
      <c r="L19" s="67">
        <f t="shared" si="1"/>
        <v>100000000</v>
      </c>
      <c r="M19" s="175"/>
      <c r="N19" s="180"/>
      <c r="O19" s="180"/>
      <c r="P19" s="180"/>
      <c r="Q19" s="178"/>
      <c r="R19" s="181"/>
    </row>
    <row r="20" spans="1:18" s="1" customFormat="1" x14ac:dyDescent="0.4">
      <c r="A20" s="175" t="s">
        <v>385</v>
      </c>
      <c r="B20" s="176">
        <v>45652</v>
      </c>
      <c r="C20" s="175" t="s">
        <v>196</v>
      </c>
      <c r="D20" s="175" t="s">
        <v>208</v>
      </c>
      <c r="E20" s="175">
        <v>46263</v>
      </c>
      <c r="F20" s="175" t="s">
        <v>29</v>
      </c>
      <c r="G20" s="177"/>
      <c r="H20" s="178"/>
      <c r="I20" s="13">
        <v>60000000</v>
      </c>
      <c r="J20" s="179"/>
      <c r="K20" s="179"/>
      <c r="L20" s="67">
        <f t="shared" si="1"/>
        <v>60000000</v>
      </c>
      <c r="M20" s="175"/>
      <c r="N20" s="180"/>
      <c r="O20" s="180"/>
      <c r="P20" s="180"/>
      <c r="Q20" s="178"/>
      <c r="R20" s="181"/>
    </row>
    <row r="21" spans="1:18" s="1" customFormat="1" x14ac:dyDescent="0.4">
      <c r="A21" s="175" t="s">
        <v>385</v>
      </c>
      <c r="B21" s="176">
        <v>45657</v>
      </c>
      <c r="C21" s="175" t="s">
        <v>196</v>
      </c>
      <c r="D21" s="175" t="s">
        <v>530</v>
      </c>
      <c r="E21" s="175" t="s">
        <v>531</v>
      </c>
      <c r="F21" s="175" t="s">
        <v>221</v>
      </c>
      <c r="G21" s="177"/>
      <c r="H21" s="178"/>
      <c r="I21" s="13">
        <v>17000000</v>
      </c>
      <c r="J21" s="179"/>
      <c r="K21" s="179"/>
      <c r="L21" s="67">
        <f t="shared" si="1"/>
        <v>17000000</v>
      </c>
      <c r="M21" s="175"/>
      <c r="N21" s="180"/>
      <c r="O21" s="180"/>
      <c r="P21" s="180"/>
      <c r="Q21" s="178"/>
      <c r="R21" s="181"/>
    </row>
    <row r="22" spans="1:18" s="1" customFormat="1" x14ac:dyDescent="0.4">
      <c r="A22" s="175" t="s">
        <v>385</v>
      </c>
      <c r="B22" s="176">
        <v>45657</v>
      </c>
      <c r="C22" s="175" t="s">
        <v>193</v>
      </c>
      <c r="D22" s="175" t="s">
        <v>513</v>
      </c>
      <c r="E22" s="175">
        <v>558</v>
      </c>
      <c r="F22" s="175" t="s">
        <v>341</v>
      </c>
      <c r="G22" s="177"/>
      <c r="H22" s="178"/>
      <c r="I22" s="13">
        <v>11500000</v>
      </c>
      <c r="J22" s="179"/>
      <c r="K22" s="179"/>
      <c r="L22" s="67">
        <f t="shared" si="1"/>
        <v>11500000</v>
      </c>
      <c r="M22" s="175"/>
      <c r="N22" s="180"/>
      <c r="O22" s="180"/>
      <c r="P22" s="180"/>
      <c r="Q22" s="178"/>
      <c r="R22" s="181"/>
    </row>
    <row r="23" spans="1:18" s="1" customFormat="1" x14ac:dyDescent="0.4">
      <c r="A23" s="175" t="s">
        <v>534</v>
      </c>
      <c r="B23" s="176">
        <v>45666</v>
      </c>
      <c r="C23" s="175" t="s">
        <v>102</v>
      </c>
      <c r="D23" s="175" t="s">
        <v>163</v>
      </c>
      <c r="E23" s="175">
        <v>59864</v>
      </c>
      <c r="F23" s="175" t="s">
        <v>31</v>
      </c>
      <c r="G23" s="177"/>
      <c r="H23" s="178"/>
      <c r="I23" s="13">
        <v>20000000</v>
      </c>
      <c r="J23" s="179"/>
      <c r="K23" s="179"/>
      <c r="L23" s="67">
        <f t="shared" si="1"/>
        <v>20000000</v>
      </c>
      <c r="M23" s="175"/>
      <c r="N23" s="180"/>
      <c r="O23" s="180"/>
      <c r="P23" s="180"/>
      <c r="Q23" s="178"/>
      <c r="R23" s="181"/>
    </row>
    <row r="24" spans="1:18" s="1" customFormat="1" x14ac:dyDescent="0.4">
      <c r="A24" s="175" t="s">
        <v>534</v>
      </c>
      <c r="B24" s="176">
        <v>45666</v>
      </c>
      <c r="C24" s="175" t="s">
        <v>102</v>
      </c>
      <c r="D24" s="175" t="s">
        <v>163</v>
      </c>
      <c r="E24" s="175">
        <v>59864</v>
      </c>
      <c r="F24" s="175" t="s">
        <v>339</v>
      </c>
      <c r="G24" s="177"/>
      <c r="H24" s="178"/>
      <c r="I24" s="13">
        <v>30000000</v>
      </c>
      <c r="J24" s="179"/>
      <c r="K24" s="179"/>
      <c r="L24" s="67">
        <f t="shared" si="1"/>
        <v>30000000</v>
      </c>
      <c r="M24" s="175"/>
      <c r="N24" s="180"/>
      <c r="O24" s="180"/>
      <c r="P24" s="180"/>
      <c r="Q24" s="178"/>
      <c r="R24" s="181"/>
    </row>
    <row r="25" spans="1:18" s="1" customFormat="1" x14ac:dyDescent="0.4">
      <c r="A25" s="175" t="s">
        <v>534</v>
      </c>
      <c r="B25" s="176">
        <v>45666</v>
      </c>
      <c r="C25" s="175" t="s">
        <v>196</v>
      </c>
      <c r="D25" s="175" t="s">
        <v>197</v>
      </c>
      <c r="E25" s="175">
        <v>3759</v>
      </c>
      <c r="F25" s="175" t="s">
        <v>29</v>
      </c>
      <c r="G25" s="177"/>
      <c r="H25" s="178"/>
      <c r="I25" s="13">
        <v>290000000</v>
      </c>
      <c r="J25" s="179"/>
      <c r="K25" s="179"/>
      <c r="L25" s="67">
        <f t="shared" si="1"/>
        <v>290000000</v>
      </c>
      <c r="M25" s="175"/>
      <c r="N25" s="180"/>
      <c r="O25" s="180"/>
      <c r="P25" s="180"/>
      <c r="Q25" s="178"/>
      <c r="R25" s="181"/>
    </row>
    <row r="26" spans="1:18" s="1" customFormat="1" x14ac:dyDescent="0.4">
      <c r="A26" s="175" t="s">
        <v>534</v>
      </c>
      <c r="B26" s="176">
        <v>45666</v>
      </c>
      <c r="C26" s="175" t="s">
        <v>196</v>
      </c>
      <c r="D26" s="175" t="s">
        <v>197</v>
      </c>
      <c r="E26" s="175">
        <v>3759</v>
      </c>
      <c r="F26" s="175" t="s">
        <v>31</v>
      </c>
      <c r="G26" s="177"/>
      <c r="H26" s="178"/>
      <c r="I26" s="13">
        <v>30000000</v>
      </c>
      <c r="J26" s="179"/>
      <c r="K26" s="179"/>
      <c r="L26" s="67">
        <f t="shared" si="1"/>
        <v>30000000</v>
      </c>
      <c r="M26" s="175"/>
      <c r="N26" s="180"/>
      <c r="O26" s="180"/>
      <c r="P26" s="180"/>
      <c r="Q26" s="178"/>
      <c r="R26" s="181"/>
    </row>
    <row r="27" spans="1:18" s="1" customFormat="1" x14ac:dyDescent="0.4">
      <c r="A27" s="175" t="s">
        <v>534</v>
      </c>
      <c r="B27" s="176">
        <v>45666</v>
      </c>
      <c r="C27" s="175" t="s">
        <v>196</v>
      </c>
      <c r="D27" s="175" t="s">
        <v>206</v>
      </c>
      <c r="E27" s="175">
        <v>3711</v>
      </c>
      <c r="F27" s="175" t="s">
        <v>20</v>
      </c>
      <c r="G27" s="177"/>
      <c r="H27" s="178"/>
      <c r="I27" s="13">
        <v>30000000</v>
      </c>
      <c r="J27" s="179"/>
      <c r="K27" s="179"/>
      <c r="L27" s="67">
        <f t="shared" si="1"/>
        <v>30000000</v>
      </c>
      <c r="M27" s="175"/>
      <c r="N27" s="180"/>
      <c r="O27" s="180"/>
      <c r="P27" s="180"/>
      <c r="Q27" s="178"/>
      <c r="R27" s="181"/>
    </row>
    <row r="28" spans="1:18" s="1" customFormat="1" x14ac:dyDescent="0.4">
      <c r="A28" s="175" t="s">
        <v>534</v>
      </c>
      <c r="B28" s="176">
        <v>45666</v>
      </c>
      <c r="C28" s="175" t="s">
        <v>184</v>
      </c>
      <c r="D28" s="175" t="s">
        <v>532</v>
      </c>
      <c r="E28" s="175">
        <v>3561</v>
      </c>
      <c r="F28" s="175" t="s">
        <v>38</v>
      </c>
      <c r="G28" s="177"/>
      <c r="H28" s="178"/>
      <c r="I28" s="13">
        <v>31200000</v>
      </c>
      <c r="J28" s="179"/>
      <c r="K28" s="179"/>
      <c r="L28" s="67">
        <f t="shared" si="1"/>
        <v>31200000</v>
      </c>
      <c r="M28" s="175"/>
      <c r="N28" s="180"/>
      <c r="O28" s="180"/>
      <c r="P28" s="180"/>
      <c r="Q28" s="178"/>
      <c r="R28" s="181"/>
    </row>
    <row r="29" spans="1:18" s="1" customFormat="1" x14ac:dyDescent="0.4">
      <c r="A29" s="175" t="s">
        <v>534</v>
      </c>
      <c r="B29" s="176">
        <v>45666</v>
      </c>
      <c r="C29" s="175" t="s">
        <v>235</v>
      </c>
      <c r="D29" s="175" t="s">
        <v>450</v>
      </c>
      <c r="E29" s="175">
        <v>3753</v>
      </c>
      <c r="F29" s="175" t="s">
        <v>29</v>
      </c>
      <c r="G29" s="177"/>
      <c r="H29" s="178"/>
      <c r="I29" s="13">
        <v>94027000</v>
      </c>
      <c r="J29" s="179"/>
      <c r="K29" s="179"/>
      <c r="L29" s="67">
        <f t="shared" si="1"/>
        <v>94027000</v>
      </c>
      <c r="M29" s="175"/>
      <c r="N29" s="180"/>
      <c r="O29" s="180"/>
      <c r="P29" s="180"/>
      <c r="Q29" s="178"/>
      <c r="R29" s="181"/>
    </row>
    <row r="30" spans="1:18" s="1" customFormat="1" x14ac:dyDescent="0.4">
      <c r="A30" s="175" t="s">
        <v>534</v>
      </c>
      <c r="B30" s="176">
        <v>45673</v>
      </c>
      <c r="C30" s="175" t="s">
        <v>102</v>
      </c>
      <c r="D30" s="175" t="s">
        <v>219</v>
      </c>
      <c r="E30" s="175">
        <v>4139</v>
      </c>
      <c r="F30" s="175" t="s">
        <v>29</v>
      </c>
      <c r="G30" s="177"/>
      <c r="H30" s="178"/>
      <c r="I30" s="13">
        <v>99000000</v>
      </c>
      <c r="J30" s="179"/>
      <c r="K30" s="179"/>
      <c r="L30" s="67">
        <f t="shared" si="1"/>
        <v>99000000</v>
      </c>
      <c r="M30" s="175"/>
      <c r="N30" s="180"/>
      <c r="O30" s="180"/>
      <c r="P30" s="180"/>
      <c r="Q30" s="178"/>
      <c r="R30" s="181"/>
    </row>
    <row r="31" spans="1:18" s="1" customFormat="1" x14ac:dyDescent="0.4">
      <c r="A31" s="175" t="s">
        <v>534</v>
      </c>
      <c r="B31" s="176">
        <v>45673</v>
      </c>
      <c r="C31" s="175" t="s">
        <v>196</v>
      </c>
      <c r="D31" s="175" t="s">
        <v>207</v>
      </c>
      <c r="E31" s="175">
        <v>47573</v>
      </c>
      <c r="F31" s="175" t="s">
        <v>31</v>
      </c>
      <c r="G31" s="177"/>
      <c r="H31" s="178"/>
      <c r="I31" s="13">
        <v>15000000</v>
      </c>
      <c r="J31" s="179"/>
      <c r="K31" s="179"/>
      <c r="L31" s="67">
        <f t="shared" si="1"/>
        <v>15000000</v>
      </c>
      <c r="M31" s="175"/>
      <c r="N31" s="180"/>
      <c r="O31" s="180"/>
      <c r="P31" s="180"/>
      <c r="Q31" s="178"/>
      <c r="R31" s="181"/>
    </row>
    <row r="32" spans="1:18" s="1" customFormat="1" x14ac:dyDescent="0.4">
      <c r="A32" s="175" t="s">
        <v>534</v>
      </c>
      <c r="B32" s="176">
        <v>45680</v>
      </c>
      <c r="C32" s="175" t="s">
        <v>138</v>
      </c>
      <c r="D32" s="175" t="s">
        <v>154</v>
      </c>
      <c r="E32" s="175">
        <v>12964</v>
      </c>
      <c r="F32" s="175" t="s">
        <v>339</v>
      </c>
      <c r="G32" s="177"/>
      <c r="H32" s="178"/>
      <c r="I32" s="13">
        <v>20000000</v>
      </c>
      <c r="J32" s="179"/>
      <c r="K32" s="179"/>
      <c r="L32" s="67">
        <f t="shared" si="1"/>
        <v>20000000</v>
      </c>
      <c r="M32" s="175"/>
      <c r="N32" s="180"/>
      <c r="O32" s="180"/>
      <c r="P32" s="180"/>
      <c r="Q32" s="178"/>
      <c r="R32" s="181"/>
    </row>
    <row r="33" spans="1:18" s="1" customFormat="1" x14ac:dyDescent="0.4">
      <c r="A33" s="175" t="s">
        <v>534</v>
      </c>
      <c r="B33" s="176">
        <v>45680</v>
      </c>
      <c r="C33" s="175" t="s">
        <v>235</v>
      </c>
      <c r="D33" s="175" t="s">
        <v>75</v>
      </c>
      <c r="E33" s="175">
        <v>57120</v>
      </c>
      <c r="F33" s="175" t="s">
        <v>341</v>
      </c>
      <c r="G33" s="177"/>
      <c r="H33" s="178"/>
      <c r="I33" s="13">
        <v>15445000</v>
      </c>
      <c r="J33" s="179"/>
      <c r="K33" s="179"/>
      <c r="L33" s="67">
        <f t="shared" si="1"/>
        <v>15445000</v>
      </c>
      <c r="M33" s="175"/>
      <c r="N33" s="180"/>
      <c r="O33" s="180"/>
      <c r="P33" s="180"/>
      <c r="Q33" s="178"/>
      <c r="R33" s="181"/>
    </row>
    <row r="34" spans="1:18" s="1" customFormat="1" x14ac:dyDescent="0.4">
      <c r="A34" s="175" t="s">
        <v>534</v>
      </c>
      <c r="B34" s="176">
        <v>45680</v>
      </c>
      <c r="C34" s="175" t="s">
        <v>235</v>
      </c>
      <c r="D34" s="175" t="s">
        <v>471</v>
      </c>
      <c r="E34" s="175">
        <v>16818</v>
      </c>
      <c r="F34" s="175" t="s">
        <v>31</v>
      </c>
      <c r="G34" s="177"/>
      <c r="H34" s="178"/>
      <c r="I34" s="13">
        <v>49528000</v>
      </c>
      <c r="J34" s="179"/>
      <c r="K34" s="179"/>
      <c r="L34" s="67">
        <f t="shared" si="1"/>
        <v>49528000</v>
      </c>
      <c r="M34" s="175"/>
      <c r="N34" s="180"/>
      <c r="O34" s="180"/>
      <c r="P34" s="180"/>
      <c r="Q34" s="178"/>
      <c r="R34" s="181"/>
    </row>
    <row r="35" spans="1:18" s="1" customFormat="1" x14ac:dyDescent="0.4">
      <c r="A35" s="175" t="s">
        <v>534</v>
      </c>
      <c r="B35" s="176">
        <v>45680</v>
      </c>
      <c r="C35" s="175" t="s">
        <v>541</v>
      </c>
      <c r="D35" s="175" t="s">
        <v>542</v>
      </c>
      <c r="E35" s="175">
        <v>55866</v>
      </c>
      <c r="F35" s="175" t="s">
        <v>31</v>
      </c>
      <c r="G35" s="177"/>
      <c r="H35" s="178"/>
      <c r="I35" s="13">
        <v>14000000</v>
      </c>
      <c r="J35" s="179"/>
      <c r="K35" s="179"/>
      <c r="L35" s="67">
        <f t="shared" si="1"/>
        <v>14000000</v>
      </c>
      <c r="M35" s="175"/>
      <c r="N35" s="180"/>
      <c r="O35" s="180"/>
      <c r="P35" s="180"/>
      <c r="Q35" s="178"/>
      <c r="R35" s="181"/>
    </row>
    <row r="36" spans="1:18" s="1" customFormat="1" x14ac:dyDescent="0.4">
      <c r="A36" s="175" t="s">
        <v>534</v>
      </c>
      <c r="B36" s="176">
        <v>45680</v>
      </c>
      <c r="C36" s="175" t="s">
        <v>223</v>
      </c>
      <c r="D36" s="175" t="s">
        <v>520</v>
      </c>
      <c r="E36" s="175">
        <v>6720</v>
      </c>
      <c r="F36" s="175" t="s">
        <v>29</v>
      </c>
      <c r="G36" s="177"/>
      <c r="H36" s="178"/>
      <c r="I36" s="13">
        <v>200000000</v>
      </c>
      <c r="J36" s="179"/>
      <c r="K36" s="179"/>
      <c r="L36" s="67">
        <f t="shared" si="1"/>
        <v>200000000</v>
      </c>
      <c r="M36" s="175"/>
      <c r="N36" s="180"/>
      <c r="O36" s="180"/>
      <c r="P36" s="180"/>
      <c r="Q36" s="178"/>
      <c r="R36" s="181"/>
    </row>
    <row r="37" spans="1:18" s="1" customFormat="1" x14ac:dyDescent="0.4">
      <c r="A37" s="175" t="s">
        <v>543</v>
      </c>
      <c r="B37" s="176">
        <v>45694</v>
      </c>
      <c r="C37" s="175" t="s">
        <v>276</v>
      </c>
      <c r="D37" s="175" t="s">
        <v>181</v>
      </c>
      <c r="E37" s="175">
        <v>3734</v>
      </c>
      <c r="F37" s="175" t="s">
        <v>340</v>
      </c>
      <c r="G37" s="177"/>
      <c r="H37" s="178"/>
      <c r="I37" s="13">
        <v>200000000</v>
      </c>
      <c r="J37" s="179"/>
      <c r="K37" s="179"/>
      <c r="L37" s="67">
        <f t="shared" ref="L37:L48" si="2">SUM(I37:K37)</f>
        <v>200000000</v>
      </c>
      <c r="M37" s="175"/>
      <c r="N37" s="180"/>
      <c r="O37" s="180"/>
      <c r="P37" s="180"/>
      <c r="Q37" s="178"/>
      <c r="R37" s="181"/>
    </row>
    <row r="38" spans="1:18" s="1" customFormat="1" x14ac:dyDescent="0.4">
      <c r="A38" s="175" t="s">
        <v>543</v>
      </c>
      <c r="B38" s="176">
        <v>45694</v>
      </c>
      <c r="C38" s="175" t="s">
        <v>276</v>
      </c>
      <c r="D38" s="175" t="s">
        <v>545</v>
      </c>
      <c r="E38" s="175">
        <v>27969</v>
      </c>
      <c r="F38" s="175" t="s">
        <v>29</v>
      </c>
      <c r="G38" s="177"/>
      <c r="H38" s="178"/>
      <c r="I38" s="13">
        <v>20000000</v>
      </c>
      <c r="J38" s="179"/>
      <c r="K38" s="179"/>
      <c r="L38" s="67">
        <f t="shared" si="2"/>
        <v>20000000</v>
      </c>
      <c r="M38" s="175"/>
      <c r="N38" s="180"/>
      <c r="O38" s="180"/>
      <c r="P38" s="180"/>
      <c r="Q38" s="178"/>
      <c r="R38" s="181"/>
    </row>
    <row r="39" spans="1:18" s="1" customFormat="1" x14ac:dyDescent="0.4">
      <c r="A39" s="175" t="s">
        <v>543</v>
      </c>
      <c r="B39" s="176">
        <v>45694</v>
      </c>
      <c r="C39" s="175" t="s">
        <v>138</v>
      </c>
      <c r="D39" s="175" t="s">
        <v>139</v>
      </c>
      <c r="E39" s="175">
        <v>53605</v>
      </c>
      <c r="F39" s="175" t="s">
        <v>31</v>
      </c>
      <c r="G39" s="177"/>
      <c r="H39" s="178"/>
      <c r="I39" s="13">
        <v>1424000</v>
      </c>
      <c r="J39" s="179"/>
      <c r="K39" s="179"/>
      <c r="L39" s="67">
        <f t="shared" si="2"/>
        <v>1424000</v>
      </c>
      <c r="M39" s="175"/>
      <c r="N39" s="180"/>
      <c r="O39" s="180"/>
      <c r="P39" s="180"/>
      <c r="Q39" s="178"/>
      <c r="R39" s="181"/>
    </row>
    <row r="40" spans="1:18" s="1" customFormat="1" x14ac:dyDescent="0.4">
      <c r="A40" s="175" t="s">
        <v>543</v>
      </c>
      <c r="B40" s="176">
        <v>45694</v>
      </c>
      <c r="C40" s="175" t="s">
        <v>102</v>
      </c>
      <c r="D40" s="175" t="s">
        <v>163</v>
      </c>
      <c r="E40" s="175">
        <v>59864</v>
      </c>
      <c r="F40" s="175" t="s">
        <v>20</v>
      </c>
      <c r="G40" s="177"/>
      <c r="H40" s="178"/>
      <c r="I40" s="13">
        <v>4052000</v>
      </c>
      <c r="J40" s="179"/>
      <c r="K40" s="179"/>
      <c r="L40" s="67">
        <f t="shared" si="2"/>
        <v>4052000</v>
      </c>
      <c r="M40" s="175"/>
      <c r="N40" s="180"/>
      <c r="O40" s="180"/>
      <c r="P40" s="180"/>
      <c r="Q40" s="178"/>
      <c r="R40" s="181"/>
    </row>
    <row r="41" spans="1:18" s="1" customFormat="1" x14ac:dyDescent="0.4">
      <c r="A41" s="175" t="s">
        <v>543</v>
      </c>
      <c r="B41" s="176">
        <v>45694</v>
      </c>
      <c r="C41" s="175" t="s">
        <v>235</v>
      </c>
      <c r="D41" s="175" t="s">
        <v>521</v>
      </c>
      <c r="E41" s="175">
        <v>6829</v>
      </c>
      <c r="F41" s="175" t="s">
        <v>29</v>
      </c>
      <c r="G41" s="177"/>
      <c r="H41" s="178"/>
      <c r="I41" s="13">
        <v>161000000</v>
      </c>
      <c r="J41" s="179"/>
      <c r="K41" s="179"/>
      <c r="L41" s="67">
        <f t="shared" si="2"/>
        <v>161000000</v>
      </c>
      <c r="M41" s="175"/>
      <c r="N41" s="180"/>
      <c r="O41" s="180"/>
      <c r="P41" s="180"/>
      <c r="Q41" s="178"/>
      <c r="R41" s="181"/>
    </row>
    <row r="42" spans="1:18" s="1" customFormat="1" x14ac:dyDescent="0.4">
      <c r="A42" s="175" t="s">
        <v>543</v>
      </c>
      <c r="B42" s="176">
        <v>45701</v>
      </c>
      <c r="C42" s="175" t="s">
        <v>102</v>
      </c>
      <c r="D42" s="175" t="s">
        <v>240</v>
      </c>
      <c r="E42" s="175">
        <v>3098</v>
      </c>
      <c r="F42" s="175" t="s">
        <v>340</v>
      </c>
      <c r="G42" s="177"/>
      <c r="H42" s="178"/>
      <c r="I42" s="13">
        <v>32000000</v>
      </c>
      <c r="J42" s="179"/>
      <c r="K42" s="179"/>
      <c r="L42" s="67">
        <f t="shared" si="2"/>
        <v>32000000</v>
      </c>
      <c r="M42" s="175"/>
      <c r="N42" s="180"/>
      <c r="O42" s="180"/>
      <c r="P42" s="180"/>
      <c r="Q42" s="178"/>
      <c r="R42" s="181"/>
    </row>
    <row r="43" spans="1:18" s="1" customFormat="1" x14ac:dyDescent="0.4">
      <c r="A43" s="175" t="s">
        <v>543</v>
      </c>
      <c r="B43" s="176">
        <v>45701</v>
      </c>
      <c r="C43" s="175" t="s">
        <v>102</v>
      </c>
      <c r="D43" s="175" t="s">
        <v>110</v>
      </c>
      <c r="E43" s="175">
        <v>11188</v>
      </c>
      <c r="F43" s="175" t="s">
        <v>340</v>
      </c>
      <c r="G43" s="177"/>
      <c r="H43" s="178"/>
      <c r="I43" s="13">
        <v>10000000</v>
      </c>
      <c r="J43" s="179"/>
      <c r="K43" s="179"/>
      <c r="L43" s="67">
        <f t="shared" si="2"/>
        <v>10000000</v>
      </c>
      <c r="M43" s="175"/>
      <c r="N43" s="180"/>
      <c r="O43" s="180"/>
      <c r="P43" s="180"/>
      <c r="Q43" s="178"/>
      <c r="R43" s="181"/>
    </row>
    <row r="44" spans="1:18" s="1" customFormat="1" x14ac:dyDescent="0.4">
      <c r="A44" s="175" t="s">
        <v>543</v>
      </c>
      <c r="B44" s="176">
        <v>45701</v>
      </c>
      <c r="C44" s="175" t="s">
        <v>102</v>
      </c>
      <c r="D44" s="175" t="s">
        <v>473</v>
      </c>
      <c r="E44" s="175">
        <v>19075</v>
      </c>
      <c r="F44" s="175" t="s">
        <v>31</v>
      </c>
      <c r="G44" s="177"/>
      <c r="H44" s="178"/>
      <c r="I44" s="13">
        <v>8214000</v>
      </c>
      <c r="J44" s="179"/>
      <c r="K44" s="179"/>
      <c r="L44" s="67">
        <f t="shared" si="2"/>
        <v>8214000</v>
      </c>
      <c r="M44" s="175"/>
      <c r="N44" s="180"/>
      <c r="O44" s="180"/>
      <c r="P44" s="180"/>
      <c r="Q44" s="178"/>
      <c r="R44" s="181"/>
    </row>
    <row r="45" spans="1:18" s="1" customFormat="1" x14ac:dyDescent="0.4">
      <c r="A45" s="175" t="s">
        <v>543</v>
      </c>
      <c r="B45" s="176">
        <v>45701</v>
      </c>
      <c r="C45" s="175" t="s">
        <v>249</v>
      </c>
      <c r="D45" s="175" t="s">
        <v>328</v>
      </c>
      <c r="E45" s="175">
        <v>43133</v>
      </c>
      <c r="F45" s="175" t="s">
        <v>221</v>
      </c>
      <c r="G45" s="177"/>
      <c r="H45" s="178"/>
      <c r="I45" s="13">
        <v>9000000</v>
      </c>
      <c r="J45" s="179"/>
      <c r="K45" s="179"/>
      <c r="L45" s="67">
        <f t="shared" si="2"/>
        <v>9000000</v>
      </c>
      <c r="M45" s="175"/>
      <c r="N45" s="180"/>
      <c r="O45" s="180"/>
      <c r="P45" s="180"/>
      <c r="Q45" s="178"/>
      <c r="R45" s="181"/>
    </row>
    <row r="46" spans="1:18" s="1" customFormat="1" x14ac:dyDescent="0.4">
      <c r="A46" s="175" t="s">
        <v>543</v>
      </c>
      <c r="B46" s="176">
        <v>45701</v>
      </c>
      <c r="C46" s="175" t="s">
        <v>196</v>
      </c>
      <c r="D46" s="175" t="s">
        <v>199</v>
      </c>
      <c r="E46" s="175">
        <v>45421</v>
      </c>
      <c r="F46" s="175" t="s">
        <v>31</v>
      </c>
      <c r="G46" s="177"/>
      <c r="H46" s="178"/>
      <c r="I46" s="13">
        <v>1290000</v>
      </c>
      <c r="J46" s="179"/>
      <c r="K46" s="179"/>
      <c r="L46" s="67">
        <f t="shared" si="2"/>
        <v>1290000</v>
      </c>
      <c r="M46" s="175"/>
      <c r="N46" s="180"/>
      <c r="O46" s="180"/>
      <c r="P46" s="180"/>
      <c r="Q46" s="178"/>
      <c r="R46" s="181"/>
    </row>
    <row r="47" spans="1:18" s="1" customFormat="1" x14ac:dyDescent="0.4">
      <c r="A47" s="175" t="s">
        <v>543</v>
      </c>
      <c r="B47" s="176">
        <v>45701</v>
      </c>
      <c r="C47" s="175" t="s">
        <v>196</v>
      </c>
      <c r="D47" s="175" t="s">
        <v>447</v>
      </c>
      <c r="E47" s="175">
        <v>49737</v>
      </c>
      <c r="F47" s="175" t="s">
        <v>20</v>
      </c>
      <c r="G47" s="177"/>
      <c r="H47" s="178"/>
      <c r="I47" s="13">
        <v>1127500</v>
      </c>
      <c r="J47" s="179"/>
      <c r="K47" s="179"/>
      <c r="L47" s="67">
        <f t="shared" si="2"/>
        <v>1127500</v>
      </c>
      <c r="M47" s="175"/>
      <c r="N47" s="180"/>
      <c r="O47" s="180"/>
      <c r="P47" s="180"/>
      <c r="Q47" s="178"/>
      <c r="R47" s="181"/>
    </row>
    <row r="48" spans="1:18" s="1" customFormat="1" x14ac:dyDescent="0.4">
      <c r="A48" s="175" t="s">
        <v>543</v>
      </c>
      <c r="B48" s="176">
        <v>45701</v>
      </c>
      <c r="C48" s="175" t="s">
        <v>196</v>
      </c>
      <c r="D48" s="175" t="s">
        <v>201</v>
      </c>
      <c r="E48" s="175">
        <v>23747</v>
      </c>
      <c r="F48" s="175" t="s">
        <v>20</v>
      </c>
      <c r="G48" s="177"/>
      <c r="H48" s="178"/>
      <c r="I48" s="13">
        <v>18294360</v>
      </c>
      <c r="J48" s="179"/>
      <c r="K48" s="179"/>
      <c r="L48" s="67">
        <f t="shared" si="2"/>
        <v>18294360</v>
      </c>
      <c r="M48" s="175"/>
      <c r="N48" s="180"/>
      <c r="O48" s="180"/>
      <c r="P48" s="180"/>
      <c r="Q48" s="178"/>
      <c r="R48" s="181"/>
    </row>
    <row r="49" spans="1:18" s="1" customFormat="1" x14ac:dyDescent="0.4">
      <c r="A49" s="175" t="s">
        <v>543</v>
      </c>
      <c r="B49" s="176">
        <v>45701</v>
      </c>
      <c r="C49" s="175" t="s">
        <v>196</v>
      </c>
      <c r="D49" s="175" t="s">
        <v>203</v>
      </c>
      <c r="E49" s="175">
        <v>27907</v>
      </c>
      <c r="F49" s="175" t="s">
        <v>20</v>
      </c>
      <c r="G49" s="177"/>
      <c r="H49" s="178"/>
      <c r="I49" s="13">
        <v>9000000</v>
      </c>
      <c r="J49" s="179"/>
      <c r="K49" s="179"/>
      <c r="L49" s="67">
        <f t="shared" ref="L49:L59" si="3">SUM(I49:K49)</f>
        <v>9000000</v>
      </c>
      <c r="M49" s="175"/>
      <c r="N49" s="180"/>
      <c r="O49" s="180"/>
      <c r="P49" s="180"/>
      <c r="Q49" s="178"/>
      <c r="R49" s="181"/>
    </row>
    <row r="50" spans="1:18" s="1" customFormat="1" x14ac:dyDescent="0.4">
      <c r="A50" s="175" t="s">
        <v>543</v>
      </c>
      <c r="B50" s="176">
        <v>45701</v>
      </c>
      <c r="C50" s="175" t="s">
        <v>196</v>
      </c>
      <c r="D50" s="175" t="s">
        <v>445</v>
      </c>
      <c r="E50" s="175">
        <v>7600</v>
      </c>
      <c r="F50" s="175" t="s">
        <v>31</v>
      </c>
      <c r="G50" s="177"/>
      <c r="H50" s="178"/>
      <c r="I50" s="13">
        <v>85000000</v>
      </c>
      <c r="J50" s="179"/>
      <c r="K50" s="179"/>
      <c r="L50" s="67">
        <f t="shared" si="3"/>
        <v>85000000</v>
      </c>
      <c r="M50" s="175"/>
      <c r="N50" s="180"/>
      <c r="O50" s="180"/>
      <c r="P50" s="180"/>
      <c r="Q50" s="178"/>
      <c r="R50" s="181"/>
    </row>
    <row r="51" spans="1:18" s="1" customFormat="1" x14ac:dyDescent="0.4">
      <c r="A51" s="175" t="s">
        <v>543</v>
      </c>
      <c r="B51" s="176">
        <v>45701</v>
      </c>
      <c r="C51" s="175" t="s">
        <v>196</v>
      </c>
      <c r="D51" s="175" t="s">
        <v>73</v>
      </c>
      <c r="E51" s="175">
        <v>1908</v>
      </c>
      <c r="F51" s="175" t="s">
        <v>20</v>
      </c>
      <c r="G51" s="177"/>
      <c r="H51" s="178"/>
      <c r="I51" s="13">
        <v>4000000</v>
      </c>
      <c r="J51" s="179"/>
      <c r="K51" s="179"/>
      <c r="L51" s="67">
        <f t="shared" si="3"/>
        <v>4000000</v>
      </c>
      <c r="M51" s="175"/>
      <c r="N51" s="180"/>
      <c r="O51" s="180"/>
      <c r="P51" s="180"/>
      <c r="Q51" s="178"/>
      <c r="R51" s="181"/>
    </row>
    <row r="52" spans="1:18" s="1" customFormat="1" x14ac:dyDescent="0.4">
      <c r="A52" s="175" t="s">
        <v>543</v>
      </c>
      <c r="B52" s="176">
        <v>45701</v>
      </c>
      <c r="C52" s="175" t="s">
        <v>229</v>
      </c>
      <c r="D52" s="175" t="s">
        <v>522</v>
      </c>
      <c r="E52" s="175">
        <v>7430</v>
      </c>
      <c r="F52" s="175" t="s">
        <v>20</v>
      </c>
      <c r="G52" s="177"/>
      <c r="H52" s="178"/>
      <c r="I52" s="13">
        <v>42000000</v>
      </c>
      <c r="J52" s="179"/>
      <c r="K52" s="179"/>
      <c r="L52" s="67">
        <f t="shared" si="3"/>
        <v>42000000</v>
      </c>
      <c r="M52" s="175"/>
      <c r="N52" s="180"/>
      <c r="O52" s="180"/>
      <c r="P52" s="180"/>
      <c r="Q52" s="178"/>
      <c r="R52" s="181"/>
    </row>
    <row r="53" spans="1:18" s="1" customFormat="1" x14ac:dyDescent="0.4">
      <c r="A53" s="175" t="s">
        <v>543</v>
      </c>
      <c r="B53" s="176">
        <v>45701</v>
      </c>
      <c r="C53" s="175" t="s">
        <v>229</v>
      </c>
      <c r="D53" s="175" t="s">
        <v>82</v>
      </c>
      <c r="E53" s="175">
        <v>11800</v>
      </c>
      <c r="F53" s="175" t="s">
        <v>349</v>
      </c>
      <c r="G53" s="177"/>
      <c r="H53" s="178"/>
      <c r="I53" s="13">
        <v>1500000</v>
      </c>
      <c r="J53" s="179"/>
      <c r="K53" s="179"/>
      <c r="L53" s="67">
        <f t="shared" si="3"/>
        <v>1500000</v>
      </c>
      <c r="M53" s="175"/>
      <c r="N53" s="180"/>
      <c r="O53" s="180"/>
      <c r="P53" s="180"/>
      <c r="Q53" s="178"/>
      <c r="R53" s="181"/>
    </row>
    <row r="54" spans="1:18" s="1" customFormat="1" x14ac:dyDescent="0.4">
      <c r="A54" s="175" t="s">
        <v>543</v>
      </c>
      <c r="B54" s="176">
        <v>45701</v>
      </c>
      <c r="C54" s="175" t="s">
        <v>276</v>
      </c>
      <c r="D54" s="175" t="s">
        <v>144</v>
      </c>
      <c r="E54" s="175">
        <v>7823</v>
      </c>
      <c r="F54" s="175" t="s">
        <v>349</v>
      </c>
      <c r="G54" s="177"/>
      <c r="H54" s="178"/>
      <c r="I54" s="13">
        <v>24000000</v>
      </c>
      <c r="J54" s="179"/>
      <c r="K54" s="179"/>
      <c r="L54" s="67">
        <f t="shared" si="3"/>
        <v>24000000</v>
      </c>
      <c r="M54" s="175"/>
      <c r="N54" s="180"/>
      <c r="O54" s="180"/>
      <c r="P54" s="180"/>
      <c r="Q54" s="178"/>
      <c r="R54" s="181"/>
    </row>
    <row r="55" spans="1:18" s="1" customFormat="1" x14ac:dyDescent="0.4">
      <c r="A55" s="175" t="s">
        <v>543</v>
      </c>
      <c r="B55" s="176">
        <v>45708</v>
      </c>
      <c r="C55" s="175" t="s">
        <v>196</v>
      </c>
      <c r="D55" s="175" t="s">
        <v>183</v>
      </c>
      <c r="E55" s="175">
        <v>1793</v>
      </c>
      <c r="F55" s="175" t="s">
        <v>31</v>
      </c>
      <c r="G55" s="177"/>
      <c r="H55" s="178"/>
      <c r="I55" s="13">
        <v>10000000</v>
      </c>
      <c r="J55" s="179"/>
      <c r="K55" s="179"/>
      <c r="L55" s="67">
        <f t="shared" si="3"/>
        <v>10000000</v>
      </c>
      <c r="M55" s="175"/>
      <c r="N55" s="180"/>
      <c r="O55" s="180"/>
      <c r="P55" s="180"/>
      <c r="Q55" s="178"/>
      <c r="R55" s="181"/>
    </row>
    <row r="56" spans="1:18" s="1" customFormat="1" x14ac:dyDescent="0.4">
      <c r="A56" s="175" t="s">
        <v>543</v>
      </c>
      <c r="B56" s="176">
        <v>45708</v>
      </c>
      <c r="C56" s="175" t="s">
        <v>235</v>
      </c>
      <c r="D56" s="175" t="s">
        <v>557</v>
      </c>
      <c r="E56" s="175">
        <v>10806</v>
      </c>
      <c r="F56" s="175" t="s">
        <v>29</v>
      </c>
      <c r="G56" s="177"/>
      <c r="H56" s="178"/>
      <c r="I56" s="13">
        <v>300000000</v>
      </c>
      <c r="J56" s="179"/>
      <c r="K56" s="179"/>
      <c r="L56" s="67">
        <f t="shared" si="3"/>
        <v>300000000</v>
      </c>
      <c r="M56" s="175"/>
      <c r="N56" s="180"/>
      <c r="O56" s="180"/>
      <c r="P56" s="180"/>
      <c r="Q56" s="178"/>
      <c r="R56" s="181"/>
    </row>
    <row r="57" spans="1:18" s="1" customFormat="1" x14ac:dyDescent="0.4">
      <c r="A57" s="175" t="s">
        <v>543</v>
      </c>
      <c r="B57" s="176">
        <v>45708</v>
      </c>
      <c r="C57" s="175" t="s">
        <v>235</v>
      </c>
      <c r="D57" s="175" t="s">
        <v>505</v>
      </c>
      <c r="E57" s="175">
        <v>46761</v>
      </c>
      <c r="F57" s="175" t="s">
        <v>31</v>
      </c>
      <c r="G57" s="177"/>
      <c r="H57" s="178"/>
      <c r="I57" s="13">
        <v>480000</v>
      </c>
      <c r="J57" s="179"/>
      <c r="K57" s="179"/>
      <c r="L57" s="67">
        <f t="shared" si="3"/>
        <v>480000</v>
      </c>
      <c r="M57" s="175"/>
      <c r="N57" s="180"/>
      <c r="O57" s="180"/>
      <c r="P57" s="180"/>
      <c r="Q57" s="178"/>
      <c r="R57" s="181"/>
    </row>
    <row r="58" spans="1:18" s="1" customFormat="1" x14ac:dyDescent="0.4">
      <c r="A58" s="175" t="s">
        <v>543</v>
      </c>
      <c r="B58" s="176">
        <v>45708</v>
      </c>
      <c r="C58" s="175" t="s">
        <v>249</v>
      </c>
      <c r="D58" s="175" t="s">
        <v>77</v>
      </c>
      <c r="E58" s="175">
        <v>10065</v>
      </c>
      <c r="F58" s="175" t="s">
        <v>221</v>
      </c>
      <c r="G58" s="177"/>
      <c r="H58" s="178"/>
      <c r="I58" s="13">
        <v>8000000</v>
      </c>
      <c r="J58" s="179"/>
      <c r="K58" s="179"/>
      <c r="L58" s="67">
        <f t="shared" si="3"/>
        <v>8000000</v>
      </c>
      <c r="M58" s="175"/>
      <c r="N58" s="180"/>
      <c r="O58" s="180"/>
      <c r="P58" s="180"/>
      <c r="Q58" s="178"/>
      <c r="R58" s="181"/>
    </row>
    <row r="59" spans="1:18" s="1" customFormat="1" x14ac:dyDescent="0.4">
      <c r="A59" s="175" t="s">
        <v>543</v>
      </c>
      <c r="B59" s="176">
        <v>45708</v>
      </c>
      <c r="C59" s="175" t="s">
        <v>249</v>
      </c>
      <c r="D59" s="175" t="s">
        <v>262</v>
      </c>
      <c r="E59" s="175">
        <v>42986</v>
      </c>
      <c r="F59" s="175" t="s">
        <v>38</v>
      </c>
      <c r="G59" s="177"/>
      <c r="H59" s="178"/>
      <c r="I59" s="13">
        <v>5490000</v>
      </c>
      <c r="J59" s="179"/>
      <c r="K59" s="179"/>
      <c r="L59" s="67">
        <f t="shared" si="3"/>
        <v>5490000</v>
      </c>
      <c r="M59" s="175"/>
      <c r="N59" s="180"/>
      <c r="O59" s="180"/>
      <c r="P59" s="180"/>
      <c r="Q59" s="178"/>
      <c r="R59" s="181"/>
    </row>
    <row r="60" spans="1:18" s="1" customFormat="1" x14ac:dyDescent="0.4">
      <c r="A60" s="175" t="s">
        <v>543</v>
      </c>
      <c r="B60" s="176">
        <v>45715</v>
      </c>
      <c r="C60" s="175" t="s">
        <v>102</v>
      </c>
      <c r="D60" s="175" t="s">
        <v>464</v>
      </c>
      <c r="E60" s="175">
        <v>14896</v>
      </c>
      <c r="F60" s="175" t="s">
        <v>349</v>
      </c>
      <c r="G60" s="177"/>
      <c r="H60" s="178"/>
      <c r="I60" s="13">
        <v>12000000</v>
      </c>
      <c r="J60" s="179"/>
      <c r="K60" s="179"/>
      <c r="L60" s="67">
        <f t="shared" ref="L60:L68" si="4">SUM(I60:K60)</f>
        <v>12000000</v>
      </c>
      <c r="M60" s="175"/>
      <c r="N60" s="180"/>
      <c r="O60" s="180"/>
      <c r="P60" s="180"/>
      <c r="Q60" s="178"/>
      <c r="R60" s="181"/>
    </row>
    <row r="61" spans="1:18" s="1" customFormat="1" x14ac:dyDescent="0.4">
      <c r="A61" s="175" t="s">
        <v>543</v>
      </c>
      <c r="B61" s="176">
        <v>45715</v>
      </c>
      <c r="C61" s="175" t="s">
        <v>223</v>
      </c>
      <c r="D61" s="175" t="s">
        <v>429</v>
      </c>
      <c r="E61" s="175">
        <v>61305</v>
      </c>
      <c r="F61" s="175" t="s">
        <v>340</v>
      </c>
      <c r="G61" s="177"/>
      <c r="H61" s="178"/>
      <c r="I61" s="13">
        <v>20000000</v>
      </c>
      <c r="J61" s="179"/>
      <c r="K61" s="179"/>
      <c r="L61" s="67">
        <f t="shared" si="4"/>
        <v>20000000</v>
      </c>
      <c r="M61" s="175"/>
      <c r="N61" s="180"/>
      <c r="O61" s="180"/>
      <c r="P61" s="180"/>
      <c r="Q61" s="178"/>
      <c r="R61" s="181"/>
    </row>
    <row r="62" spans="1:18" s="1" customFormat="1" x14ac:dyDescent="0.4">
      <c r="A62" s="175" t="s">
        <v>543</v>
      </c>
      <c r="B62" s="176">
        <v>45715</v>
      </c>
      <c r="C62" s="175" t="s">
        <v>249</v>
      </c>
      <c r="D62" s="175" t="s">
        <v>506</v>
      </c>
      <c r="E62" s="175">
        <v>4994</v>
      </c>
      <c r="F62" s="175" t="s">
        <v>340</v>
      </c>
      <c r="G62" s="177"/>
      <c r="H62" s="178"/>
      <c r="I62" s="13">
        <v>7200000</v>
      </c>
      <c r="J62" s="179"/>
      <c r="K62" s="179"/>
      <c r="L62" s="67">
        <f t="shared" si="4"/>
        <v>7200000</v>
      </c>
      <c r="M62" s="175"/>
      <c r="N62" s="180"/>
      <c r="O62" s="180"/>
      <c r="P62" s="180"/>
      <c r="Q62" s="178"/>
      <c r="R62" s="181"/>
    </row>
    <row r="63" spans="1:18" s="1" customFormat="1" x14ac:dyDescent="0.4">
      <c r="A63" s="175" t="s">
        <v>559</v>
      </c>
      <c r="B63" s="176">
        <v>45722</v>
      </c>
      <c r="C63" s="175" t="s">
        <v>138</v>
      </c>
      <c r="D63" s="175" t="s">
        <v>52</v>
      </c>
      <c r="E63" s="175">
        <v>4258</v>
      </c>
      <c r="F63" s="175" t="s">
        <v>29</v>
      </c>
      <c r="G63" s="177"/>
      <c r="H63" s="178"/>
      <c r="I63" s="13">
        <v>420000000</v>
      </c>
      <c r="J63" s="179"/>
      <c r="K63" s="179"/>
      <c r="L63" s="67">
        <f t="shared" si="4"/>
        <v>420000000</v>
      </c>
      <c r="M63" s="175"/>
      <c r="N63" s="180"/>
      <c r="O63" s="180"/>
      <c r="P63" s="180"/>
      <c r="Q63" s="178"/>
      <c r="R63" s="181"/>
    </row>
    <row r="64" spans="1:18" s="1" customFormat="1" x14ac:dyDescent="0.4">
      <c r="A64" s="175" t="s">
        <v>559</v>
      </c>
      <c r="B64" s="176">
        <v>45722</v>
      </c>
      <c r="C64" s="175" t="s">
        <v>138</v>
      </c>
      <c r="D64" s="175" t="s">
        <v>52</v>
      </c>
      <c r="E64" s="175">
        <v>4258</v>
      </c>
      <c r="F64" s="175" t="s">
        <v>221</v>
      </c>
      <c r="G64" s="177"/>
      <c r="H64" s="178"/>
      <c r="I64" s="13">
        <v>100000000</v>
      </c>
      <c r="J64" s="179"/>
      <c r="K64" s="179"/>
      <c r="L64" s="67">
        <f t="shared" si="4"/>
        <v>100000000</v>
      </c>
      <c r="M64" s="175"/>
      <c r="N64" s="180"/>
      <c r="O64" s="180"/>
      <c r="P64" s="180"/>
      <c r="Q64" s="178"/>
      <c r="R64" s="181"/>
    </row>
    <row r="65" spans="1:18" s="1" customFormat="1" x14ac:dyDescent="0.4">
      <c r="A65" s="175" t="s">
        <v>559</v>
      </c>
      <c r="B65" s="176">
        <v>45729</v>
      </c>
      <c r="C65" s="175" t="s">
        <v>235</v>
      </c>
      <c r="D65" s="175" t="s">
        <v>523</v>
      </c>
      <c r="E65" s="175">
        <v>7499</v>
      </c>
      <c r="F65" s="175" t="s">
        <v>349</v>
      </c>
      <c r="G65" s="177"/>
      <c r="H65" s="178"/>
      <c r="I65" s="13">
        <v>280000000</v>
      </c>
      <c r="J65" s="179"/>
      <c r="K65" s="179"/>
      <c r="L65" s="67">
        <f t="shared" si="4"/>
        <v>280000000</v>
      </c>
      <c r="M65" s="175"/>
      <c r="N65" s="180"/>
      <c r="O65" s="180"/>
      <c r="P65" s="180"/>
      <c r="Q65" s="178"/>
      <c r="R65" s="181"/>
    </row>
    <row r="66" spans="1:18" s="1" customFormat="1" x14ac:dyDescent="0.4">
      <c r="A66" s="175" t="s">
        <v>559</v>
      </c>
      <c r="B66" s="176">
        <v>45729</v>
      </c>
      <c r="C66" s="175" t="s">
        <v>235</v>
      </c>
      <c r="D66" s="175" t="s">
        <v>566</v>
      </c>
      <c r="E66" s="175">
        <v>61308</v>
      </c>
      <c r="F66" s="175" t="s">
        <v>340</v>
      </c>
      <c r="G66" s="177"/>
      <c r="H66" s="178"/>
      <c r="I66" s="13">
        <v>11500000</v>
      </c>
      <c r="J66" s="179"/>
      <c r="K66" s="179"/>
      <c r="L66" s="67">
        <f t="shared" si="4"/>
        <v>11500000</v>
      </c>
      <c r="M66" s="175"/>
      <c r="N66" s="180"/>
      <c r="O66" s="180"/>
      <c r="P66" s="180"/>
      <c r="Q66" s="178"/>
      <c r="R66" s="181"/>
    </row>
    <row r="67" spans="1:18" s="1" customFormat="1" x14ac:dyDescent="0.4">
      <c r="A67" s="175" t="s">
        <v>559</v>
      </c>
      <c r="B67" s="176">
        <v>45729</v>
      </c>
      <c r="C67" s="175" t="s">
        <v>567</v>
      </c>
      <c r="D67" s="175" t="s">
        <v>568</v>
      </c>
      <c r="E67" s="175">
        <v>8136</v>
      </c>
      <c r="F67" s="175" t="s">
        <v>29</v>
      </c>
      <c r="G67" s="177"/>
      <c r="H67" s="178"/>
      <c r="I67" s="13">
        <v>480000000</v>
      </c>
      <c r="J67" s="179"/>
      <c r="K67" s="179"/>
      <c r="L67" s="67">
        <f t="shared" si="4"/>
        <v>480000000</v>
      </c>
      <c r="M67" s="175"/>
      <c r="N67" s="180"/>
      <c r="O67" s="180"/>
      <c r="P67" s="180"/>
      <c r="Q67" s="178"/>
      <c r="R67" s="181"/>
    </row>
    <row r="68" spans="1:18" s="1" customFormat="1" x14ac:dyDescent="0.4">
      <c r="A68" s="175" t="s">
        <v>559</v>
      </c>
      <c r="B68" s="176">
        <v>45736</v>
      </c>
      <c r="C68" s="175" t="s">
        <v>193</v>
      </c>
      <c r="D68" s="175" t="s">
        <v>575</v>
      </c>
      <c r="E68" s="175">
        <v>16029</v>
      </c>
      <c r="F68" s="175" t="s">
        <v>349</v>
      </c>
      <c r="G68" s="177"/>
      <c r="H68" s="178"/>
      <c r="I68" s="13">
        <v>60000000</v>
      </c>
      <c r="J68" s="179"/>
      <c r="K68" s="179"/>
      <c r="L68" s="67">
        <f t="shared" si="4"/>
        <v>60000000</v>
      </c>
      <c r="M68" s="175"/>
      <c r="N68" s="180"/>
      <c r="O68" s="180"/>
      <c r="P68" s="180"/>
      <c r="Q68" s="178"/>
      <c r="R68" s="181"/>
    </row>
    <row r="69" spans="1:18" s="1" customFormat="1" x14ac:dyDescent="0.4">
      <c r="A69" s="175" t="s">
        <v>559</v>
      </c>
      <c r="B69" s="176">
        <v>45736</v>
      </c>
      <c r="C69" s="175" t="s">
        <v>102</v>
      </c>
      <c r="D69" s="175" t="s">
        <v>106</v>
      </c>
      <c r="E69" s="175">
        <v>29626</v>
      </c>
      <c r="F69" s="175" t="s">
        <v>20</v>
      </c>
      <c r="G69" s="177"/>
      <c r="H69" s="178"/>
      <c r="I69" s="13">
        <v>18000000</v>
      </c>
      <c r="J69" s="179"/>
      <c r="K69" s="179"/>
      <c r="L69" s="67">
        <f t="shared" ref="L69:L80" si="5">SUM(I69:K69)</f>
        <v>18000000</v>
      </c>
      <c r="M69" s="175"/>
      <c r="N69" s="180"/>
      <c r="O69" s="180"/>
      <c r="P69" s="180"/>
      <c r="Q69" s="178"/>
      <c r="R69" s="181"/>
    </row>
    <row r="70" spans="1:18" s="1" customFormat="1" x14ac:dyDescent="0.4">
      <c r="A70" s="175" t="s">
        <v>559</v>
      </c>
      <c r="B70" s="176">
        <v>45736</v>
      </c>
      <c r="C70" s="175" t="s">
        <v>102</v>
      </c>
      <c r="D70" s="175" t="s">
        <v>51</v>
      </c>
      <c r="E70" s="175">
        <v>55916</v>
      </c>
      <c r="F70" s="175" t="s">
        <v>221</v>
      </c>
      <c r="G70" s="177"/>
      <c r="H70" s="178"/>
      <c r="I70" s="13">
        <v>100000000</v>
      </c>
      <c r="J70" s="179"/>
      <c r="K70" s="179"/>
      <c r="L70" s="67">
        <f t="shared" si="5"/>
        <v>100000000</v>
      </c>
      <c r="M70" s="175"/>
      <c r="N70" s="180"/>
      <c r="O70" s="180"/>
      <c r="P70" s="180"/>
      <c r="Q70" s="178"/>
      <c r="R70" s="181"/>
    </row>
    <row r="71" spans="1:18" s="1" customFormat="1" x14ac:dyDescent="0.4">
      <c r="A71" s="175" t="s">
        <v>559</v>
      </c>
      <c r="B71" s="176">
        <v>45736</v>
      </c>
      <c r="C71" s="175" t="s">
        <v>102</v>
      </c>
      <c r="D71" s="175" t="s">
        <v>53</v>
      </c>
      <c r="E71" s="175">
        <v>3778</v>
      </c>
      <c r="F71" s="175" t="s">
        <v>339</v>
      </c>
      <c r="G71" s="177"/>
      <c r="H71" s="178"/>
      <c r="I71" s="13">
        <v>25000000</v>
      </c>
      <c r="J71" s="179"/>
      <c r="K71" s="179"/>
      <c r="L71" s="67">
        <f t="shared" si="5"/>
        <v>25000000</v>
      </c>
      <c r="M71" s="175"/>
      <c r="N71" s="180"/>
      <c r="O71" s="180"/>
      <c r="P71" s="180"/>
      <c r="Q71" s="178"/>
      <c r="R71" s="181"/>
    </row>
    <row r="72" spans="1:18" s="1" customFormat="1" x14ac:dyDescent="0.4">
      <c r="A72" s="175" t="s">
        <v>559</v>
      </c>
      <c r="B72" s="176">
        <v>45736</v>
      </c>
      <c r="C72" s="175" t="s">
        <v>229</v>
      </c>
      <c r="D72" s="175" t="s">
        <v>62</v>
      </c>
      <c r="E72" s="175">
        <v>46251</v>
      </c>
      <c r="F72" s="175" t="s">
        <v>31</v>
      </c>
      <c r="G72" s="177"/>
      <c r="H72" s="178"/>
      <c r="I72" s="13">
        <v>5000</v>
      </c>
      <c r="J72" s="179"/>
      <c r="K72" s="179"/>
      <c r="L72" s="67">
        <f t="shared" si="5"/>
        <v>5000</v>
      </c>
      <c r="M72" s="175"/>
      <c r="N72" s="180"/>
      <c r="O72" s="180"/>
      <c r="P72" s="180"/>
      <c r="Q72" s="178"/>
      <c r="R72" s="181"/>
    </row>
    <row r="73" spans="1:18" s="1" customFormat="1" x14ac:dyDescent="0.4">
      <c r="A73" s="175" t="s">
        <v>559</v>
      </c>
      <c r="B73" s="176">
        <v>45736</v>
      </c>
      <c r="C73" s="175" t="s">
        <v>229</v>
      </c>
      <c r="D73" s="175" t="s">
        <v>68</v>
      </c>
      <c r="E73" s="175">
        <v>9677</v>
      </c>
      <c r="F73" s="175" t="s">
        <v>20</v>
      </c>
      <c r="G73" s="177"/>
      <c r="H73" s="178"/>
      <c r="I73" s="13">
        <v>444000</v>
      </c>
      <c r="J73" s="179"/>
      <c r="K73" s="179"/>
      <c r="L73" s="67">
        <f t="shared" si="5"/>
        <v>444000</v>
      </c>
      <c r="M73" s="175"/>
      <c r="N73" s="180"/>
      <c r="O73" s="180"/>
      <c r="P73" s="180"/>
      <c r="Q73" s="178"/>
      <c r="R73" s="181"/>
    </row>
    <row r="74" spans="1:18" s="1" customFormat="1" x14ac:dyDescent="0.4">
      <c r="A74" s="175" t="s">
        <v>559</v>
      </c>
      <c r="B74" s="176">
        <v>45736</v>
      </c>
      <c r="C74" s="175" t="s">
        <v>235</v>
      </c>
      <c r="D74" s="175" t="s">
        <v>449</v>
      </c>
      <c r="E74" s="175">
        <v>45658</v>
      </c>
      <c r="F74" s="175" t="s">
        <v>340</v>
      </c>
      <c r="G74" s="177"/>
      <c r="H74" s="178"/>
      <c r="I74" s="13">
        <v>40000000</v>
      </c>
      <c r="J74" s="179"/>
      <c r="K74" s="179"/>
      <c r="L74" s="67">
        <f t="shared" si="5"/>
        <v>40000000</v>
      </c>
      <c r="M74" s="175"/>
      <c r="N74" s="180"/>
      <c r="O74" s="180"/>
      <c r="P74" s="180"/>
      <c r="Q74" s="178"/>
      <c r="R74" s="181"/>
    </row>
    <row r="75" spans="1:18" s="1" customFormat="1" x14ac:dyDescent="0.4">
      <c r="A75" s="175" t="s">
        <v>559</v>
      </c>
      <c r="B75" s="176">
        <v>45736</v>
      </c>
      <c r="C75" s="175" t="s">
        <v>249</v>
      </c>
      <c r="D75" s="175" t="s">
        <v>261</v>
      </c>
      <c r="E75" s="175">
        <v>3872</v>
      </c>
      <c r="F75" s="175" t="s">
        <v>31</v>
      </c>
      <c r="G75" s="177"/>
      <c r="H75" s="178"/>
      <c r="I75" s="13">
        <v>12000000</v>
      </c>
      <c r="J75" s="179"/>
      <c r="K75" s="179"/>
      <c r="L75" s="67">
        <f t="shared" si="5"/>
        <v>12000000</v>
      </c>
      <c r="M75" s="175"/>
      <c r="N75" s="180"/>
      <c r="O75" s="180"/>
      <c r="P75" s="180"/>
      <c r="Q75" s="178"/>
      <c r="R75" s="181"/>
    </row>
    <row r="76" spans="1:18" s="1" customFormat="1" x14ac:dyDescent="0.4">
      <c r="A76" s="175" t="s">
        <v>559</v>
      </c>
      <c r="B76" s="176">
        <v>45736</v>
      </c>
      <c r="C76" s="175" t="s">
        <v>223</v>
      </c>
      <c r="D76" s="175" t="s">
        <v>228</v>
      </c>
      <c r="E76" s="175">
        <v>9563</v>
      </c>
      <c r="F76" s="175" t="s">
        <v>31</v>
      </c>
      <c r="G76" s="177"/>
      <c r="H76" s="178"/>
      <c r="I76" s="13">
        <v>40000000</v>
      </c>
      <c r="J76" s="179"/>
      <c r="K76" s="179"/>
      <c r="L76" s="67">
        <f t="shared" si="5"/>
        <v>40000000</v>
      </c>
      <c r="M76" s="175"/>
      <c r="N76" s="180"/>
      <c r="O76" s="180"/>
      <c r="P76" s="180"/>
      <c r="Q76" s="178"/>
      <c r="R76" s="181"/>
    </row>
    <row r="77" spans="1:18" s="1" customFormat="1" x14ac:dyDescent="0.4">
      <c r="A77" s="175" t="s">
        <v>559</v>
      </c>
      <c r="B77" s="176">
        <v>45736</v>
      </c>
      <c r="C77" s="175" t="s">
        <v>223</v>
      </c>
      <c r="D77" s="175" t="s">
        <v>228</v>
      </c>
      <c r="E77" s="175">
        <v>9563</v>
      </c>
      <c r="F77" s="175" t="s">
        <v>347</v>
      </c>
      <c r="G77" s="177"/>
      <c r="H77" s="178"/>
      <c r="I77" s="13">
        <v>80000000</v>
      </c>
      <c r="J77" s="179"/>
      <c r="K77" s="179"/>
      <c r="L77" s="67">
        <f t="shared" si="5"/>
        <v>80000000</v>
      </c>
      <c r="M77" s="175"/>
      <c r="N77" s="180"/>
      <c r="O77" s="180"/>
      <c r="P77" s="180"/>
      <c r="Q77" s="178"/>
      <c r="R77" s="181"/>
    </row>
    <row r="78" spans="1:18" s="1" customFormat="1" x14ac:dyDescent="0.4">
      <c r="A78" s="175" t="s">
        <v>559</v>
      </c>
      <c r="B78" s="176">
        <v>45743</v>
      </c>
      <c r="C78" s="175" t="s">
        <v>223</v>
      </c>
      <c r="D78" s="175" t="s">
        <v>510</v>
      </c>
      <c r="E78" s="175"/>
      <c r="F78" s="177" t="s">
        <v>338</v>
      </c>
      <c r="G78" s="177"/>
      <c r="H78" s="178"/>
      <c r="I78" s="13">
        <v>20000000</v>
      </c>
      <c r="J78" s="179"/>
      <c r="K78" s="179"/>
      <c r="L78" s="67">
        <f t="shared" si="5"/>
        <v>20000000</v>
      </c>
      <c r="M78" s="175"/>
      <c r="N78" s="180"/>
      <c r="O78" s="180"/>
      <c r="P78" s="180"/>
      <c r="Q78" s="178"/>
      <c r="R78" s="181"/>
    </row>
    <row r="79" spans="1:18" s="1" customFormat="1" x14ac:dyDescent="0.4">
      <c r="A79" s="175" t="s">
        <v>559</v>
      </c>
      <c r="B79" s="176">
        <v>45743</v>
      </c>
      <c r="C79" s="175" t="s">
        <v>229</v>
      </c>
      <c r="D79" s="175" t="s">
        <v>515</v>
      </c>
      <c r="E79" s="175">
        <v>5630</v>
      </c>
      <c r="F79" s="175" t="s">
        <v>20</v>
      </c>
      <c r="G79" s="177"/>
      <c r="H79" s="178"/>
      <c r="I79" s="13">
        <v>13300000</v>
      </c>
      <c r="J79" s="179"/>
      <c r="K79" s="179"/>
      <c r="L79" s="67">
        <f t="shared" si="5"/>
        <v>13300000</v>
      </c>
      <c r="M79" s="175"/>
      <c r="N79" s="180"/>
      <c r="O79" s="180"/>
      <c r="P79" s="180"/>
      <c r="Q79" s="178"/>
      <c r="R79" s="181"/>
    </row>
    <row r="80" spans="1:18" s="1" customFormat="1" x14ac:dyDescent="0.4">
      <c r="A80" s="175" t="s">
        <v>559</v>
      </c>
      <c r="B80" s="176">
        <v>45743</v>
      </c>
      <c r="C80" s="175" t="s">
        <v>229</v>
      </c>
      <c r="D80" s="175" t="s">
        <v>589</v>
      </c>
      <c r="E80" s="175">
        <v>60766</v>
      </c>
      <c r="F80" s="175" t="s">
        <v>31</v>
      </c>
      <c r="G80" s="177"/>
      <c r="H80" s="178"/>
      <c r="I80" s="13">
        <v>1600000</v>
      </c>
      <c r="J80" s="179"/>
      <c r="K80" s="179"/>
      <c r="L80" s="67">
        <f t="shared" si="5"/>
        <v>1600000</v>
      </c>
      <c r="M80" s="175"/>
      <c r="N80" s="180"/>
      <c r="O80" s="180"/>
      <c r="P80" s="180"/>
      <c r="Q80" s="178"/>
      <c r="R80" s="181"/>
    </row>
    <row r="81" spans="1:18" s="1" customFormat="1" x14ac:dyDescent="0.4">
      <c r="A81" s="175" t="s">
        <v>559</v>
      </c>
      <c r="B81" s="176">
        <v>45743</v>
      </c>
      <c r="C81" s="175" t="s">
        <v>138</v>
      </c>
      <c r="D81" s="175" t="s">
        <v>149</v>
      </c>
      <c r="E81" s="175">
        <v>9077</v>
      </c>
      <c r="F81" s="175" t="s">
        <v>349</v>
      </c>
      <c r="G81" s="177"/>
      <c r="H81" s="178"/>
      <c r="I81" s="13">
        <v>2400000</v>
      </c>
      <c r="J81" s="179"/>
      <c r="K81" s="179"/>
      <c r="L81" s="67">
        <f t="shared" ref="L81:L91" si="6">SUM(I81:K81)</f>
        <v>2400000</v>
      </c>
      <c r="M81" s="175"/>
      <c r="N81" s="180"/>
      <c r="O81" s="180"/>
      <c r="P81" s="180"/>
      <c r="Q81" s="178"/>
      <c r="R81" s="181"/>
    </row>
    <row r="82" spans="1:18" s="1" customFormat="1" x14ac:dyDescent="0.4">
      <c r="A82" s="175" t="s">
        <v>559</v>
      </c>
      <c r="B82" s="176">
        <v>45743</v>
      </c>
      <c r="C82" s="175" t="s">
        <v>235</v>
      </c>
      <c r="D82" s="175" t="s">
        <v>566</v>
      </c>
      <c r="E82" s="175">
        <v>61308</v>
      </c>
      <c r="F82" s="175" t="s">
        <v>29</v>
      </c>
      <c r="G82" s="177"/>
      <c r="H82" s="178"/>
      <c r="I82" s="13">
        <v>8000000</v>
      </c>
      <c r="J82" s="179"/>
      <c r="K82" s="179"/>
      <c r="L82" s="67">
        <f t="shared" si="6"/>
        <v>8000000</v>
      </c>
      <c r="M82" s="175"/>
      <c r="N82" s="180"/>
      <c r="O82" s="180"/>
      <c r="P82" s="180"/>
      <c r="Q82" s="178"/>
      <c r="R82" s="181"/>
    </row>
    <row r="83" spans="1:18" s="1" customFormat="1" x14ac:dyDescent="0.4">
      <c r="A83" s="175" t="s">
        <v>559</v>
      </c>
      <c r="B83" s="176">
        <v>45743</v>
      </c>
      <c r="C83" s="175" t="s">
        <v>235</v>
      </c>
      <c r="D83" s="175" t="s">
        <v>239</v>
      </c>
      <c r="E83" s="175">
        <v>42175</v>
      </c>
      <c r="F83" s="175" t="s">
        <v>340</v>
      </c>
      <c r="G83" s="177"/>
      <c r="H83" s="178"/>
      <c r="I83" s="13">
        <v>50000000</v>
      </c>
      <c r="J83" s="179"/>
      <c r="K83" s="179"/>
      <c r="L83" s="67">
        <f t="shared" si="6"/>
        <v>50000000</v>
      </c>
      <c r="M83" s="175"/>
      <c r="N83" s="180"/>
      <c r="O83" s="180"/>
      <c r="P83" s="180"/>
      <c r="Q83" s="178"/>
      <c r="R83" s="181"/>
    </row>
    <row r="84" spans="1:18" s="1" customFormat="1" x14ac:dyDescent="0.4">
      <c r="A84" s="175" t="s">
        <v>559</v>
      </c>
      <c r="B84" s="176">
        <v>45743</v>
      </c>
      <c r="C84" s="175" t="s">
        <v>223</v>
      </c>
      <c r="D84" s="175" t="s">
        <v>592</v>
      </c>
      <c r="E84" s="175">
        <v>61326</v>
      </c>
      <c r="F84" s="175" t="s">
        <v>20</v>
      </c>
      <c r="G84" s="177"/>
      <c r="H84" s="178"/>
      <c r="I84" s="13">
        <v>12000000</v>
      </c>
      <c r="J84" s="179"/>
      <c r="K84" s="179"/>
      <c r="L84" s="67">
        <f t="shared" si="6"/>
        <v>12000000</v>
      </c>
      <c r="M84" s="175"/>
      <c r="N84" s="180"/>
      <c r="O84" s="180"/>
      <c r="P84" s="180"/>
      <c r="Q84" s="178"/>
      <c r="R84" s="181"/>
    </row>
    <row r="85" spans="1:18" s="1" customFormat="1" x14ac:dyDescent="0.4">
      <c r="A85" s="175" t="s">
        <v>593</v>
      </c>
      <c r="B85" s="176">
        <v>45750</v>
      </c>
      <c r="C85" s="175" t="s">
        <v>276</v>
      </c>
      <c r="D85" s="175" t="s">
        <v>59</v>
      </c>
      <c r="E85" s="175">
        <v>1621</v>
      </c>
      <c r="F85" s="175" t="s">
        <v>340</v>
      </c>
      <c r="G85" s="177"/>
      <c r="H85" s="178"/>
      <c r="I85" s="13">
        <v>76000000</v>
      </c>
      <c r="J85" s="179"/>
      <c r="K85" s="179"/>
      <c r="L85" s="67">
        <f t="shared" si="6"/>
        <v>76000000</v>
      </c>
      <c r="M85" s="175"/>
      <c r="N85" s="180"/>
      <c r="O85" s="180"/>
      <c r="P85" s="180"/>
      <c r="Q85" s="178"/>
      <c r="R85" s="181"/>
    </row>
    <row r="86" spans="1:18" s="1" customFormat="1" x14ac:dyDescent="0.4">
      <c r="A86" s="175" t="s">
        <v>593</v>
      </c>
      <c r="B86" s="176">
        <v>45750</v>
      </c>
      <c r="C86" s="175" t="s">
        <v>276</v>
      </c>
      <c r="D86" s="175" t="s">
        <v>322</v>
      </c>
      <c r="E86" s="175">
        <v>52537</v>
      </c>
      <c r="F86" s="175" t="s">
        <v>340</v>
      </c>
      <c r="G86" s="177"/>
      <c r="H86" s="178"/>
      <c r="I86" s="13">
        <v>26000000</v>
      </c>
      <c r="J86" s="179"/>
      <c r="K86" s="179"/>
      <c r="L86" s="67">
        <f t="shared" si="6"/>
        <v>26000000</v>
      </c>
      <c r="M86" s="175"/>
      <c r="N86" s="180"/>
      <c r="O86" s="180"/>
      <c r="P86" s="180"/>
      <c r="Q86" s="178"/>
      <c r="R86" s="181"/>
    </row>
    <row r="87" spans="1:18" s="1" customFormat="1" x14ac:dyDescent="0.4">
      <c r="A87" s="175" t="s">
        <v>593</v>
      </c>
      <c r="B87" s="176">
        <v>45750</v>
      </c>
      <c r="C87" s="175" t="s">
        <v>138</v>
      </c>
      <c r="D87" s="175" t="s">
        <v>323</v>
      </c>
      <c r="E87" s="175">
        <v>21794</v>
      </c>
      <c r="F87" s="175" t="s">
        <v>563</v>
      </c>
      <c r="G87" s="177"/>
      <c r="H87" s="178"/>
      <c r="I87" s="13">
        <v>6300000</v>
      </c>
      <c r="J87" s="179"/>
      <c r="K87" s="179"/>
      <c r="L87" s="67">
        <f t="shared" si="6"/>
        <v>6300000</v>
      </c>
      <c r="M87" s="175"/>
      <c r="N87" s="180"/>
      <c r="O87" s="180"/>
      <c r="P87" s="180"/>
      <c r="Q87" s="178"/>
      <c r="R87" s="181"/>
    </row>
    <row r="88" spans="1:18" s="1" customFormat="1" x14ac:dyDescent="0.4">
      <c r="A88" s="175" t="s">
        <v>593</v>
      </c>
      <c r="B88" s="176">
        <v>45750</v>
      </c>
      <c r="C88" s="175" t="s">
        <v>196</v>
      </c>
      <c r="D88" s="175" t="s">
        <v>96</v>
      </c>
      <c r="E88" s="175">
        <v>47574</v>
      </c>
      <c r="F88" s="175" t="s">
        <v>340</v>
      </c>
      <c r="G88" s="177"/>
      <c r="H88" s="178"/>
      <c r="I88" s="13">
        <v>11000000</v>
      </c>
      <c r="J88" s="179"/>
      <c r="K88" s="179"/>
      <c r="L88" s="67">
        <f t="shared" si="6"/>
        <v>11000000</v>
      </c>
      <c r="M88" s="175"/>
      <c r="N88" s="180"/>
      <c r="O88" s="180"/>
      <c r="P88" s="180"/>
      <c r="Q88" s="178"/>
      <c r="R88" s="181"/>
    </row>
    <row r="89" spans="1:18" s="1" customFormat="1" x14ac:dyDescent="0.4">
      <c r="A89" s="175" t="s">
        <v>593</v>
      </c>
      <c r="B89" s="176">
        <v>45750</v>
      </c>
      <c r="C89" s="175" t="s">
        <v>196</v>
      </c>
      <c r="D89" s="175" t="s">
        <v>514</v>
      </c>
      <c r="E89" s="175">
        <v>56012</v>
      </c>
      <c r="F89" s="175" t="s">
        <v>340</v>
      </c>
      <c r="G89" s="177"/>
      <c r="H89" s="178"/>
      <c r="I89" s="13">
        <v>3500000</v>
      </c>
      <c r="J89" s="179"/>
      <c r="K89" s="179"/>
      <c r="L89" s="67">
        <f t="shared" si="6"/>
        <v>3500000</v>
      </c>
      <c r="M89" s="175"/>
      <c r="N89" s="180"/>
      <c r="O89" s="180"/>
      <c r="P89" s="180"/>
      <c r="Q89" s="178"/>
      <c r="R89" s="181"/>
    </row>
    <row r="90" spans="1:18" s="1" customFormat="1" x14ac:dyDescent="0.4">
      <c r="A90" s="175" t="s">
        <v>593</v>
      </c>
      <c r="B90" s="176">
        <v>45750</v>
      </c>
      <c r="C90" s="175" t="s">
        <v>196</v>
      </c>
      <c r="D90" s="175" t="s">
        <v>514</v>
      </c>
      <c r="E90" s="175">
        <v>56012</v>
      </c>
      <c r="F90" s="175" t="s">
        <v>563</v>
      </c>
      <c r="G90" s="177"/>
      <c r="H90" s="178"/>
      <c r="I90" s="13">
        <v>18000000</v>
      </c>
      <c r="J90" s="179"/>
      <c r="K90" s="179"/>
      <c r="L90" s="67">
        <f t="shared" si="6"/>
        <v>18000000</v>
      </c>
      <c r="M90" s="175"/>
      <c r="N90" s="180"/>
      <c r="O90" s="180"/>
      <c r="P90" s="180"/>
      <c r="Q90" s="178"/>
      <c r="R90" s="181"/>
    </row>
    <row r="91" spans="1:18" s="1" customFormat="1" x14ac:dyDescent="0.4">
      <c r="A91" s="175" t="s">
        <v>593</v>
      </c>
      <c r="B91" s="176">
        <v>45750</v>
      </c>
      <c r="C91" s="175" t="s">
        <v>235</v>
      </c>
      <c r="D91" s="175" t="s">
        <v>75</v>
      </c>
      <c r="E91" s="175">
        <v>57120</v>
      </c>
      <c r="F91" s="175" t="s">
        <v>341</v>
      </c>
      <c r="G91" s="177"/>
      <c r="H91" s="178"/>
      <c r="I91" s="13">
        <v>25000000</v>
      </c>
      <c r="J91" s="179"/>
      <c r="K91" s="179"/>
      <c r="L91" s="67">
        <f t="shared" si="6"/>
        <v>25000000</v>
      </c>
      <c r="M91" s="175"/>
      <c r="N91" s="180"/>
      <c r="O91" s="180"/>
      <c r="P91" s="180"/>
      <c r="Q91" s="178"/>
      <c r="R91" s="181"/>
    </row>
    <row r="92" spans="1:18" s="1" customFormat="1" x14ac:dyDescent="0.4">
      <c r="A92" s="175" t="s">
        <v>593</v>
      </c>
      <c r="B92" s="176">
        <v>45750</v>
      </c>
      <c r="C92" s="175" t="s">
        <v>235</v>
      </c>
      <c r="D92" s="175" t="s">
        <v>243</v>
      </c>
      <c r="E92" s="175">
        <v>24279</v>
      </c>
      <c r="F92" s="175" t="s">
        <v>31</v>
      </c>
      <c r="G92" s="177"/>
      <c r="H92" s="178"/>
      <c r="I92" s="13">
        <v>3500000</v>
      </c>
      <c r="J92" s="179"/>
      <c r="K92" s="179"/>
      <c r="L92" s="67">
        <f t="shared" ref="L92:L100" si="7">SUM(I92:K92)</f>
        <v>3500000</v>
      </c>
      <c r="M92" s="175"/>
      <c r="N92" s="180"/>
      <c r="O92" s="180"/>
      <c r="P92" s="180"/>
      <c r="Q92" s="178"/>
      <c r="R92" s="181"/>
    </row>
    <row r="93" spans="1:18" s="1" customFormat="1" x14ac:dyDescent="0.4">
      <c r="A93" s="175" t="s">
        <v>593</v>
      </c>
      <c r="B93" s="176">
        <v>45757</v>
      </c>
      <c r="C93" s="175" t="s">
        <v>249</v>
      </c>
      <c r="D93" s="175" t="s">
        <v>591</v>
      </c>
      <c r="E93" s="175">
        <v>4994</v>
      </c>
      <c r="F93" s="175" t="s">
        <v>563</v>
      </c>
      <c r="G93" s="177"/>
      <c r="H93" s="178"/>
      <c r="I93" s="13">
        <v>10000000</v>
      </c>
      <c r="J93" s="179"/>
      <c r="K93" s="179"/>
      <c r="L93" s="67">
        <f t="shared" si="7"/>
        <v>10000000</v>
      </c>
      <c r="M93" s="175"/>
      <c r="N93" s="180"/>
      <c r="O93" s="180"/>
      <c r="P93" s="180"/>
      <c r="Q93" s="178"/>
      <c r="R93" s="181"/>
    </row>
    <row r="94" spans="1:18" s="1" customFormat="1" x14ac:dyDescent="0.4">
      <c r="A94" s="175" t="s">
        <v>593</v>
      </c>
      <c r="B94" s="176">
        <v>45757</v>
      </c>
      <c r="C94" s="175" t="s">
        <v>249</v>
      </c>
      <c r="D94" s="175" t="s">
        <v>590</v>
      </c>
      <c r="E94" s="175">
        <v>60014</v>
      </c>
      <c r="F94" s="175" t="s">
        <v>563</v>
      </c>
      <c r="G94" s="177"/>
      <c r="H94" s="178"/>
      <c r="I94" s="13">
        <v>15000000</v>
      </c>
      <c r="J94" s="179"/>
      <c r="K94" s="179"/>
      <c r="L94" s="67">
        <f t="shared" si="7"/>
        <v>15000000</v>
      </c>
      <c r="M94" s="175"/>
      <c r="N94" s="180"/>
      <c r="O94" s="180"/>
      <c r="P94" s="180"/>
      <c r="Q94" s="178"/>
      <c r="R94" s="181"/>
    </row>
    <row r="95" spans="1:18" s="1" customFormat="1" x14ac:dyDescent="0.4">
      <c r="A95" s="175" t="s">
        <v>593</v>
      </c>
      <c r="B95" s="176">
        <v>45757</v>
      </c>
      <c r="C95" s="175" t="s">
        <v>249</v>
      </c>
      <c r="D95" s="175" t="s">
        <v>260</v>
      </c>
      <c r="E95" s="175">
        <v>45607</v>
      </c>
      <c r="F95" s="175" t="s">
        <v>221</v>
      </c>
      <c r="G95" s="177"/>
      <c r="H95" s="178"/>
      <c r="I95" s="13">
        <v>20000000</v>
      </c>
      <c r="J95" s="179"/>
      <c r="K95" s="179"/>
      <c r="L95" s="67">
        <f t="shared" si="7"/>
        <v>20000000</v>
      </c>
      <c r="M95" s="175"/>
      <c r="N95" s="180"/>
      <c r="O95" s="180"/>
      <c r="P95" s="180"/>
      <c r="Q95" s="178"/>
      <c r="R95" s="181"/>
    </row>
    <row r="96" spans="1:18" s="1" customFormat="1" x14ac:dyDescent="0.4">
      <c r="A96" s="175" t="s">
        <v>593</v>
      </c>
      <c r="B96" s="176">
        <v>45757</v>
      </c>
      <c r="C96" s="175" t="s">
        <v>196</v>
      </c>
      <c r="D96" s="175" t="s">
        <v>73</v>
      </c>
      <c r="E96" s="175">
        <v>1908</v>
      </c>
      <c r="F96" s="175" t="s">
        <v>340</v>
      </c>
      <c r="G96" s="177"/>
      <c r="H96" s="178"/>
      <c r="I96" s="13">
        <v>8000000</v>
      </c>
      <c r="J96" s="179"/>
      <c r="K96" s="179"/>
      <c r="L96" s="67">
        <f t="shared" si="7"/>
        <v>8000000</v>
      </c>
      <c r="M96" s="175"/>
      <c r="N96" s="180"/>
      <c r="O96" s="180"/>
      <c r="P96" s="180"/>
      <c r="Q96" s="178"/>
      <c r="R96" s="181"/>
    </row>
    <row r="97" spans="1:18" s="1" customFormat="1" x14ac:dyDescent="0.4">
      <c r="A97" s="175" t="s">
        <v>593</v>
      </c>
      <c r="B97" s="176">
        <v>45757</v>
      </c>
      <c r="C97" s="175" t="s">
        <v>196</v>
      </c>
      <c r="D97" s="175" t="s">
        <v>73</v>
      </c>
      <c r="E97" s="175">
        <v>1908</v>
      </c>
      <c r="F97" s="175" t="s">
        <v>221</v>
      </c>
      <c r="G97" s="177"/>
      <c r="H97" s="178"/>
      <c r="I97" s="13">
        <v>5000000</v>
      </c>
      <c r="J97" s="179"/>
      <c r="K97" s="179"/>
      <c r="L97" s="67">
        <f t="shared" si="7"/>
        <v>5000000</v>
      </c>
      <c r="M97" s="175"/>
      <c r="N97" s="180"/>
      <c r="O97" s="180"/>
      <c r="P97" s="180"/>
      <c r="Q97" s="178"/>
      <c r="R97" s="181"/>
    </row>
    <row r="98" spans="1:18" s="1" customFormat="1" x14ac:dyDescent="0.4">
      <c r="A98" s="175" t="s">
        <v>593</v>
      </c>
      <c r="B98" s="176">
        <v>45757</v>
      </c>
      <c r="C98" s="175" t="s">
        <v>223</v>
      </c>
      <c r="D98" s="175" t="s">
        <v>599</v>
      </c>
      <c r="E98" s="175">
        <v>61310</v>
      </c>
      <c r="F98" s="175" t="s">
        <v>20</v>
      </c>
      <c r="G98" s="177"/>
      <c r="H98" s="178"/>
      <c r="I98" s="13">
        <v>10000000</v>
      </c>
      <c r="J98" s="179"/>
      <c r="K98" s="179"/>
      <c r="L98" s="67">
        <f t="shared" si="7"/>
        <v>10000000</v>
      </c>
      <c r="M98" s="175"/>
      <c r="N98" s="180"/>
      <c r="O98" s="180"/>
      <c r="P98" s="180"/>
      <c r="Q98" s="178"/>
      <c r="R98" s="181"/>
    </row>
    <row r="99" spans="1:18" s="1" customFormat="1" x14ac:dyDescent="0.4">
      <c r="A99" s="175" t="s">
        <v>593</v>
      </c>
      <c r="B99" s="176">
        <v>45757</v>
      </c>
      <c r="C99" s="175" t="s">
        <v>184</v>
      </c>
      <c r="D99" s="175" t="s">
        <v>187</v>
      </c>
      <c r="E99" s="175">
        <v>59149</v>
      </c>
      <c r="F99" s="175" t="s">
        <v>221</v>
      </c>
      <c r="G99" s="177"/>
      <c r="H99" s="178"/>
      <c r="I99" s="13">
        <v>20000000</v>
      </c>
      <c r="J99" s="179"/>
      <c r="K99" s="179"/>
      <c r="L99" s="67">
        <f t="shared" si="7"/>
        <v>20000000</v>
      </c>
      <c r="M99" s="175"/>
      <c r="N99" s="180"/>
      <c r="O99" s="180"/>
      <c r="P99" s="180"/>
      <c r="Q99" s="178"/>
      <c r="R99" s="181"/>
    </row>
    <row r="100" spans="1:18" s="1" customFormat="1" x14ac:dyDescent="0.4">
      <c r="A100" s="175" t="s">
        <v>593</v>
      </c>
      <c r="B100" s="176">
        <v>45757</v>
      </c>
      <c r="C100" s="175" t="s">
        <v>184</v>
      </c>
      <c r="D100" s="175" t="s">
        <v>533</v>
      </c>
      <c r="E100" s="175">
        <v>3561</v>
      </c>
      <c r="F100" s="175" t="s">
        <v>29</v>
      </c>
      <c r="G100" s="177"/>
      <c r="H100" s="178"/>
      <c r="I100" s="13">
        <v>200000000</v>
      </c>
      <c r="J100" s="179"/>
      <c r="K100" s="179"/>
      <c r="L100" s="67">
        <f t="shared" si="7"/>
        <v>200000000</v>
      </c>
      <c r="M100" s="175"/>
      <c r="N100" s="180"/>
      <c r="O100" s="180"/>
      <c r="P100" s="180"/>
      <c r="Q100" s="178"/>
      <c r="R100" s="181"/>
    </row>
    <row r="101" spans="1:18" s="1" customFormat="1" x14ac:dyDescent="0.4">
      <c r="A101" s="175" t="s">
        <v>593</v>
      </c>
      <c r="B101" s="176">
        <v>45757</v>
      </c>
      <c r="C101" s="175" t="s">
        <v>196</v>
      </c>
      <c r="D101" s="175" t="s">
        <v>208</v>
      </c>
      <c r="E101" s="175">
        <v>46263</v>
      </c>
      <c r="F101" s="175" t="s">
        <v>349</v>
      </c>
      <c r="G101" s="177"/>
      <c r="H101" s="178"/>
      <c r="I101" s="13">
        <v>4280000</v>
      </c>
      <c r="J101" s="179"/>
      <c r="K101" s="179"/>
      <c r="L101" s="67">
        <f t="shared" ref="L101:L113" si="8">SUM(I101:K101)</f>
        <v>4280000</v>
      </c>
      <c r="M101" s="175"/>
      <c r="N101" s="180"/>
      <c r="O101" s="180"/>
      <c r="P101" s="180"/>
      <c r="Q101" s="178"/>
      <c r="R101" s="181"/>
    </row>
    <row r="102" spans="1:18" s="1" customFormat="1" x14ac:dyDescent="0.4">
      <c r="A102" s="175" t="s">
        <v>593</v>
      </c>
      <c r="B102" s="176">
        <v>45757</v>
      </c>
      <c r="C102" s="175" t="s">
        <v>102</v>
      </c>
      <c r="D102" s="175" t="s">
        <v>114</v>
      </c>
      <c r="E102" s="175">
        <v>41551</v>
      </c>
      <c r="F102" s="175" t="s">
        <v>29</v>
      </c>
      <c r="G102" s="177"/>
      <c r="H102" s="178"/>
      <c r="I102" s="13">
        <v>200000000</v>
      </c>
      <c r="J102" s="179"/>
      <c r="K102" s="179"/>
      <c r="L102" s="67">
        <f t="shared" si="8"/>
        <v>200000000</v>
      </c>
      <c r="M102" s="175"/>
      <c r="N102" s="180"/>
      <c r="O102" s="180"/>
      <c r="P102" s="180"/>
      <c r="Q102" s="178"/>
      <c r="R102" s="181"/>
    </row>
    <row r="103" spans="1:18" s="1" customFormat="1" x14ac:dyDescent="0.4">
      <c r="A103" s="175" t="s">
        <v>593</v>
      </c>
      <c r="B103" s="176">
        <v>45764</v>
      </c>
      <c r="C103" s="175" t="s">
        <v>229</v>
      </c>
      <c r="D103" s="175" t="s">
        <v>64</v>
      </c>
      <c r="E103" s="175">
        <v>20096</v>
      </c>
      <c r="F103" s="175" t="s">
        <v>31</v>
      </c>
      <c r="G103" s="177"/>
      <c r="H103" s="178"/>
      <c r="I103" s="13">
        <v>2080000</v>
      </c>
      <c r="J103" s="179"/>
      <c r="K103" s="179"/>
      <c r="L103" s="67">
        <f t="shared" si="8"/>
        <v>2080000</v>
      </c>
      <c r="M103" s="175"/>
      <c r="N103" s="180"/>
      <c r="O103" s="180"/>
      <c r="P103" s="180"/>
      <c r="Q103" s="178"/>
      <c r="R103" s="181"/>
    </row>
    <row r="104" spans="1:18" s="1" customFormat="1" x14ac:dyDescent="0.4">
      <c r="A104" s="175" t="s">
        <v>593</v>
      </c>
      <c r="B104" s="176">
        <v>45764</v>
      </c>
      <c r="C104" s="175" t="s">
        <v>229</v>
      </c>
      <c r="D104" s="175" t="s">
        <v>66</v>
      </c>
      <c r="E104" s="175">
        <v>30404</v>
      </c>
      <c r="F104" s="175" t="s">
        <v>20</v>
      </c>
      <c r="G104" s="177"/>
      <c r="H104" s="178"/>
      <c r="I104" s="13">
        <v>5074000</v>
      </c>
      <c r="J104" s="179"/>
      <c r="K104" s="179"/>
      <c r="L104" s="67">
        <f t="shared" si="8"/>
        <v>5074000</v>
      </c>
      <c r="M104" s="175"/>
      <c r="N104" s="180"/>
      <c r="O104" s="180"/>
      <c r="P104" s="180"/>
      <c r="Q104" s="178"/>
      <c r="R104" s="181"/>
    </row>
    <row r="105" spans="1:18" s="1" customFormat="1" x14ac:dyDescent="0.4">
      <c r="A105" s="175" t="s">
        <v>593</v>
      </c>
      <c r="B105" s="176">
        <v>45764</v>
      </c>
      <c r="C105" s="175" t="s">
        <v>102</v>
      </c>
      <c r="D105" s="175" t="s">
        <v>178</v>
      </c>
      <c r="E105" s="175">
        <v>24981</v>
      </c>
      <c r="F105" s="175" t="s">
        <v>31</v>
      </c>
      <c r="G105" s="177"/>
      <c r="H105" s="178"/>
      <c r="I105" s="13">
        <v>1087500</v>
      </c>
      <c r="J105" s="179"/>
      <c r="K105" s="179"/>
      <c r="L105" s="67">
        <f t="shared" si="8"/>
        <v>1087500</v>
      </c>
      <c r="M105" s="175"/>
      <c r="N105" s="180"/>
      <c r="O105" s="180"/>
      <c r="P105" s="180"/>
      <c r="Q105" s="178"/>
      <c r="R105" s="181"/>
    </row>
    <row r="106" spans="1:18" s="1" customFormat="1" x14ac:dyDescent="0.4">
      <c r="A106" s="175" t="s">
        <v>593</v>
      </c>
      <c r="B106" s="176">
        <v>45764</v>
      </c>
      <c r="C106" s="175" t="s">
        <v>102</v>
      </c>
      <c r="D106" s="175" t="s">
        <v>179</v>
      </c>
      <c r="E106" s="175">
        <v>52070</v>
      </c>
      <c r="F106" s="175" t="s">
        <v>31</v>
      </c>
      <c r="G106" s="177"/>
      <c r="H106" s="178"/>
      <c r="I106" s="13">
        <v>1628000</v>
      </c>
      <c r="J106" s="179"/>
      <c r="K106" s="179"/>
      <c r="L106" s="67">
        <f t="shared" si="8"/>
        <v>1628000</v>
      </c>
      <c r="M106" s="175"/>
      <c r="N106" s="180"/>
      <c r="O106" s="180"/>
      <c r="P106" s="180"/>
      <c r="Q106" s="178"/>
      <c r="R106" s="181"/>
    </row>
    <row r="107" spans="1:18" s="1" customFormat="1" x14ac:dyDescent="0.4">
      <c r="A107" s="175" t="s">
        <v>593</v>
      </c>
      <c r="B107" s="176">
        <v>45764</v>
      </c>
      <c r="C107" s="175" t="s">
        <v>276</v>
      </c>
      <c r="D107" s="175" t="s">
        <v>164</v>
      </c>
      <c r="E107" s="175">
        <v>40123</v>
      </c>
      <c r="F107" s="175" t="s">
        <v>221</v>
      </c>
      <c r="G107" s="177"/>
      <c r="H107" s="178"/>
      <c r="I107" s="13">
        <v>33000000</v>
      </c>
      <c r="J107" s="179"/>
      <c r="K107" s="179"/>
      <c r="L107" s="67">
        <f t="shared" si="8"/>
        <v>33000000</v>
      </c>
      <c r="M107" s="175"/>
      <c r="N107" s="180"/>
      <c r="O107" s="180"/>
      <c r="P107" s="180"/>
      <c r="Q107" s="178"/>
      <c r="R107" s="181"/>
    </row>
    <row r="108" spans="1:18" s="1" customFormat="1" x14ac:dyDescent="0.4">
      <c r="A108" s="175" t="s">
        <v>593</v>
      </c>
      <c r="B108" s="176">
        <v>45764</v>
      </c>
      <c r="C108" s="175" t="s">
        <v>276</v>
      </c>
      <c r="D108" s="175" t="s">
        <v>124</v>
      </c>
      <c r="E108" s="175">
        <v>21107</v>
      </c>
      <c r="F108" s="175" t="s">
        <v>20</v>
      </c>
      <c r="G108" s="177"/>
      <c r="H108" s="178"/>
      <c r="I108" s="13">
        <v>4618000</v>
      </c>
      <c r="J108" s="179"/>
      <c r="K108" s="179"/>
      <c r="L108" s="67">
        <f t="shared" si="8"/>
        <v>4618000</v>
      </c>
      <c r="M108" s="175"/>
      <c r="N108" s="180"/>
      <c r="O108" s="180"/>
      <c r="P108" s="180"/>
      <c r="Q108" s="178"/>
      <c r="R108" s="181"/>
    </row>
    <row r="109" spans="1:18" s="1" customFormat="1" x14ac:dyDescent="0.4">
      <c r="A109" s="175" t="s">
        <v>593</v>
      </c>
      <c r="B109" s="176">
        <v>45764</v>
      </c>
      <c r="C109" s="175" t="s">
        <v>196</v>
      </c>
      <c r="D109" s="175" t="s">
        <v>326</v>
      </c>
      <c r="E109" s="175">
        <v>59148</v>
      </c>
      <c r="F109" s="175" t="s">
        <v>221</v>
      </c>
      <c r="G109" s="177"/>
      <c r="H109" s="178"/>
      <c r="I109" s="13">
        <v>7700000</v>
      </c>
      <c r="J109" s="179"/>
      <c r="K109" s="179"/>
      <c r="L109" s="67">
        <f t="shared" si="8"/>
        <v>7700000</v>
      </c>
      <c r="M109" s="175"/>
      <c r="N109" s="180"/>
      <c r="O109" s="180"/>
      <c r="P109" s="180"/>
      <c r="Q109" s="178"/>
      <c r="R109" s="181"/>
    </row>
    <row r="110" spans="1:18" s="1" customFormat="1" x14ac:dyDescent="0.4">
      <c r="A110" s="175" t="s">
        <v>593</v>
      </c>
      <c r="B110" s="176">
        <v>45764</v>
      </c>
      <c r="C110" s="175" t="s">
        <v>196</v>
      </c>
      <c r="D110" s="175" t="s">
        <v>177</v>
      </c>
      <c r="E110" s="175">
        <v>8144</v>
      </c>
      <c r="F110" s="175" t="s">
        <v>31</v>
      </c>
      <c r="G110" s="177"/>
      <c r="H110" s="178"/>
      <c r="I110" s="13">
        <v>1367500</v>
      </c>
      <c r="J110" s="179"/>
      <c r="K110" s="179"/>
      <c r="L110" s="67">
        <f t="shared" si="8"/>
        <v>1367500</v>
      </c>
      <c r="M110" s="175"/>
      <c r="N110" s="180"/>
      <c r="O110" s="180"/>
      <c r="P110" s="180"/>
      <c r="Q110" s="178"/>
      <c r="R110" s="181"/>
    </row>
    <row r="111" spans="1:18" s="1" customFormat="1" x14ac:dyDescent="0.4">
      <c r="A111" s="175" t="s">
        <v>593</v>
      </c>
      <c r="B111" s="176">
        <v>45764</v>
      </c>
      <c r="C111" s="175" t="s">
        <v>229</v>
      </c>
      <c r="D111" s="175" t="s">
        <v>598</v>
      </c>
      <c r="E111" s="175">
        <v>44089</v>
      </c>
      <c r="F111" s="175" t="s">
        <v>340</v>
      </c>
      <c r="G111" s="177"/>
      <c r="H111" s="178"/>
      <c r="I111" s="13">
        <v>260000000</v>
      </c>
      <c r="J111" s="179"/>
      <c r="K111" s="179"/>
      <c r="L111" s="67">
        <f t="shared" si="8"/>
        <v>260000000</v>
      </c>
      <c r="M111" s="175"/>
      <c r="N111" s="180"/>
      <c r="O111" s="180"/>
      <c r="P111" s="180"/>
      <c r="Q111" s="178"/>
      <c r="R111" s="181"/>
    </row>
    <row r="112" spans="1:18" s="208" customFormat="1" x14ac:dyDescent="0.4">
      <c r="A112" s="175" t="s">
        <v>593</v>
      </c>
      <c r="B112" s="176">
        <v>45771</v>
      </c>
      <c r="C112" s="175" t="s">
        <v>184</v>
      </c>
      <c r="D112" s="175" t="s">
        <v>326</v>
      </c>
      <c r="E112" s="175">
        <v>59148</v>
      </c>
      <c r="F112" s="175" t="s">
        <v>221</v>
      </c>
      <c r="G112" s="177"/>
      <c r="H112" s="178"/>
      <c r="I112" s="13">
        <v>20000000</v>
      </c>
      <c r="J112" s="179"/>
      <c r="K112" s="179"/>
      <c r="L112" s="67">
        <f t="shared" si="8"/>
        <v>20000000</v>
      </c>
      <c r="M112" s="175"/>
      <c r="N112" s="180"/>
      <c r="O112" s="180"/>
      <c r="P112" s="180"/>
      <c r="Q112" s="178"/>
      <c r="R112" s="181"/>
    </row>
    <row r="113" spans="1:18" s="208" customFormat="1" x14ac:dyDescent="0.4">
      <c r="A113" s="175" t="s">
        <v>593</v>
      </c>
      <c r="B113" s="176">
        <v>45771</v>
      </c>
      <c r="C113" s="175" t="s">
        <v>193</v>
      </c>
      <c r="D113" s="175" t="s">
        <v>488</v>
      </c>
      <c r="E113" s="175">
        <v>26317</v>
      </c>
      <c r="F113" s="175" t="s">
        <v>20</v>
      </c>
      <c r="G113" s="177"/>
      <c r="H113" s="178"/>
      <c r="I113" s="13">
        <v>120000000</v>
      </c>
      <c r="J113" s="179"/>
      <c r="K113" s="179"/>
      <c r="L113" s="67">
        <f t="shared" si="8"/>
        <v>120000000</v>
      </c>
      <c r="M113" s="175"/>
      <c r="N113" s="180"/>
      <c r="O113" s="180"/>
      <c r="P113" s="180"/>
      <c r="Q113" s="178"/>
      <c r="R113" s="181"/>
    </row>
    <row r="114" spans="1:18" s="208" customFormat="1" x14ac:dyDescent="0.4">
      <c r="A114" s="175" t="s">
        <v>593</v>
      </c>
      <c r="B114" s="176">
        <v>45771</v>
      </c>
      <c r="C114" s="175" t="s">
        <v>138</v>
      </c>
      <c r="D114" s="175" t="s">
        <v>149</v>
      </c>
      <c r="E114" s="175">
        <v>9077</v>
      </c>
      <c r="F114" s="175" t="s">
        <v>29</v>
      </c>
      <c r="G114" s="177"/>
      <c r="H114" s="178"/>
      <c r="I114" s="13">
        <v>52863860</v>
      </c>
      <c r="J114" s="179"/>
      <c r="K114" s="179"/>
      <c r="L114" s="67">
        <f t="shared" ref="L114:L147" si="9">SUM(I114:K114)</f>
        <v>52863860</v>
      </c>
      <c r="M114" s="175"/>
      <c r="N114" s="180"/>
      <c r="O114" s="180"/>
      <c r="P114" s="180"/>
      <c r="Q114" s="178"/>
      <c r="R114" s="181"/>
    </row>
    <row r="115" spans="1:18" s="208" customFormat="1" x14ac:dyDescent="0.4">
      <c r="A115" s="175" t="s">
        <v>593</v>
      </c>
      <c r="B115" s="176">
        <v>45771</v>
      </c>
      <c r="C115" s="175" t="s">
        <v>102</v>
      </c>
      <c r="D115" s="175" t="s">
        <v>114</v>
      </c>
      <c r="E115" s="175">
        <v>41551</v>
      </c>
      <c r="F115" s="175" t="s">
        <v>29</v>
      </c>
      <c r="G115" s="177"/>
      <c r="H115" s="178"/>
      <c r="I115" s="13">
        <v>40500000</v>
      </c>
      <c r="J115" s="179"/>
      <c r="K115" s="179"/>
      <c r="L115" s="67">
        <f t="shared" si="9"/>
        <v>40500000</v>
      </c>
      <c r="M115" s="175"/>
      <c r="N115" s="180"/>
      <c r="O115" s="180"/>
      <c r="P115" s="180"/>
      <c r="Q115" s="178"/>
      <c r="R115" s="181"/>
    </row>
    <row r="116" spans="1:18" s="208" customFormat="1" x14ac:dyDescent="0.4">
      <c r="A116" s="175" t="s">
        <v>593</v>
      </c>
      <c r="B116" s="176">
        <v>45771</v>
      </c>
      <c r="C116" s="175" t="s">
        <v>102</v>
      </c>
      <c r="D116" s="175" t="s">
        <v>464</v>
      </c>
      <c r="E116" s="175">
        <v>14896</v>
      </c>
      <c r="F116" s="175" t="s">
        <v>349</v>
      </c>
      <c r="G116" s="177"/>
      <c r="H116" s="178"/>
      <c r="I116" s="13">
        <v>6600000</v>
      </c>
      <c r="J116" s="179"/>
      <c r="K116" s="179"/>
      <c r="L116" s="67">
        <f t="shared" si="9"/>
        <v>6600000</v>
      </c>
      <c r="M116" s="175"/>
      <c r="N116" s="180"/>
      <c r="O116" s="180"/>
      <c r="P116" s="180"/>
      <c r="Q116" s="178"/>
      <c r="R116" s="181"/>
    </row>
    <row r="117" spans="1:18" s="208" customFormat="1" x14ac:dyDescent="0.4">
      <c r="A117" s="175" t="s">
        <v>593</v>
      </c>
      <c r="B117" s="176">
        <v>45771</v>
      </c>
      <c r="C117" s="175" t="s">
        <v>235</v>
      </c>
      <c r="D117" s="175" t="s">
        <v>449</v>
      </c>
      <c r="E117" s="175">
        <v>45658</v>
      </c>
      <c r="F117" s="175" t="s">
        <v>221</v>
      </c>
      <c r="G117" s="177"/>
      <c r="H117" s="178"/>
      <c r="I117" s="13">
        <v>11000000</v>
      </c>
      <c r="J117" s="179"/>
      <c r="K117" s="179"/>
      <c r="L117" s="67">
        <f t="shared" si="9"/>
        <v>11000000</v>
      </c>
      <c r="M117" s="175"/>
      <c r="N117" s="180"/>
      <c r="O117" s="180"/>
      <c r="P117" s="180"/>
      <c r="Q117" s="178"/>
      <c r="R117" s="181"/>
    </row>
    <row r="118" spans="1:18" s="208" customFormat="1" x14ac:dyDescent="0.4">
      <c r="A118" s="175" t="s">
        <v>593</v>
      </c>
      <c r="B118" s="176">
        <v>45771</v>
      </c>
      <c r="C118" s="175" t="s">
        <v>184</v>
      </c>
      <c r="D118" s="175" t="s">
        <v>497</v>
      </c>
      <c r="E118" s="175">
        <v>3765</v>
      </c>
      <c r="F118" s="175" t="s">
        <v>340</v>
      </c>
      <c r="G118" s="177"/>
      <c r="H118" s="178"/>
      <c r="I118" s="13">
        <v>120000000</v>
      </c>
      <c r="J118" s="179"/>
      <c r="K118" s="179"/>
      <c r="L118" s="67">
        <f t="shared" si="9"/>
        <v>120000000</v>
      </c>
      <c r="M118" s="175"/>
      <c r="N118" s="180"/>
      <c r="O118" s="180"/>
      <c r="P118" s="180"/>
      <c r="Q118" s="178"/>
      <c r="R118" s="181"/>
    </row>
    <row r="119" spans="1:18" s="208" customFormat="1" x14ac:dyDescent="0.4">
      <c r="A119" s="175" t="s">
        <v>593</v>
      </c>
      <c r="B119" s="176">
        <v>45771</v>
      </c>
      <c r="C119" s="175" t="s">
        <v>276</v>
      </c>
      <c r="D119" s="175" t="s">
        <v>611</v>
      </c>
      <c r="E119" s="175">
        <v>22246</v>
      </c>
      <c r="F119" s="175" t="s">
        <v>340</v>
      </c>
      <c r="G119" s="177"/>
      <c r="H119" s="178"/>
      <c r="I119" s="13">
        <v>200000000</v>
      </c>
      <c r="J119" s="179"/>
      <c r="K119" s="179"/>
      <c r="L119" s="67">
        <f t="shared" si="9"/>
        <v>200000000</v>
      </c>
      <c r="M119" s="175"/>
      <c r="N119" s="180"/>
      <c r="O119" s="180"/>
      <c r="P119" s="180"/>
      <c r="Q119" s="178"/>
      <c r="R119" s="181"/>
    </row>
    <row r="120" spans="1:18" s="208" customFormat="1" x14ac:dyDescent="0.4">
      <c r="A120" s="175" t="s">
        <v>610</v>
      </c>
      <c r="B120" s="176">
        <v>45778</v>
      </c>
      <c r="C120" s="175" t="s">
        <v>229</v>
      </c>
      <c r="D120" s="175" t="s">
        <v>612</v>
      </c>
      <c r="E120" s="175">
        <v>63549</v>
      </c>
      <c r="F120" s="175" t="s">
        <v>563</v>
      </c>
      <c r="G120" s="177"/>
      <c r="H120" s="178"/>
      <c r="I120" s="13">
        <v>3500000</v>
      </c>
      <c r="J120" s="179"/>
      <c r="K120" s="179"/>
      <c r="L120" s="67">
        <f t="shared" si="9"/>
        <v>3500000</v>
      </c>
      <c r="M120" s="175"/>
      <c r="N120" s="180"/>
      <c r="O120" s="180"/>
      <c r="P120" s="180"/>
      <c r="Q120" s="178"/>
      <c r="R120" s="181"/>
    </row>
    <row r="121" spans="1:18" s="208" customFormat="1" x14ac:dyDescent="0.4">
      <c r="A121" s="175" t="s">
        <v>610</v>
      </c>
      <c r="B121" s="176">
        <v>45778</v>
      </c>
      <c r="C121" s="175" t="s">
        <v>249</v>
      </c>
      <c r="D121" s="175" t="s">
        <v>255</v>
      </c>
      <c r="E121" s="175" t="s">
        <v>609</v>
      </c>
      <c r="F121" s="175" t="s">
        <v>20</v>
      </c>
      <c r="G121" s="177"/>
      <c r="H121" s="178"/>
      <c r="I121" s="13">
        <v>8000000</v>
      </c>
      <c r="J121" s="179"/>
      <c r="K121" s="179"/>
      <c r="L121" s="67">
        <f t="shared" si="9"/>
        <v>8000000</v>
      </c>
      <c r="M121" s="175"/>
      <c r="N121" s="180"/>
      <c r="O121" s="180"/>
      <c r="P121" s="180"/>
      <c r="Q121" s="178"/>
      <c r="R121" s="181"/>
    </row>
    <row r="122" spans="1:18" s="208" customFormat="1" x14ac:dyDescent="0.4">
      <c r="A122" s="175" t="s">
        <v>610</v>
      </c>
      <c r="B122" s="176">
        <v>45778</v>
      </c>
      <c r="C122" s="175" t="s">
        <v>196</v>
      </c>
      <c r="D122" s="175" t="s">
        <v>486</v>
      </c>
      <c r="E122" s="175">
        <v>24426</v>
      </c>
      <c r="F122" s="175" t="s">
        <v>340</v>
      </c>
      <c r="G122" s="177"/>
      <c r="H122" s="178"/>
      <c r="I122" s="13">
        <v>4000000</v>
      </c>
      <c r="J122" s="179"/>
      <c r="K122" s="179"/>
      <c r="L122" s="67">
        <f t="shared" si="9"/>
        <v>4000000</v>
      </c>
      <c r="M122" s="175"/>
      <c r="N122" s="180"/>
      <c r="O122" s="180"/>
      <c r="P122" s="180"/>
      <c r="Q122" s="178"/>
      <c r="R122" s="181"/>
    </row>
    <row r="123" spans="1:18" s="208" customFormat="1" x14ac:dyDescent="0.4">
      <c r="A123" s="175" t="s">
        <v>610</v>
      </c>
      <c r="B123" s="176">
        <v>45778</v>
      </c>
      <c r="C123" s="175" t="s">
        <v>196</v>
      </c>
      <c r="D123" s="175" t="s">
        <v>458</v>
      </c>
      <c r="E123" s="175">
        <v>12817</v>
      </c>
      <c r="F123" s="175" t="s">
        <v>20</v>
      </c>
      <c r="G123" s="177"/>
      <c r="H123" s="178"/>
      <c r="I123" s="13">
        <v>20000000</v>
      </c>
      <c r="J123" s="179"/>
      <c r="K123" s="179"/>
      <c r="L123" s="67">
        <f t="shared" si="9"/>
        <v>20000000</v>
      </c>
      <c r="M123" s="175"/>
      <c r="N123" s="180"/>
      <c r="O123" s="180"/>
      <c r="P123" s="180"/>
      <c r="Q123" s="178"/>
      <c r="R123" s="181"/>
    </row>
    <row r="124" spans="1:18" s="208" customFormat="1" x14ac:dyDescent="0.4">
      <c r="A124" s="175" t="s">
        <v>610</v>
      </c>
      <c r="B124" s="176">
        <v>45778</v>
      </c>
      <c r="C124" s="175" t="s">
        <v>196</v>
      </c>
      <c r="D124" s="175" t="s">
        <v>458</v>
      </c>
      <c r="E124" s="175">
        <v>12817</v>
      </c>
      <c r="F124" s="175" t="s">
        <v>340</v>
      </c>
      <c r="G124" s="177"/>
      <c r="H124" s="178"/>
      <c r="I124" s="13">
        <v>20000000</v>
      </c>
      <c r="J124" s="179"/>
      <c r="K124" s="179"/>
      <c r="L124" s="67">
        <f t="shared" si="9"/>
        <v>20000000</v>
      </c>
      <c r="M124" s="175"/>
      <c r="N124" s="180"/>
      <c r="O124" s="180"/>
      <c r="P124" s="180"/>
      <c r="Q124" s="178"/>
      <c r="R124" s="181"/>
    </row>
    <row r="125" spans="1:18" s="208" customFormat="1" x14ac:dyDescent="0.4">
      <c r="A125" s="175" t="s">
        <v>610</v>
      </c>
      <c r="B125" s="176">
        <v>45778</v>
      </c>
      <c r="C125" s="175" t="s">
        <v>235</v>
      </c>
      <c r="D125" s="175" t="s">
        <v>81</v>
      </c>
      <c r="E125" s="175">
        <v>10276</v>
      </c>
      <c r="F125" s="175" t="s">
        <v>340</v>
      </c>
      <c r="G125" s="177"/>
      <c r="H125" s="178"/>
      <c r="I125" s="13">
        <v>8000000</v>
      </c>
      <c r="J125" s="179"/>
      <c r="K125" s="179"/>
      <c r="L125" s="67">
        <f t="shared" si="9"/>
        <v>8000000</v>
      </c>
      <c r="M125" s="175"/>
      <c r="N125" s="180"/>
      <c r="O125" s="180"/>
      <c r="P125" s="180"/>
      <c r="Q125" s="178"/>
      <c r="R125" s="181"/>
    </row>
    <row r="126" spans="1:18" s="208" customFormat="1" x14ac:dyDescent="0.4">
      <c r="A126" s="175" t="s">
        <v>610</v>
      </c>
      <c r="B126" s="176">
        <v>45785</v>
      </c>
      <c r="C126" s="175" t="s">
        <v>276</v>
      </c>
      <c r="D126" s="175" t="s">
        <v>322</v>
      </c>
      <c r="E126" s="175">
        <v>52537</v>
      </c>
      <c r="F126" s="175" t="s">
        <v>340</v>
      </c>
      <c r="G126" s="177"/>
      <c r="H126" s="178"/>
      <c r="I126" s="13">
        <v>100000000</v>
      </c>
      <c r="J126" s="179"/>
      <c r="K126" s="179"/>
      <c r="L126" s="67">
        <f t="shared" si="9"/>
        <v>100000000</v>
      </c>
      <c r="M126" s="175"/>
      <c r="N126" s="180"/>
      <c r="O126" s="180"/>
      <c r="P126" s="180"/>
      <c r="Q126" s="178"/>
      <c r="R126" s="181"/>
    </row>
    <row r="127" spans="1:18" s="208" customFormat="1" x14ac:dyDescent="0.4">
      <c r="A127" s="175" t="s">
        <v>610</v>
      </c>
      <c r="B127" s="176">
        <v>45792</v>
      </c>
      <c r="C127" s="175" t="s">
        <v>184</v>
      </c>
      <c r="D127" s="175" t="s">
        <v>533</v>
      </c>
      <c r="E127" s="175">
        <v>3561</v>
      </c>
      <c r="F127" s="175" t="s">
        <v>349</v>
      </c>
      <c r="G127" s="177"/>
      <c r="H127" s="178"/>
      <c r="I127" s="13">
        <v>4400000</v>
      </c>
      <c r="J127" s="179"/>
      <c r="K127" s="179"/>
      <c r="L127" s="67">
        <f t="shared" si="9"/>
        <v>4400000</v>
      </c>
      <c r="M127" s="175"/>
      <c r="N127" s="180"/>
      <c r="O127" s="180"/>
      <c r="P127" s="180"/>
      <c r="Q127" s="178"/>
      <c r="R127" s="181"/>
    </row>
    <row r="128" spans="1:18" s="208" customFormat="1" x14ac:dyDescent="0.4">
      <c r="A128" s="175" t="s">
        <v>610</v>
      </c>
      <c r="B128" s="176">
        <v>45792</v>
      </c>
      <c r="C128" s="175" t="s">
        <v>193</v>
      </c>
      <c r="D128" s="175" t="s">
        <v>74</v>
      </c>
      <c r="E128" s="175">
        <v>7997</v>
      </c>
      <c r="F128" s="175" t="s">
        <v>341</v>
      </c>
      <c r="G128" s="177"/>
      <c r="H128" s="178"/>
      <c r="I128" s="13">
        <v>4400000</v>
      </c>
      <c r="J128" s="179"/>
      <c r="K128" s="179"/>
      <c r="L128" s="67">
        <f t="shared" si="9"/>
        <v>4400000</v>
      </c>
      <c r="M128" s="175"/>
      <c r="N128" s="180"/>
      <c r="O128" s="180"/>
      <c r="P128" s="180"/>
      <c r="Q128" s="178"/>
      <c r="R128" s="181"/>
    </row>
    <row r="129" spans="1:18" s="208" customFormat="1" x14ac:dyDescent="0.4">
      <c r="A129" s="175" t="s">
        <v>610</v>
      </c>
      <c r="B129" s="176">
        <v>45792</v>
      </c>
      <c r="C129" s="175" t="s">
        <v>235</v>
      </c>
      <c r="D129" s="175" t="s">
        <v>240</v>
      </c>
      <c r="E129" s="175">
        <v>3098</v>
      </c>
      <c r="F129" s="175" t="s">
        <v>340</v>
      </c>
      <c r="G129" s="177"/>
      <c r="H129" s="178"/>
      <c r="I129" s="13">
        <v>24000000</v>
      </c>
      <c r="J129" s="179"/>
      <c r="K129" s="179"/>
      <c r="L129" s="67">
        <f t="shared" si="9"/>
        <v>24000000</v>
      </c>
      <c r="M129" s="175"/>
      <c r="N129" s="180"/>
      <c r="O129" s="180"/>
      <c r="P129" s="180"/>
      <c r="Q129" s="178"/>
      <c r="R129" s="181"/>
    </row>
    <row r="130" spans="1:18" s="208" customFormat="1" x14ac:dyDescent="0.4">
      <c r="A130" s="175" t="s">
        <v>610</v>
      </c>
      <c r="B130" s="176">
        <v>45792</v>
      </c>
      <c r="C130" s="175" t="s">
        <v>196</v>
      </c>
      <c r="D130" s="175" t="s">
        <v>83</v>
      </c>
      <c r="E130" s="175">
        <v>10496</v>
      </c>
      <c r="F130" s="175" t="s">
        <v>340</v>
      </c>
      <c r="G130" s="177"/>
      <c r="H130" s="178"/>
      <c r="I130" s="13">
        <v>110000000</v>
      </c>
      <c r="J130" s="179"/>
      <c r="K130" s="179"/>
      <c r="L130" s="67">
        <f t="shared" si="9"/>
        <v>110000000</v>
      </c>
      <c r="M130" s="175"/>
      <c r="N130" s="180"/>
      <c r="O130" s="180"/>
      <c r="P130" s="180"/>
      <c r="Q130" s="178"/>
      <c r="R130" s="181"/>
    </row>
    <row r="131" spans="1:18" s="208" customFormat="1" x14ac:dyDescent="0.4">
      <c r="A131" s="175" t="s">
        <v>610</v>
      </c>
      <c r="B131" s="176">
        <v>45799</v>
      </c>
      <c r="C131" s="175" t="s">
        <v>249</v>
      </c>
      <c r="D131" s="175" t="s">
        <v>175</v>
      </c>
      <c r="E131" s="175">
        <v>54639</v>
      </c>
      <c r="F131" s="175" t="s">
        <v>31</v>
      </c>
      <c r="G131" s="177"/>
      <c r="H131" s="178"/>
      <c r="I131" s="13">
        <v>4000000</v>
      </c>
      <c r="J131" s="179"/>
      <c r="K131" s="179"/>
      <c r="L131" s="67">
        <f t="shared" si="9"/>
        <v>4000000</v>
      </c>
      <c r="M131" s="175"/>
      <c r="N131" s="180"/>
      <c r="O131" s="180"/>
      <c r="P131" s="180"/>
      <c r="Q131" s="178"/>
      <c r="R131" s="181"/>
    </row>
    <row r="132" spans="1:18" s="208" customFormat="1" x14ac:dyDescent="0.4">
      <c r="A132" s="175" t="s">
        <v>610</v>
      </c>
      <c r="B132" s="176">
        <v>45799</v>
      </c>
      <c r="C132" s="175" t="s">
        <v>229</v>
      </c>
      <c r="D132" s="175" t="s">
        <v>234</v>
      </c>
      <c r="E132" s="175">
        <v>3828</v>
      </c>
      <c r="F132" s="175" t="s">
        <v>29</v>
      </c>
      <c r="G132" s="177"/>
      <c r="H132" s="178"/>
      <c r="I132" s="13">
        <v>130000000</v>
      </c>
      <c r="J132" s="179"/>
      <c r="K132" s="179"/>
      <c r="L132" s="67">
        <f t="shared" si="9"/>
        <v>130000000</v>
      </c>
      <c r="M132" s="175"/>
      <c r="N132" s="180"/>
      <c r="O132" s="180"/>
      <c r="P132" s="180"/>
      <c r="Q132" s="178"/>
      <c r="R132" s="181"/>
    </row>
    <row r="133" spans="1:18" s="208" customFormat="1" x14ac:dyDescent="0.4">
      <c r="A133" s="175" t="s">
        <v>610</v>
      </c>
      <c r="B133" s="176">
        <v>45799</v>
      </c>
      <c r="C133" s="175" t="s">
        <v>102</v>
      </c>
      <c r="D133" s="175" t="s">
        <v>620</v>
      </c>
      <c r="E133" s="175">
        <v>3188</v>
      </c>
      <c r="F133" s="175" t="s">
        <v>349</v>
      </c>
      <c r="G133" s="177"/>
      <c r="H133" s="178"/>
      <c r="I133" s="13">
        <v>4360000</v>
      </c>
      <c r="J133" s="179"/>
      <c r="K133" s="179"/>
      <c r="L133" s="67">
        <f t="shared" si="9"/>
        <v>4360000</v>
      </c>
      <c r="M133" s="175"/>
      <c r="N133" s="180"/>
      <c r="O133" s="180"/>
      <c r="P133" s="180"/>
      <c r="Q133" s="178"/>
      <c r="R133" s="181"/>
    </row>
    <row r="134" spans="1:18" s="208" customFormat="1" x14ac:dyDescent="0.4">
      <c r="A134" s="175" t="s">
        <v>610</v>
      </c>
      <c r="B134" s="176">
        <v>45799</v>
      </c>
      <c r="C134" s="175" t="s">
        <v>102</v>
      </c>
      <c r="D134" s="175" t="s">
        <v>621</v>
      </c>
      <c r="E134" s="175">
        <v>58118</v>
      </c>
      <c r="F134" s="175" t="s">
        <v>349</v>
      </c>
      <c r="G134" s="177"/>
      <c r="H134" s="178"/>
      <c r="I134" s="13">
        <v>2800000</v>
      </c>
      <c r="J134" s="179"/>
      <c r="K134" s="179"/>
      <c r="L134" s="67">
        <f t="shared" si="9"/>
        <v>2800000</v>
      </c>
      <c r="M134" s="175"/>
      <c r="N134" s="180"/>
      <c r="O134" s="180"/>
      <c r="P134" s="180"/>
      <c r="Q134" s="178"/>
      <c r="R134" s="181"/>
    </row>
    <row r="135" spans="1:18" s="208" customFormat="1" x14ac:dyDescent="0.4">
      <c r="A135" s="175" t="s">
        <v>610</v>
      </c>
      <c r="B135" s="176">
        <v>45806</v>
      </c>
      <c r="C135" s="175" t="s">
        <v>184</v>
      </c>
      <c r="D135" s="175" t="s">
        <v>187</v>
      </c>
      <c r="E135" s="175">
        <v>59149</v>
      </c>
      <c r="F135" s="175" t="s">
        <v>342</v>
      </c>
      <c r="G135" s="177"/>
      <c r="H135" s="178"/>
      <c r="I135" s="13">
        <v>1000000</v>
      </c>
      <c r="J135" s="179"/>
      <c r="K135" s="179"/>
      <c r="L135" s="67">
        <f t="shared" si="9"/>
        <v>1000000</v>
      </c>
      <c r="M135" s="175"/>
      <c r="N135" s="180"/>
      <c r="O135" s="180"/>
      <c r="P135" s="180"/>
      <c r="Q135" s="178"/>
      <c r="R135" s="181"/>
    </row>
    <row r="136" spans="1:18" s="208" customFormat="1" x14ac:dyDescent="0.4">
      <c r="A136" s="175" t="s">
        <v>610</v>
      </c>
      <c r="B136" s="176">
        <v>45806</v>
      </c>
      <c r="C136" s="175" t="s">
        <v>184</v>
      </c>
      <c r="D136" s="175" t="s">
        <v>457</v>
      </c>
      <c r="E136" s="175">
        <v>12091</v>
      </c>
      <c r="F136" s="175" t="s">
        <v>349</v>
      </c>
      <c r="G136" s="177"/>
      <c r="H136" s="178"/>
      <c r="I136" s="13">
        <v>3000000</v>
      </c>
      <c r="J136" s="179"/>
      <c r="K136" s="179"/>
      <c r="L136" s="67">
        <f t="shared" si="9"/>
        <v>3000000</v>
      </c>
      <c r="M136" s="175"/>
      <c r="N136" s="180"/>
      <c r="O136" s="180"/>
      <c r="P136" s="180"/>
      <c r="Q136" s="178"/>
      <c r="R136" s="181"/>
    </row>
    <row r="137" spans="1:18" s="208" customFormat="1" x14ac:dyDescent="0.4">
      <c r="A137" s="175" t="s">
        <v>610</v>
      </c>
      <c r="B137" s="176">
        <v>45806</v>
      </c>
      <c r="C137" s="175" t="s">
        <v>102</v>
      </c>
      <c r="D137" s="175" t="s">
        <v>116</v>
      </c>
      <c r="E137" s="175">
        <v>26277</v>
      </c>
      <c r="F137" s="175" t="s">
        <v>340</v>
      </c>
      <c r="G137" s="177"/>
      <c r="H137" s="178"/>
      <c r="I137" s="13">
        <v>40000000</v>
      </c>
      <c r="J137" s="179"/>
      <c r="K137" s="179"/>
      <c r="L137" s="67">
        <f t="shared" si="9"/>
        <v>40000000</v>
      </c>
      <c r="M137" s="175"/>
      <c r="N137" s="180"/>
      <c r="O137" s="180"/>
      <c r="P137" s="180"/>
      <c r="Q137" s="178"/>
      <c r="R137" s="181"/>
    </row>
    <row r="138" spans="1:18" s="208" customFormat="1" x14ac:dyDescent="0.4">
      <c r="A138" s="175" t="s">
        <v>610</v>
      </c>
      <c r="B138" s="176">
        <v>45806</v>
      </c>
      <c r="C138" s="175" t="s">
        <v>276</v>
      </c>
      <c r="D138" s="175" t="s">
        <v>623</v>
      </c>
      <c r="E138" s="175">
        <v>22246</v>
      </c>
      <c r="F138" s="175" t="s">
        <v>349</v>
      </c>
      <c r="G138" s="177"/>
      <c r="H138" s="178"/>
      <c r="I138" s="13">
        <v>16500000</v>
      </c>
      <c r="J138" s="179"/>
      <c r="K138" s="179"/>
      <c r="L138" s="67">
        <f t="shared" si="9"/>
        <v>16500000</v>
      </c>
      <c r="M138" s="175"/>
      <c r="N138" s="180"/>
      <c r="O138" s="180"/>
      <c r="P138" s="180"/>
      <c r="Q138" s="178"/>
      <c r="R138" s="181"/>
    </row>
    <row r="139" spans="1:18" s="208" customFormat="1" x14ac:dyDescent="0.4">
      <c r="A139" s="175" t="s">
        <v>634</v>
      </c>
      <c r="B139" s="176">
        <v>45813</v>
      </c>
      <c r="C139" s="175" t="s">
        <v>276</v>
      </c>
      <c r="D139" s="175" t="s">
        <v>624</v>
      </c>
      <c r="E139" s="175">
        <v>61302</v>
      </c>
      <c r="F139" s="175" t="s">
        <v>221</v>
      </c>
      <c r="G139" s="177"/>
      <c r="H139" s="178"/>
      <c r="I139" s="13">
        <v>16909091</v>
      </c>
      <c r="J139" s="179"/>
      <c r="K139" s="179"/>
      <c r="L139" s="67">
        <f t="shared" si="9"/>
        <v>16909091</v>
      </c>
      <c r="M139" s="175"/>
      <c r="N139" s="180"/>
      <c r="O139" s="180"/>
      <c r="P139" s="180"/>
      <c r="Q139" s="178"/>
      <c r="R139" s="181"/>
    </row>
    <row r="140" spans="1:18" s="208" customFormat="1" x14ac:dyDescent="0.4">
      <c r="A140" s="175" t="s">
        <v>634</v>
      </c>
      <c r="B140" s="176">
        <v>45813</v>
      </c>
      <c r="C140" s="175" t="s">
        <v>276</v>
      </c>
      <c r="D140" s="175" t="s">
        <v>625</v>
      </c>
      <c r="E140" s="175">
        <v>3734</v>
      </c>
      <c r="F140" s="175" t="s">
        <v>349</v>
      </c>
      <c r="G140" s="177"/>
      <c r="H140" s="178"/>
      <c r="I140" s="13">
        <v>40000000</v>
      </c>
      <c r="J140" s="179"/>
      <c r="K140" s="179"/>
      <c r="L140" s="67">
        <f t="shared" si="9"/>
        <v>40000000</v>
      </c>
      <c r="M140" s="175"/>
      <c r="N140" s="180"/>
      <c r="O140" s="180"/>
      <c r="P140" s="180"/>
      <c r="Q140" s="178"/>
      <c r="R140" s="181"/>
    </row>
    <row r="141" spans="1:18" s="208" customFormat="1" x14ac:dyDescent="0.4">
      <c r="A141" s="175" t="s">
        <v>634</v>
      </c>
      <c r="B141" s="176">
        <v>45813</v>
      </c>
      <c r="C141" s="175" t="s">
        <v>249</v>
      </c>
      <c r="D141" s="175" t="s">
        <v>121</v>
      </c>
      <c r="E141" s="175">
        <v>9618</v>
      </c>
      <c r="F141" s="175" t="s">
        <v>340</v>
      </c>
      <c r="G141" s="177"/>
      <c r="H141" s="178"/>
      <c r="I141" s="13">
        <v>220000000</v>
      </c>
      <c r="J141" s="179"/>
      <c r="K141" s="179"/>
      <c r="L141" s="67">
        <f t="shared" si="9"/>
        <v>220000000</v>
      </c>
      <c r="M141" s="175"/>
      <c r="N141" s="180"/>
      <c r="O141" s="180"/>
      <c r="P141" s="180"/>
      <c r="Q141" s="178"/>
      <c r="R141" s="181"/>
    </row>
    <row r="142" spans="1:18" s="208" customFormat="1" x14ac:dyDescent="0.4">
      <c r="A142" s="175" t="s">
        <v>634</v>
      </c>
      <c r="B142" s="176">
        <v>45820</v>
      </c>
      <c r="C142" s="175" t="s">
        <v>102</v>
      </c>
      <c r="D142" s="175" t="s">
        <v>176</v>
      </c>
      <c r="E142" s="175">
        <v>16913</v>
      </c>
      <c r="F142" s="175" t="s">
        <v>31</v>
      </c>
      <c r="G142" s="177"/>
      <c r="H142" s="178"/>
      <c r="I142" s="13">
        <v>2016000</v>
      </c>
      <c r="J142" s="179"/>
      <c r="K142" s="179"/>
      <c r="L142" s="67">
        <f t="shared" si="9"/>
        <v>2016000</v>
      </c>
      <c r="M142" s="175"/>
      <c r="N142" s="180"/>
      <c r="O142" s="180"/>
      <c r="P142" s="180"/>
      <c r="Q142" s="178"/>
      <c r="R142" s="181"/>
    </row>
    <row r="143" spans="1:18" s="208" customFormat="1" x14ac:dyDescent="0.4">
      <c r="A143" s="175" t="s">
        <v>634</v>
      </c>
      <c r="B143" s="176">
        <v>45820</v>
      </c>
      <c r="C143" s="175" t="s">
        <v>249</v>
      </c>
      <c r="D143" s="175" t="s">
        <v>213</v>
      </c>
      <c r="E143" s="175">
        <v>22101</v>
      </c>
      <c r="F143" s="175" t="s">
        <v>31</v>
      </c>
      <c r="G143" s="177"/>
      <c r="H143" s="178"/>
      <c r="I143" s="13">
        <v>3500000</v>
      </c>
      <c r="J143" s="179"/>
      <c r="K143" s="179"/>
      <c r="L143" s="67">
        <f t="shared" si="9"/>
        <v>3500000</v>
      </c>
      <c r="M143" s="175"/>
      <c r="N143" s="180"/>
      <c r="O143" s="180"/>
      <c r="P143" s="180"/>
      <c r="Q143" s="178"/>
      <c r="R143" s="181"/>
    </row>
    <row r="144" spans="1:18" s="208" customFormat="1" x14ac:dyDescent="0.4">
      <c r="A144" s="175" t="s">
        <v>634</v>
      </c>
      <c r="B144" s="176">
        <v>45820</v>
      </c>
      <c r="C144" s="175" t="s">
        <v>249</v>
      </c>
      <c r="D144" s="175" t="s">
        <v>506</v>
      </c>
      <c r="E144" s="175">
        <v>4994</v>
      </c>
      <c r="F144" s="175" t="s">
        <v>221</v>
      </c>
      <c r="G144" s="177"/>
      <c r="H144" s="178"/>
      <c r="I144" s="13">
        <v>10000000</v>
      </c>
      <c r="J144" s="179"/>
      <c r="K144" s="179"/>
      <c r="L144" s="67">
        <f t="shared" si="9"/>
        <v>10000000</v>
      </c>
      <c r="M144" s="175"/>
      <c r="N144" s="180"/>
      <c r="O144" s="180"/>
      <c r="P144" s="180"/>
      <c r="Q144" s="178"/>
      <c r="R144" s="181"/>
    </row>
    <row r="145" spans="1:18" s="208" customFormat="1" x14ac:dyDescent="0.4">
      <c r="A145" s="175" t="s">
        <v>634</v>
      </c>
      <c r="B145" s="176">
        <v>45820</v>
      </c>
      <c r="C145" s="175" t="s">
        <v>249</v>
      </c>
      <c r="D145" s="175" t="s">
        <v>628</v>
      </c>
      <c r="E145" s="175">
        <v>5779</v>
      </c>
      <c r="F145" s="175" t="s">
        <v>349</v>
      </c>
      <c r="G145" s="177"/>
      <c r="H145" s="178"/>
      <c r="I145" s="13">
        <v>15000000</v>
      </c>
      <c r="J145" s="179"/>
      <c r="K145" s="179"/>
      <c r="L145" s="67">
        <f t="shared" si="9"/>
        <v>15000000</v>
      </c>
      <c r="M145" s="175"/>
      <c r="N145" s="180"/>
      <c r="O145" s="180"/>
      <c r="P145" s="180"/>
      <c r="Q145" s="178"/>
      <c r="R145" s="181"/>
    </row>
    <row r="146" spans="1:18" s="208" customFormat="1" x14ac:dyDescent="0.4">
      <c r="A146" s="175" t="s">
        <v>634</v>
      </c>
      <c r="B146" s="176">
        <v>45820</v>
      </c>
      <c r="C146" s="175" t="s">
        <v>184</v>
      </c>
      <c r="D146" s="175" t="s">
        <v>189</v>
      </c>
      <c r="E146" s="175">
        <v>5007</v>
      </c>
      <c r="F146" s="175" t="s">
        <v>349</v>
      </c>
      <c r="G146" s="177"/>
      <c r="H146" s="178"/>
      <c r="I146" s="13">
        <v>2000000</v>
      </c>
      <c r="J146" s="179"/>
      <c r="K146" s="179"/>
      <c r="L146" s="67">
        <f t="shared" si="9"/>
        <v>2000000</v>
      </c>
      <c r="M146" s="175"/>
      <c r="N146" s="180"/>
      <c r="O146" s="180"/>
      <c r="P146" s="180"/>
      <c r="Q146" s="178"/>
      <c r="R146" s="181"/>
    </row>
    <row r="147" spans="1:18" s="208" customFormat="1" x14ac:dyDescent="0.4">
      <c r="A147" s="175" t="s">
        <v>634</v>
      </c>
      <c r="B147" s="176">
        <v>45827</v>
      </c>
      <c r="C147" s="175" t="s">
        <v>249</v>
      </c>
      <c r="D147" s="175" t="s">
        <v>494</v>
      </c>
      <c r="E147" s="175">
        <v>30706</v>
      </c>
      <c r="F147" s="175" t="s">
        <v>340</v>
      </c>
      <c r="G147" s="177"/>
      <c r="H147" s="178"/>
      <c r="I147" s="13">
        <v>2000000</v>
      </c>
      <c r="J147" s="179"/>
      <c r="K147" s="179"/>
      <c r="L147" s="67">
        <f t="shared" si="9"/>
        <v>2000000</v>
      </c>
      <c r="M147" s="175"/>
      <c r="N147" s="180"/>
      <c r="O147" s="180"/>
      <c r="P147" s="180"/>
      <c r="Q147" s="178"/>
      <c r="R147" s="181"/>
    </row>
    <row r="148" spans="1:18" s="208" customFormat="1" x14ac:dyDescent="0.4">
      <c r="A148" s="175" t="s">
        <v>634</v>
      </c>
      <c r="B148" s="176">
        <v>45834</v>
      </c>
      <c r="C148" s="175" t="s">
        <v>249</v>
      </c>
      <c r="D148" s="175" t="s">
        <v>256</v>
      </c>
      <c r="E148" s="175">
        <v>4643</v>
      </c>
      <c r="F148" s="175" t="s">
        <v>20</v>
      </c>
      <c r="G148" s="177"/>
      <c r="H148" s="178"/>
      <c r="I148" s="13">
        <v>2000000</v>
      </c>
      <c r="J148" s="179"/>
      <c r="K148" s="179"/>
      <c r="L148" s="67">
        <f t="shared" ref="L148:L153" si="10">SUM(I148:K148)</f>
        <v>2000000</v>
      </c>
      <c r="M148" s="175"/>
      <c r="N148" s="180"/>
      <c r="O148" s="180"/>
      <c r="P148" s="180"/>
      <c r="Q148" s="178"/>
      <c r="R148" s="181"/>
    </row>
    <row r="149" spans="1:18" s="208" customFormat="1" x14ac:dyDescent="0.4">
      <c r="A149" s="175" t="s">
        <v>634</v>
      </c>
      <c r="B149" s="176">
        <v>45834</v>
      </c>
      <c r="C149" s="175" t="s">
        <v>184</v>
      </c>
      <c r="D149" s="175" t="s">
        <v>459</v>
      </c>
      <c r="E149" s="175">
        <v>12968</v>
      </c>
      <c r="F149" s="175" t="s">
        <v>221</v>
      </c>
      <c r="G149" s="177"/>
      <c r="H149" s="178"/>
      <c r="I149" s="13">
        <v>230000000</v>
      </c>
      <c r="J149" s="179"/>
      <c r="K149" s="179"/>
      <c r="L149" s="67">
        <f t="shared" si="10"/>
        <v>230000000</v>
      </c>
      <c r="M149" s="175"/>
      <c r="N149" s="180"/>
      <c r="O149" s="180"/>
      <c r="P149" s="180"/>
      <c r="Q149" s="178"/>
      <c r="R149" s="181"/>
    </row>
    <row r="150" spans="1:18" s="208" customFormat="1" ht="16.95" customHeight="1" x14ac:dyDescent="0.4">
      <c r="A150" s="175" t="s">
        <v>633</v>
      </c>
      <c r="B150" s="176">
        <v>45841</v>
      </c>
      <c r="C150" s="175" t="s">
        <v>276</v>
      </c>
      <c r="D150" s="175" t="s">
        <v>59</v>
      </c>
      <c r="E150" s="175">
        <v>1621</v>
      </c>
      <c r="F150" s="175" t="s">
        <v>341</v>
      </c>
      <c r="G150" s="177"/>
      <c r="H150" s="178"/>
      <c r="I150" s="13">
        <v>95000000</v>
      </c>
      <c r="J150" s="179"/>
      <c r="K150" s="179"/>
      <c r="L150" s="67">
        <f t="shared" si="10"/>
        <v>95000000</v>
      </c>
      <c r="M150" s="175"/>
      <c r="N150" s="180"/>
      <c r="O150" s="180"/>
      <c r="P150" s="180"/>
      <c r="Q150" s="178"/>
      <c r="R150" s="181"/>
    </row>
    <row r="151" spans="1:18" s="208" customFormat="1" x14ac:dyDescent="0.4">
      <c r="A151" s="175" t="s">
        <v>633</v>
      </c>
      <c r="B151" s="176">
        <v>45841</v>
      </c>
      <c r="C151" s="175" t="s">
        <v>235</v>
      </c>
      <c r="D151" s="175" t="s">
        <v>85</v>
      </c>
      <c r="E151" s="175">
        <v>3940</v>
      </c>
      <c r="F151" s="175" t="s">
        <v>340</v>
      </c>
      <c r="G151" s="177"/>
      <c r="H151" s="178"/>
      <c r="I151" s="13">
        <v>93000000</v>
      </c>
      <c r="J151" s="179"/>
      <c r="K151" s="179"/>
      <c r="L151" s="67">
        <f t="shared" si="10"/>
        <v>93000000</v>
      </c>
      <c r="M151" s="175"/>
      <c r="N151" s="180"/>
      <c r="O151" s="180"/>
      <c r="P151" s="180"/>
      <c r="Q151" s="178"/>
      <c r="R151" s="181"/>
    </row>
    <row r="152" spans="1:18" s="208" customFormat="1" x14ac:dyDescent="0.4">
      <c r="A152" s="175" t="s">
        <v>633</v>
      </c>
      <c r="B152" s="176">
        <v>45841</v>
      </c>
      <c r="C152" s="175" t="s">
        <v>184</v>
      </c>
      <c r="D152" s="175" t="s">
        <v>636</v>
      </c>
      <c r="E152" s="175"/>
      <c r="F152" s="175" t="s">
        <v>338</v>
      </c>
      <c r="G152" s="177"/>
      <c r="H152" s="178"/>
      <c r="I152" s="13">
        <v>92000000</v>
      </c>
      <c r="J152" s="179"/>
      <c r="K152" s="179"/>
      <c r="L152" s="67">
        <f t="shared" si="10"/>
        <v>92000000</v>
      </c>
      <c r="M152" s="175"/>
      <c r="N152" s="180"/>
      <c r="O152" s="180"/>
      <c r="P152" s="180"/>
      <c r="Q152" s="178"/>
      <c r="R152" s="181"/>
    </row>
    <row r="153" spans="1:18" s="208" customFormat="1" x14ac:dyDescent="0.4">
      <c r="A153" s="175" t="s">
        <v>633</v>
      </c>
      <c r="B153" s="176">
        <v>45841</v>
      </c>
      <c r="C153" s="175" t="s">
        <v>196</v>
      </c>
      <c r="D153" s="175" t="s">
        <v>208</v>
      </c>
      <c r="E153" s="175">
        <v>46263</v>
      </c>
      <c r="F153" s="175" t="s">
        <v>31</v>
      </c>
      <c r="G153" s="177"/>
      <c r="H153" s="178"/>
      <c r="I153" s="13">
        <v>15240000</v>
      </c>
      <c r="J153" s="179"/>
      <c r="K153" s="179"/>
      <c r="L153" s="67">
        <f t="shared" si="10"/>
        <v>15240000</v>
      </c>
      <c r="M153" s="175"/>
      <c r="N153" s="180"/>
      <c r="O153" s="180"/>
      <c r="P153" s="180"/>
      <c r="Q153" s="178"/>
      <c r="R153" s="181"/>
    </row>
    <row r="154" spans="1:18" s="174" customFormat="1" x14ac:dyDescent="0.4">
      <c r="A154" s="169" t="s">
        <v>633</v>
      </c>
      <c r="B154" s="170">
        <v>45848</v>
      </c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69"/>
      <c r="N154" s="172"/>
      <c r="O154" s="172"/>
      <c r="P154" s="172"/>
      <c r="Q154" s="171"/>
      <c r="R154" s="173"/>
    </row>
    <row r="155" spans="1:18" s="174" customFormat="1" x14ac:dyDescent="0.4">
      <c r="A155" s="169" t="s">
        <v>633</v>
      </c>
      <c r="B155" s="170">
        <v>45848</v>
      </c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69"/>
      <c r="N155" s="172"/>
      <c r="O155" s="172"/>
      <c r="P155" s="172"/>
      <c r="Q155" s="171"/>
      <c r="R155" s="173"/>
    </row>
    <row r="156" spans="1:18" s="174" customFormat="1" x14ac:dyDescent="0.4">
      <c r="A156" s="169" t="s">
        <v>633</v>
      </c>
      <c r="B156" s="170">
        <v>45848</v>
      </c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69"/>
      <c r="N156" s="172"/>
      <c r="O156" s="172"/>
      <c r="P156" s="172"/>
      <c r="Q156" s="171"/>
      <c r="R156" s="173"/>
    </row>
    <row r="157" spans="1:18" s="174" customFormat="1" x14ac:dyDescent="0.4">
      <c r="A157" s="169" t="s">
        <v>633</v>
      </c>
      <c r="B157" s="170">
        <v>45848</v>
      </c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69"/>
      <c r="N157" s="172"/>
      <c r="O157" s="172"/>
      <c r="P157" s="172"/>
      <c r="Q157" s="171"/>
      <c r="R157" s="173"/>
    </row>
    <row r="158" spans="1:18" s="174" customFormat="1" x14ac:dyDescent="0.4">
      <c r="A158" s="169" t="s">
        <v>633</v>
      </c>
      <c r="B158" s="170">
        <v>45848</v>
      </c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69"/>
      <c r="N158" s="172"/>
      <c r="O158" s="172"/>
      <c r="P158" s="172"/>
      <c r="Q158" s="171"/>
      <c r="R158" s="173"/>
    </row>
    <row r="159" spans="1:18" s="174" customFormat="1" x14ac:dyDescent="0.4">
      <c r="A159" s="169" t="s">
        <v>633</v>
      </c>
      <c r="B159" s="170">
        <v>45848</v>
      </c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69"/>
      <c r="N159" s="172"/>
      <c r="O159" s="172"/>
      <c r="P159" s="172"/>
      <c r="Q159" s="171"/>
      <c r="R159" s="173"/>
    </row>
    <row r="160" spans="1:18" s="174" customFormat="1" x14ac:dyDescent="0.4">
      <c r="A160" s="169" t="s">
        <v>633</v>
      </c>
      <c r="B160" s="170">
        <v>45848</v>
      </c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69"/>
      <c r="N160" s="172"/>
      <c r="O160" s="172"/>
      <c r="P160" s="172"/>
      <c r="Q160" s="171"/>
      <c r="R160" s="173"/>
    </row>
    <row r="161" spans="1:18" s="174" customFormat="1" x14ac:dyDescent="0.4">
      <c r="A161" s="169" t="s">
        <v>633</v>
      </c>
      <c r="B161" s="170">
        <v>45848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69"/>
      <c r="N161" s="172"/>
      <c r="O161" s="172"/>
      <c r="P161" s="172"/>
      <c r="Q161" s="171"/>
      <c r="R161" s="173"/>
    </row>
    <row r="162" spans="1:18" s="174" customFormat="1" x14ac:dyDescent="0.4">
      <c r="A162" s="169" t="s">
        <v>633</v>
      </c>
      <c r="B162" s="170">
        <v>45848</v>
      </c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69"/>
      <c r="N162" s="172"/>
      <c r="O162" s="172"/>
      <c r="P162" s="172"/>
      <c r="Q162" s="171"/>
      <c r="R162" s="173"/>
    </row>
    <row r="163" spans="1:18" s="174" customFormat="1" x14ac:dyDescent="0.4">
      <c r="A163" s="169" t="s">
        <v>633</v>
      </c>
      <c r="B163" s="170">
        <v>45848</v>
      </c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69"/>
      <c r="N163" s="172"/>
      <c r="O163" s="172"/>
      <c r="P163" s="172"/>
      <c r="Q163" s="171"/>
      <c r="R163" s="173"/>
    </row>
    <row r="164" spans="1:18" s="174" customFormat="1" x14ac:dyDescent="0.4">
      <c r="A164" s="169" t="s">
        <v>633</v>
      </c>
      <c r="B164" s="170">
        <v>45848</v>
      </c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69"/>
      <c r="N164" s="172"/>
      <c r="O164" s="172"/>
      <c r="P164" s="172"/>
      <c r="Q164" s="171"/>
      <c r="R164" s="173"/>
    </row>
    <row r="165" spans="1:18" x14ac:dyDescent="0.4">
      <c r="A165" s="64"/>
      <c r="B165" s="61"/>
      <c r="C165" s="64"/>
      <c r="D165" s="64"/>
      <c r="E165" s="73"/>
      <c r="F165" s="64"/>
      <c r="G165" s="64"/>
      <c r="H165" s="64"/>
      <c r="I165" s="13"/>
      <c r="J165" s="68"/>
      <c r="K165" s="68"/>
      <c r="L165" s="67"/>
      <c r="M165" s="64"/>
      <c r="N165" s="12"/>
      <c r="O165" s="12"/>
      <c r="P165" s="12"/>
      <c r="Q165" s="64"/>
      <c r="R165" s="70"/>
    </row>
    <row r="166" spans="1:18" x14ac:dyDescent="0.4">
      <c r="A166" s="64"/>
      <c r="B166" s="61"/>
      <c r="C166" s="64"/>
      <c r="D166" s="64"/>
      <c r="E166" s="73"/>
      <c r="F166" s="64"/>
      <c r="G166" s="60"/>
      <c r="H166" s="60"/>
      <c r="I166" s="13"/>
      <c r="J166" s="66"/>
      <c r="K166" s="66"/>
      <c r="L166" s="67"/>
      <c r="M166" s="64"/>
      <c r="N166" s="12"/>
      <c r="O166" s="12"/>
      <c r="P166" s="12"/>
      <c r="Q166" s="64"/>
      <c r="R166" s="70"/>
    </row>
    <row r="167" spans="1:18" x14ac:dyDescent="0.4">
      <c r="A167" s="64"/>
      <c r="B167" s="61"/>
      <c r="C167" s="64"/>
      <c r="D167" s="64"/>
      <c r="E167" s="60"/>
      <c r="F167" s="64"/>
      <c r="G167" s="60"/>
      <c r="H167" s="60"/>
      <c r="I167" s="13"/>
      <c r="J167" s="66"/>
      <c r="K167" s="66"/>
      <c r="L167" s="67"/>
      <c r="M167" s="64"/>
      <c r="N167" s="12"/>
      <c r="O167" s="12"/>
      <c r="P167" s="12"/>
      <c r="Q167" s="64"/>
      <c r="R167" s="70"/>
    </row>
    <row r="168" spans="1:18" x14ac:dyDescent="0.4">
      <c r="A168" s="64"/>
      <c r="B168" s="61"/>
      <c r="C168" s="64"/>
      <c r="D168" s="64"/>
      <c r="E168" s="64"/>
      <c r="F168" s="64"/>
      <c r="G168" s="60"/>
      <c r="H168" s="60"/>
      <c r="I168" s="13"/>
      <c r="J168" s="66"/>
      <c r="K168" s="66"/>
      <c r="L168" s="67"/>
      <c r="M168" s="64"/>
      <c r="N168" s="12"/>
      <c r="O168" s="12"/>
      <c r="P168" s="12"/>
      <c r="Q168" s="64"/>
      <c r="R168" s="70"/>
    </row>
    <row r="169" spans="1:18" x14ac:dyDescent="0.4">
      <c r="A169" s="64"/>
      <c r="B169" s="61"/>
      <c r="C169" s="64"/>
      <c r="D169" s="64"/>
      <c r="E169" s="64"/>
      <c r="F169" s="64"/>
      <c r="G169" s="64"/>
      <c r="H169" s="64"/>
      <c r="I169" s="13"/>
      <c r="J169" s="66"/>
      <c r="K169" s="66"/>
      <c r="L169" s="67"/>
      <c r="M169" s="64"/>
      <c r="N169" s="12"/>
      <c r="O169" s="12"/>
      <c r="P169" s="12"/>
      <c r="Q169" s="64"/>
      <c r="R169" s="70"/>
    </row>
    <row r="170" spans="1:18" x14ac:dyDescent="0.4">
      <c r="A170" s="64"/>
      <c r="B170" s="61"/>
      <c r="C170" s="64"/>
      <c r="D170" s="64"/>
      <c r="E170" s="64"/>
      <c r="F170" s="64"/>
      <c r="G170" s="64"/>
      <c r="H170" s="64"/>
      <c r="I170" s="13"/>
      <c r="J170" s="66"/>
      <c r="K170" s="66"/>
      <c r="L170" s="67"/>
      <c r="M170" s="64"/>
      <c r="N170" s="12"/>
      <c r="O170" s="12"/>
      <c r="P170" s="12"/>
      <c r="Q170" s="64"/>
      <c r="R170" s="70"/>
    </row>
    <row r="171" spans="1:18" x14ac:dyDescent="0.4">
      <c r="A171" s="64"/>
      <c r="B171" s="61"/>
      <c r="C171" s="64"/>
      <c r="D171" s="64"/>
      <c r="E171" s="64"/>
      <c r="F171" s="64"/>
      <c r="G171" s="64"/>
      <c r="H171" s="64"/>
      <c r="I171" s="13"/>
      <c r="J171" s="66"/>
      <c r="K171" s="66"/>
      <c r="L171" s="67"/>
      <c r="M171" s="64"/>
      <c r="N171" s="12"/>
      <c r="O171" s="12"/>
      <c r="P171" s="12"/>
      <c r="Q171" s="64"/>
      <c r="R171" s="70"/>
    </row>
    <row r="172" spans="1:18" x14ac:dyDescent="0.4">
      <c r="A172" s="64"/>
      <c r="B172" s="61"/>
      <c r="C172" s="64"/>
      <c r="D172" s="64"/>
      <c r="E172" s="64"/>
      <c r="F172" s="64"/>
      <c r="G172" s="64"/>
      <c r="H172" s="64"/>
      <c r="I172" s="13"/>
      <c r="J172" s="66"/>
      <c r="K172" s="66"/>
      <c r="L172" s="67"/>
      <c r="M172" s="64"/>
      <c r="N172" s="12"/>
      <c r="O172" s="12"/>
      <c r="P172" s="12"/>
      <c r="Q172" s="64"/>
      <c r="R172" s="70"/>
    </row>
    <row r="173" spans="1:18" x14ac:dyDescent="0.4">
      <c r="A173" s="64"/>
      <c r="B173" s="61"/>
      <c r="C173" s="64"/>
      <c r="D173" s="60"/>
      <c r="E173" s="60"/>
      <c r="F173" s="60"/>
      <c r="G173" s="64"/>
      <c r="H173" s="64"/>
      <c r="I173" s="13"/>
      <c r="J173" s="66"/>
      <c r="K173" s="66"/>
      <c r="L173" s="67"/>
      <c r="M173" s="64"/>
      <c r="N173" s="12"/>
      <c r="O173" s="12"/>
      <c r="P173" s="12"/>
      <c r="Q173" s="64"/>
      <c r="R173" s="70"/>
    </row>
    <row r="174" spans="1:18" x14ac:dyDescent="0.4">
      <c r="A174" s="64"/>
      <c r="B174" s="61"/>
      <c r="C174" s="64"/>
      <c r="D174" s="64"/>
      <c r="E174" s="64"/>
      <c r="F174" s="64"/>
      <c r="G174" s="64"/>
      <c r="H174" s="64"/>
      <c r="I174" s="13"/>
      <c r="J174" s="66"/>
      <c r="K174" s="66"/>
      <c r="L174" s="67"/>
      <c r="M174" s="64"/>
      <c r="N174" s="12"/>
      <c r="O174" s="12"/>
      <c r="P174" s="12"/>
      <c r="Q174" s="64"/>
      <c r="R174" s="70"/>
    </row>
    <row r="175" spans="1:18" x14ac:dyDescent="0.4">
      <c r="A175" s="64"/>
      <c r="B175" s="61"/>
      <c r="C175" s="64"/>
      <c r="D175" s="64"/>
      <c r="E175" s="64"/>
      <c r="F175" s="64"/>
      <c r="G175" s="64"/>
      <c r="H175" s="64"/>
      <c r="I175" s="13"/>
      <c r="J175" s="66"/>
      <c r="K175" s="66"/>
      <c r="L175" s="67"/>
      <c r="M175" s="64"/>
      <c r="N175" s="12"/>
      <c r="O175" s="12"/>
      <c r="P175" s="12"/>
      <c r="Q175" s="64"/>
      <c r="R175" s="70"/>
    </row>
    <row r="176" spans="1:18" x14ac:dyDescent="0.4">
      <c r="A176" s="64"/>
      <c r="B176" s="61"/>
      <c r="C176" s="64"/>
      <c r="D176" s="64"/>
      <c r="E176" s="60"/>
      <c r="F176" s="64"/>
      <c r="G176" s="64"/>
      <c r="H176" s="64"/>
      <c r="I176" s="13"/>
      <c r="J176" s="66"/>
      <c r="K176" s="66"/>
      <c r="L176" s="67"/>
      <c r="M176" s="64"/>
      <c r="N176" s="12"/>
      <c r="O176" s="12"/>
      <c r="P176" s="12"/>
      <c r="Q176" s="64"/>
      <c r="R176" s="70"/>
    </row>
    <row r="177" spans="1:18" x14ac:dyDescent="0.4">
      <c r="A177" s="64"/>
      <c r="B177" s="61"/>
      <c r="C177" s="64"/>
      <c r="D177" s="64"/>
      <c r="E177" s="64"/>
      <c r="F177" s="64"/>
      <c r="G177" s="64"/>
      <c r="H177" s="64"/>
      <c r="I177" s="13"/>
      <c r="J177" s="66"/>
      <c r="K177" s="66"/>
      <c r="L177" s="67"/>
      <c r="M177" s="64"/>
      <c r="N177" s="12"/>
      <c r="O177" s="12"/>
      <c r="P177" s="12"/>
      <c r="Q177" s="64"/>
      <c r="R177" s="70"/>
    </row>
    <row r="178" spans="1:18" x14ac:dyDescent="0.4">
      <c r="A178" s="64"/>
      <c r="B178" s="61"/>
      <c r="C178" s="64"/>
      <c r="D178" s="64"/>
      <c r="E178" s="60"/>
      <c r="F178" s="64"/>
      <c r="G178" s="64"/>
      <c r="H178" s="64"/>
      <c r="I178" s="13"/>
      <c r="J178" s="66"/>
      <c r="K178" s="66"/>
      <c r="L178" s="67"/>
      <c r="M178" s="64"/>
      <c r="N178" s="12"/>
      <c r="O178" s="12"/>
      <c r="P178" s="12"/>
      <c r="Q178" s="64"/>
      <c r="R178" s="70"/>
    </row>
    <row r="179" spans="1:18" x14ac:dyDescent="0.4">
      <c r="A179" s="64"/>
      <c r="B179" s="61"/>
      <c r="C179" s="64"/>
      <c r="D179" s="60"/>
      <c r="E179" s="60"/>
      <c r="F179" s="60"/>
      <c r="G179" s="64"/>
      <c r="H179" s="64"/>
      <c r="I179" s="13"/>
      <c r="J179" s="66"/>
      <c r="K179" s="66"/>
      <c r="L179" s="67"/>
      <c r="M179" s="64"/>
      <c r="N179" s="12"/>
      <c r="O179" s="12"/>
      <c r="P179" s="12"/>
      <c r="Q179" s="64"/>
      <c r="R179" s="70"/>
    </row>
    <row r="180" spans="1:18" x14ac:dyDescent="0.4">
      <c r="A180" s="69"/>
      <c r="B180" s="61"/>
      <c r="C180" s="64"/>
      <c r="D180" s="64"/>
      <c r="E180" s="64"/>
      <c r="F180" s="64"/>
      <c r="G180" s="74"/>
      <c r="H180" s="74"/>
      <c r="I180" s="13"/>
      <c r="J180" s="66"/>
      <c r="K180" s="66"/>
      <c r="L180" s="67"/>
      <c r="M180" s="64"/>
      <c r="N180" s="12"/>
      <c r="O180" s="64"/>
      <c r="P180" s="12"/>
      <c r="Q180" s="64"/>
      <c r="R180" s="70"/>
    </row>
    <row r="181" spans="1:18" x14ac:dyDescent="0.4">
      <c r="A181" s="69"/>
      <c r="B181" s="61"/>
      <c r="C181" s="64"/>
      <c r="D181" s="64"/>
      <c r="E181" s="64"/>
      <c r="F181" s="64"/>
      <c r="G181" s="64"/>
      <c r="H181" s="64"/>
      <c r="I181" s="13"/>
      <c r="J181" s="66"/>
      <c r="K181" s="66"/>
      <c r="L181" s="67"/>
      <c r="M181" s="64"/>
      <c r="N181" s="12"/>
      <c r="O181" s="12"/>
      <c r="P181" s="12"/>
      <c r="Q181" s="64"/>
      <c r="R181" s="70"/>
    </row>
    <row r="182" spans="1:18" x14ac:dyDescent="0.4">
      <c r="A182" s="75"/>
      <c r="B182" s="76"/>
      <c r="C182" s="75"/>
      <c r="D182" s="75"/>
      <c r="E182" s="77"/>
      <c r="F182" s="77"/>
      <c r="G182" s="78"/>
      <c r="H182" s="79"/>
      <c r="I182" s="80"/>
      <c r="J182" s="81"/>
      <c r="L182" s="72"/>
      <c r="M182" s="75"/>
      <c r="N182" s="77"/>
      <c r="O182" s="77"/>
      <c r="P182" s="82"/>
      <c r="Q182" s="78"/>
      <c r="R182" s="83"/>
    </row>
    <row r="183" spans="1:18" x14ac:dyDescent="0.4">
      <c r="A183" s="62"/>
      <c r="B183" s="65"/>
      <c r="C183" s="62"/>
      <c r="D183" s="62"/>
      <c r="E183" s="63"/>
      <c r="F183" s="63"/>
      <c r="G183" s="64"/>
      <c r="H183" s="79"/>
      <c r="I183" s="84"/>
      <c r="J183" s="66"/>
      <c r="L183" s="72"/>
      <c r="M183" s="62"/>
      <c r="N183" s="12"/>
      <c r="O183" s="63"/>
      <c r="P183" s="12"/>
      <c r="Q183" s="64"/>
      <c r="R183" s="70"/>
    </row>
    <row r="184" spans="1:18" x14ac:dyDescent="0.4">
      <c r="A184" s="62"/>
      <c r="B184" s="65"/>
      <c r="C184" s="62"/>
      <c r="D184" s="62"/>
      <c r="E184" s="63"/>
      <c r="F184" s="63"/>
      <c r="G184" s="64"/>
      <c r="H184" s="79"/>
      <c r="I184" s="84"/>
      <c r="J184" s="66"/>
      <c r="L184" s="72"/>
      <c r="M184" s="62"/>
      <c r="N184" s="12"/>
      <c r="O184" s="12"/>
      <c r="P184" s="12"/>
      <c r="Q184" s="64"/>
      <c r="R184" s="70"/>
    </row>
    <row r="185" spans="1:18" x14ac:dyDescent="0.4">
      <c r="A185" s="62"/>
      <c r="B185" s="65"/>
      <c r="C185" s="62"/>
      <c r="D185" s="62"/>
      <c r="E185" s="63"/>
      <c r="F185" s="63"/>
      <c r="G185" s="74"/>
      <c r="H185" s="74"/>
      <c r="I185" s="84"/>
      <c r="J185" s="66"/>
      <c r="L185" s="72"/>
      <c r="M185" s="62"/>
      <c r="N185" s="12"/>
      <c r="O185" s="12"/>
      <c r="P185" s="12"/>
      <c r="Q185" s="64"/>
      <c r="R185" s="70"/>
    </row>
    <row r="186" spans="1:18" x14ac:dyDescent="0.4">
      <c r="A186" s="62"/>
      <c r="B186" s="65"/>
      <c r="C186" s="62"/>
      <c r="D186" s="62"/>
      <c r="E186" s="63"/>
      <c r="F186" s="63"/>
      <c r="G186" s="64"/>
      <c r="H186" s="79"/>
      <c r="I186" s="84"/>
      <c r="J186" s="66"/>
      <c r="L186" s="72"/>
      <c r="M186" s="62"/>
      <c r="N186" s="12"/>
      <c r="O186" s="12"/>
      <c r="P186" s="12"/>
      <c r="Q186" s="64"/>
      <c r="R186" s="70"/>
    </row>
    <row r="187" spans="1:18" x14ac:dyDescent="0.4">
      <c r="A187" s="62"/>
      <c r="B187" s="65"/>
      <c r="C187" s="62"/>
      <c r="D187" s="62"/>
      <c r="E187" s="63"/>
      <c r="F187" s="63"/>
      <c r="G187" s="64"/>
      <c r="H187" s="79"/>
      <c r="I187" s="84"/>
      <c r="J187" s="66"/>
      <c r="L187" s="72"/>
      <c r="M187" s="62"/>
      <c r="N187" s="12"/>
      <c r="O187" s="12"/>
      <c r="P187" s="12"/>
      <c r="Q187" s="64"/>
      <c r="R187" s="70"/>
    </row>
    <row r="188" spans="1:18" x14ac:dyDescent="0.4">
      <c r="A188" s="62"/>
      <c r="B188" s="85"/>
      <c r="C188" s="62"/>
      <c r="D188" s="86"/>
      <c r="E188" s="63"/>
      <c r="F188" s="64"/>
      <c r="G188" s="64"/>
      <c r="H188" s="64"/>
      <c r="I188" s="13"/>
      <c r="J188" s="66"/>
      <c r="K188" s="66"/>
      <c r="L188" s="67"/>
      <c r="M188" s="64"/>
      <c r="N188" s="12"/>
      <c r="O188" s="12"/>
      <c r="P188" s="12"/>
      <c r="Q188" s="64"/>
      <c r="R188" s="70"/>
    </row>
    <row r="189" spans="1:18" x14ac:dyDescent="0.4">
      <c r="A189" s="62"/>
      <c r="B189" s="85"/>
      <c r="C189" s="62"/>
      <c r="D189" s="62"/>
      <c r="E189" s="63"/>
      <c r="F189" s="64"/>
      <c r="G189" s="64"/>
      <c r="H189" s="64"/>
      <c r="I189" s="13"/>
      <c r="J189" s="66"/>
      <c r="K189" s="66"/>
      <c r="L189" s="67"/>
      <c r="M189" s="64"/>
      <c r="N189" s="12"/>
      <c r="O189" s="12"/>
      <c r="P189" s="12"/>
      <c r="Q189" s="64"/>
      <c r="R189" s="70"/>
    </row>
    <row r="190" spans="1:18" x14ac:dyDescent="0.4">
      <c r="A190" s="62"/>
      <c r="B190" s="85"/>
      <c r="C190" s="62"/>
      <c r="D190" s="62"/>
      <c r="E190" s="63"/>
      <c r="F190" s="64"/>
      <c r="G190" s="64"/>
      <c r="H190" s="64"/>
      <c r="I190" s="13"/>
      <c r="J190" s="66"/>
      <c r="K190" s="66"/>
      <c r="L190" s="67"/>
      <c r="M190" s="64"/>
      <c r="N190" s="12"/>
      <c r="O190" s="12"/>
      <c r="P190" s="12"/>
      <c r="Q190" s="64"/>
      <c r="R190" s="70"/>
    </row>
    <row r="191" spans="1:18" x14ac:dyDescent="0.4">
      <c r="A191" s="62"/>
      <c r="B191" s="85"/>
      <c r="C191" s="62"/>
      <c r="D191" s="62"/>
      <c r="E191" s="63"/>
      <c r="F191" s="64"/>
      <c r="G191" s="64"/>
      <c r="H191" s="64"/>
      <c r="I191" s="13"/>
      <c r="J191" s="66"/>
      <c r="K191" s="66"/>
      <c r="L191" s="67"/>
      <c r="M191" s="64"/>
      <c r="N191" s="12"/>
      <c r="O191" s="12"/>
      <c r="P191" s="12"/>
      <c r="Q191" s="64"/>
      <c r="R191" s="70"/>
    </row>
    <row r="192" spans="1:18" x14ac:dyDescent="0.4">
      <c r="A192" s="62"/>
      <c r="B192" s="85"/>
      <c r="C192" s="62"/>
      <c r="D192" s="62"/>
      <c r="E192" s="63"/>
      <c r="F192" s="64"/>
      <c r="G192" s="64"/>
      <c r="H192" s="64"/>
      <c r="I192" s="13"/>
      <c r="J192" s="66"/>
      <c r="K192" s="66"/>
      <c r="L192" s="67"/>
      <c r="M192" s="64"/>
      <c r="N192" s="12"/>
      <c r="O192" s="12"/>
      <c r="P192" s="12"/>
      <c r="Q192" s="64"/>
      <c r="R192" s="70"/>
    </row>
    <row r="193" spans="1:18" x14ac:dyDescent="0.4">
      <c r="A193" s="62"/>
      <c r="B193" s="85"/>
      <c r="C193" s="62"/>
      <c r="D193" s="64"/>
      <c r="E193" s="64"/>
      <c r="F193" s="64"/>
      <c r="G193" s="64"/>
      <c r="H193" s="64"/>
      <c r="I193" s="13"/>
      <c r="J193" s="66"/>
      <c r="K193" s="66"/>
      <c r="L193" s="67"/>
      <c r="M193" s="64"/>
      <c r="N193" s="12"/>
      <c r="O193" s="12"/>
      <c r="P193" s="12"/>
      <c r="Q193" s="64"/>
      <c r="R193" s="70"/>
    </row>
    <row r="194" spans="1:18" x14ac:dyDescent="0.4">
      <c r="A194" s="62"/>
      <c r="B194" s="85"/>
      <c r="C194" s="62"/>
      <c r="D194" s="64"/>
      <c r="E194" s="64"/>
      <c r="F194" s="64"/>
      <c r="G194" s="64"/>
      <c r="H194" s="64"/>
      <c r="I194" s="13"/>
      <c r="J194" s="66"/>
      <c r="K194" s="66"/>
      <c r="L194" s="67"/>
      <c r="M194" s="64"/>
      <c r="N194" s="12"/>
      <c r="O194" s="12"/>
      <c r="P194" s="12"/>
      <c r="Q194" s="64"/>
      <c r="R194" s="70"/>
    </row>
    <row r="195" spans="1:18" x14ac:dyDescent="0.4">
      <c r="A195" s="62"/>
      <c r="B195" s="85"/>
      <c r="C195" s="62"/>
      <c r="D195" s="64"/>
      <c r="E195" s="64"/>
      <c r="F195" s="64"/>
      <c r="G195" s="64"/>
      <c r="H195" s="64"/>
      <c r="I195" s="13"/>
      <c r="J195" s="66"/>
      <c r="K195" s="66"/>
      <c r="L195" s="67"/>
      <c r="M195" s="64"/>
      <c r="N195" s="12"/>
      <c r="O195" s="12"/>
      <c r="P195" s="12"/>
      <c r="Q195" s="64"/>
      <c r="R195" s="70"/>
    </row>
    <row r="196" spans="1:18" x14ac:dyDescent="0.4">
      <c r="A196" s="62"/>
      <c r="B196" s="85"/>
      <c r="C196" s="62"/>
      <c r="D196" s="64"/>
      <c r="E196" s="64"/>
      <c r="F196" s="64"/>
      <c r="G196" s="64"/>
      <c r="H196" s="64"/>
      <c r="I196" s="13"/>
      <c r="J196" s="66"/>
      <c r="K196" s="66"/>
      <c r="L196" s="67"/>
      <c r="M196" s="64"/>
      <c r="N196" s="12"/>
      <c r="O196" s="12"/>
      <c r="P196" s="12"/>
      <c r="Q196" s="64"/>
      <c r="R196" s="70"/>
    </row>
    <row r="197" spans="1:18" x14ac:dyDescent="0.4">
      <c r="A197" s="62"/>
      <c r="B197" s="85"/>
      <c r="C197" s="62"/>
      <c r="D197" s="64"/>
      <c r="E197" s="64"/>
      <c r="F197" s="64"/>
      <c r="G197" s="64"/>
      <c r="H197" s="64"/>
      <c r="I197" s="13"/>
      <c r="J197" s="66"/>
      <c r="K197" s="66"/>
      <c r="L197" s="67"/>
      <c r="M197" s="64"/>
      <c r="N197" s="12"/>
      <c r="O197" s="12"/>
      <c r="P197" s="12"/>
      <c r="Q197" s="64"/>
      <c r="R197" s="70"/>
    </row>
    <row r="198" spans="1:18" x14ac:dyDescent="0.4">
      <c r="A198" s="62"/>
      <c r="B198" s="85"/>
      <c r="C198" s="62"/>
      <c r="D198" s="64"/>
      <c r="E198" s="73"/>
      <c r="F198" s="64"/>
      <c r="G198" s="64"/>
      <c r="H198" s="64"/>
      <c r="I198" s="13"/>
      <c r="J198" s="66"/>
      <c r="K198" s="66"/>
      <c r="L198" s="67"/>
      <c r="M198" s="64"/>
      <c r="N198" s="12"/>
      <c r="O198" s="12"/>
      <c r="P198" s="12"/>
      <c r="Q198" s="64"/>
      <c r="R198" s="70"/>
    </row>
    <row r="199" spans="1:18" x14ac:dyDescent="0.4">
      <c r="A199" s="62"/>
      <c r="B199" s="85"/>
      <c r="C199" s="64"/>
      <c r="D199" s="64"/>
      <c r="E199" s="73"/>
      <c r="F199" s="64"/>
      <c r="G199" s="64"/>
      <c r="H199" s="64"/>
      <c r="I199" s="13"/>
      <c r="J199" s="66"/>
      <c r="K199" s="66"/>
      <c r="L199" s="67"/>
      <c r="M199" s="64"/>
      <c r="N199" s="12"/>
      <c r="O199" s="12"/>
      <c r="P199" s="12"/>
      <c r="Q199" s="64"/>
      <c r="R199" s="70"/>
    </row>
    <row r="200" spans="1:18" x14ac:dyDescent="0.4">
      <c r="A200" s="62"/>
      <c r="B200" s="61"/>
      <c r="C200" s="64"/>
      <c r="D200" s="64"/>
      <c r="E200" s="73"/>
      <c r="F200" s="64"/>
      <c r="G200" s="64"/>
      <c r="H200" s="64"/>
      <c r="I200" s="13"/>
      <c r="J200" s="66"/>
      <c r="K200" s="66"/>
      <c r="L200" s="67"/>
      <c r="M200" s="64"/>
      <c r="N200" s="61"/>
      <c r="O200" s="64"/>
      <c r="P200" s="12"/>
      <c r="Q200" s="64"/>
      <c r="R200" s="70"/>
    </row>
    <row r="201" spans="1:18" x14ac:dyDescent="0.4">
      <c r="A201" s="62"/>
      <c r="B201" s="61"/>
      <c r="C201" s="64"/>
      <c r="D201" s="64"/>
      <c r="E201" s="73"/>
      <c r="F201" s="64"/>
      <c r="G201" s="64"/>
      <c r="H201" s="64"/>
      <c r="I201" s="13"/>
      <c r="J201" s="66"/>
      <c r="K201" s="66"/>
      <c r="L201" s="67"/>
      <c r="M201" s="64"/>
      <c r="N201" s="61"/>
      <c r="O201" s="64"/>
      <c r="P201" s="12"/>
      <c r="Q201" s="64"/>
      <c r="R201" s="70"/>
    </row>
    <row r="202" spans="1:18" x14ac:dyDescent="0.4">
      <c r="A202" s="62"/>
      <c r="B202" s="61"/>
      <c r="C202" s="64"/>
      <c r="D202" s="64"/>
      <c r="E202" s="73"/>
      <c r="F202" s="64"/>
      <c r="G202" s="64"/>
      <c r="H202" s="64"/>
      <c r="I202" s="13"/>
      <c r="J202" s="66"/>
      <c r="K202" s="66"/>
      <c r="L202" s="67"/>
      <c r="M202" s="64"/>
      <c r="N202" s="61"/>
      <c r="O202" s="64"/>
      <c r="P202" s="12"/>
      <c r="Q202" s="64"/>
      <c r="R202" s="70"/>
    </row>
    <row r="203" spans="1:18" x14ac:dyDescent="0.4">
      <c r="A203" s="62"/>
      <c r="B203" s="61"/>
      <c r="C203" s="64"/>
      <c r="D203" s="64"/>
      <c r="E203" s="73"/>
      <c r="F203" s="64"/>
      <c r="G203" s="64"/>
      <c r="H203" s="64"/>
      <c r="I203" s="13"/>
      <c r="J203" s="66"/>
      <c r="K203" s="66"/>
      <c r="L203" s="67"/>
      <c r="M203" s="64"/>
      <c r="N203" s="61"/>
      <c r="O203" s="64"/>
      <c r="P203" s="87"/>
      <c r="Q203" s="64"/>
      <c r="R203" s="70"/>
    </row>
    <row r="204" spans="1:18" x14ac:dyDescent="0.4">
      <c r="A204" s="62"/>
      <c r="B204" s="61"/>
      <c r="C204" s="64"/>
      <c r="D204" s="64"/>
      <c r="E204" s="73"/>
      <c r="F204" s="64"/>
      <c r="G204" s="64"/>
      <c r="H204" s="64"/>
      <c r="I204" s="13"/>
      <c r="J204" s="66"/>
      <c r="K204" s="66"/>
      <c r="L204" s="67"/>
      <c r="M204" s="64"/>
      <c r="N204" s="61"/>
      <c r="O204" s="64"/>
      <c r="P204" s="12"/>
      <c r="Q204" s="64"/>
      <c r="R204" s="70"/>
    </row>
    <row r="205" spans="1:18" x14ac:dyDescent="0.4">
      <c r="A205" s="62"/>
      <c r="B205" s="61"/>
      <c r="C205" s="64"/>
      <c r="D205" s="64"/>
      <c r="E205" s="73"/>
      <c r="F205" s="64"/>
      <c r="G205" s="64"/>
      <c r="H205" s="64"/>
      <c r="I205" s="13"/>
      <c r="J205" s="66"/>
      <c r="K205" s="66"/>
      <c r="L205" s="67"/>
      <c r="M205" s="64"/>
      <c r="N205" s="61"/>
      <c r="O205" s="64"/>
      <c r="P205" s="12"/>
      <c r="Q205" s="64"/>
      <c r="R205" s="70"/>
    </row>
    <row r="206" spans="1:18" x14ac:dyDescent="0.4">
      <c r="A206" s="62"/>
      <c r="B206" s="61"/>
      <c r="C206" s="64"/>
      <c r="D206" s="64"/>
      <c r="E206" s="73"/>
      <c r="F206" s="64"/>
      <c r="G206" s="64"/>
      <c r="H206" s="64"/>
      <c r="I206" s="13"/>
      <c r="J206" s="66"/>
      <c r="K206" s="66"/>
      <c r="L206" s="67"/>
      <c r="M206" s="64"/>
      <c r="N206" s="61"/>
      <c r="O206" s="64"/>
      <c r="P206" s="12"/>
      <c r="Q206" s="64"/>
      <c r="R206" s="70"/>
    </row>
    <row r="207" spans="1:18" x14ac:dyDescent="0.4">
      <c r="A207" s="62"/>
      <c r="B207" s="61"/>
      <c r="C207" s="64"/>
      <c r="D207" s="64"/>
      <c r="E207" s="73"/>
      <c r="F207" s="64"/>
      <c r="G207" s="64"/>
      <c r="H207" s="64"/>
      <c r="I207" s="13"/>
      <c r="J207" s="66"/>
      <c r="K207" s="66"/>
      <c r="L207" s="67"/>
      <c r="M207" s="64"/>
      <c r="N207" s="61"/>
      <c r="O207" s="64"/>
      <c r="P207" s="12"/>
      <c r="Q207" s="64"/>
      <c r="R207" s="70"/>
    </row>
    <row r="208" spans="1:18" x14ac:dyDescent="0.4">
      <c r="A208" s="62"/>
      <c r="B208" s="61"/>
      <c r="C208" s="64"/>
      <c r="D208" s="71"/>
      <c r="E208" s="71"/>
      <c r="F208" s="64"/>
      <c r="G208" s="64"/>
      <c r="H208" s="64"/>
      <c r="I208" s="13"/>
      <c r="J208" s="66"/>
      <c r="K208" s="66"/>
      <c r="L208" s="67"/>
      <c r="M208" s="64"/>
      <c r="N208" s="61"/>
      <c r="O208" s="64"/>
      <c r="P208" s="12"/>
      <c r="Q208" s="64"/>
      <c r="R208" s="70"/>
    </row>
    <row r="209" spans="1:18" x14ac:dyDescent="0.4">
      <c r="A209" s="62"/>
      <c r="B209" s="61"/>
      <c r="C209" s="64"/>
      <c r="D209" s="64"/>
      <c r="E209" s="73"/>
      <c r="F209" s="64"/>
      <c r="G209" s="64"/>
      <c r="H209" s="64"/>
      <c r="I209" s="13"/>
      <c r="J209" s="66"/>
      <c r="K209" s="66"/>
      <c r="L209" s="67"/>
      <c r="M209" s="64"/>
      <c r="N209" s="61"/>
      <c r="O209" s="64"/>
      <c r="P209" s="12"/>
      <c r="Q209" s="64"/>
      <c r="R209" s="70"/>
    </row>
    <row r="210" spans="1:18" x14ac:dyDescent="0.4">
      <c r="A210" s="62"/>
      <c r="B210" s="61"/>
      <c r="C210" s="64"/>
      <c r="D210" s="64"/>
      <c r="E210" s="64"/>
      <c r="F210" s="64"/>
      <c r="G210" s="64"/>
      <c r="H210" s="64"/>
      <c r="I210" s="13"/>
      <c r="J210" s="66"/>
      <c r="K210" s="66"/>
      <c r="L210" s="67"/>
      <c r="M210" s="64"/>
      <c r="N210" s="61"/>
      <c r="O210" s="64"/>
      <c r="P210" s="12"/>
      <c r="Q210" s="64"/>
      <c r="R210" s="70"/>
    </row>
    <row r="211" spans="1:18" x14ac:dyDescent="0.4">
      <c r="A211" s="62"/>
      <c r="B211" s="61"/>
      <c r="C211" s="64"/>
      <c r="D211" s="64"/>
      <c r="E211" s="64"/>
      <c r="F211" s="64"/>
      <c r="G211" s="64"/>
      <c r="H211" s="64"/>
      <c r="I211" s="13"/>
      <c r="J211" s="66"/>
      <c r="K211" s="66"/>
      <c r="L211" s="67"/>
      <c r="M211" s="64"/>
      <c r="N211" s="61"/>
      <c r="O211" s="64"/>
      <c r="P211" s="12"/>
      <c r="Q211" s="64"/>
      <c r="R211" s="70"/>
    </row>
    <row r="212" spans="1:18" x14ac:dyDescent="0.4">
      <c r="A212" s="64"/>
      <c r="B212" s="61"/>
      <c r="C212" s="64"/>
      <c r="D212" s="64"/>
      <c r="E212" s="64"/>
      <c r="F212" s="64"/>
      <c r="G212" s="64"/>
      <c r="H212" s="64"/>
      <c r="I212" s="13"/>
      <c r="J212" s="66"/>
      <c r="K212" s="66"/>
      <c r="L212" s="67"/>
      <c r="M212" s="64"/>
      <c r="N212" s="12"/>
      <c r="O212" s="12"/>
      <c r="P212" s="12"/>
      <c r="Q212" s="64"/>
      <c r="R212" s="70"/>
    </row>
    <row r="213" spans="1:18" x14ac:dyDescent="0.4">
      <c r="A213" s="64"/>
      <c r="B213" s="61"/>
      <c r="C213" s="64"/>
      <c r="D213" s="64"/>
      <c r="E213" s="64"/>
      <c r="F213" s="64"/>
      <c r="G213" s="64"/>
      <c r="H213" s="64"/>
      <c r="I213" s="13"/>
      <c r="J213" s="66"/>
      <c r="K213" s="66"/>
      <c r="L213" s="67"/>
      <c r="M213" s="64"/>
      <c r="N213" s="12"/>
      <c r="O213" s="12"/>
      <c r="P213" s="12"/>
      <c r="Q213" s="64"/>
      <c r="R213" s="70"/>
    </row>
    <row r="214" spans="1:18" x14ac:dyDescent="0.4">
      <c r="A214" s="64"/>
      <c r="B214" s="61"/>
      <c r="C214" s="64"/>
      <c r="D214" s="64"/>
      <c r="E214" s="64"/>
      <c r="F214" s="64"/>
      <c r="G214" s="64"/>
      <c r="H214" s="64"/>
      <c r="I214" s="13"/>
      <c r="J214" s="66"/>
      <c r="K214" s="66"/>
      <c r="L214" s="67"/>
      <c r="M214" s="64"/>
      <c r="N214" s="12"/>
      <c r="O214" s="12"/>
      <c r="P214" s="12"/>
      <c r="Q214" s="64"/>
      <c r="R214" s="70"/>
    </row>
    <row r="215" spans="1:18" x14ac:dyDescent="0.4">
      <c r="A215" s="64"/>
      <c r="B215" s="61"/>
      <c r="C215" s="64"/>
      <c r="D215" s="64"/>
      <c r="E215" s="64"/>
      <c r="F215" s="64"/>
      <c r="G215" s="64"/>
      <c r="H215" s="64"/>
      <c r="I215" s="13"/>
      <c r="J215" s="66"/>
      <c r="K215" s="66"/>
      <c r="L215" s="67"/>
      <c r="M215" s="64"/>
      <c r="N215" s="12"/>
      <c r="O215" s="12"/>
      <c r="P215" s="12"/>
      <c r="Q215" s="64"/>
      <c r="R215" s="70"/>
    </row>
    <row r="216" spans="1:18" x14ac:dyDescent="0.4">
      <c r="A216" s="64"/>
      <c r="B216" s="61"/>
      <c r="C216" s="64"/>
      <c r="D216" s="64"/>
      <c r="E216" s="64"/>
      <c r="F216" s="64"/>
      <c r="G216" s="64"/>
      <c r="H216" s="64"/>
      <c r="I216" s="13"/>
      <c r="J216" s="66"/>
      <c r="K216" s="66"/>
      <c r="L216" s="67"/>
      <c r="M216" s="64"/>
      <c r="N216" s="12"/>
      <c r="O216" s="12"/>
      <c r="P216" s="12"/>
      <c r="Q216" s="64"/>
      <c r="R216" s="70"/>
    </row>
    <row r="217" spans="1:18" x14ac:dyDescent="0.4">
      <c r="A217" s="64"/>
      <c r="B217" s="61"/>
      <c r="C217" s="64"/>
      <c r="D217" s="64"/>
      <c r="E217" s="64"/>
      <c r="F217" s="64"/>
      <c r="G217" s="64"/>
      <c r="H217" s="64"/>
      <c r="I217" s="13"/>
      <c r="J217" s="66"/>
      <c r="K217" s="66"/>
      <c r="L217" s="67"/>
      <c r="M217" s="64"/>
      <c r="N217" s="12"/>
      <c r="O217" s="12"/>
      <c r="P217" s="12"/>
      <c r="Q217" s="64"/>
      <c r="R217" s="70"/>
    </row>
    <row r="218" spans="1:18" x14ac:dyDescent="0.4">
      <c r="A218" s="64"/>
      <c r="B218" s="61"/>
      <c r="C218" s="64"/>
      <c r="D218" s="64"/>
      <c r="E218" s="64"/>
      <c r="F218" s="64"/>
      <c r="G218" s="64"/>
      <c r="H218" s="64"/>
      <c r="I218" s="13"/>
      <c r="J218" s="66"/>
      <c r="K218" s="66"/>
      <c r="L218" s="67"/>
      <c r="M218" s="64"/>
      <c r="N218" s="12"/>
      <c r="O218" s="12"/>
      <c r="P218" s="12"/>
      <c r="Q218" s="64"/>
      <c r="R218" s="70"/>
    </row>
    <row r="219" spans="1:18" x14ac:dyDescent="0.4">
      <c r="A219" s="64"/>
      <c r="B219" s="61"/>
      <c r="C219" s="64"/>
      <c r="D219" s="64"/>
      <c r="E219" s="64"/>
      <c r="F219" s="60"/>
      <c r="G219" s="64"/>
      <c r="H219" s="64"/>
      <c r="I219" s="13"/>
      <c r="J219" s="66"/>
      <c r="K219" s="66"/>
      <c r="L219" s="67"/>
      <c r="M219" s="64"/>
      <c r="N219" s="12"/>
      <c r="O219" s="12"/>
      <c r="P219" s="12"/>
      <c r="Q219" s="64"/>
      <c r="R219" s="70"/>
    </row>
    <row r="220" spans="1:18" x14ac:dyDescent="0.4">
      <c r="A220" s="64"/>
      <c r="B220" s="61"/>
      <c r="C220" s="64"/>
      <c r="D220" s="64"/>
      <c r="E220" s="64"/>
      <c r="F220" s="64"/>
      <c r="G220" s="64"/>
      <c r="H220" s="64"/>
      <c r="I220" s="13"/>
      <c r="J220" s="66"/>
      <c r="K220" s="66"/>
      <c r="L220" s="67"/>
      <c r="M220" s="64"/>
      <c r="N220" s="12"/>
      <c r="O220" s="12"/>
      <c r="P220" s="12"/>
      <c r="Q220" s="64"/>
      <c r="R220" s="70"/>
    </row>
    <row r="221" spans="1:18" x14ac:dyDescent="0.4">
      <c r="A221" s="64"/>
      <c r="B221" s="61"/>
      <c r="C221" s="64"/>
      <c r="D221" s="64"/>
      <c r="E221" s="64"/>
      <c r="F221" s="64"/>
      <c r="G221" s="64"/>
      <c r="H221" s="64"/>
      <c r="I221" s="13"/>
      <c r="J221" s="66"/>
      <c r="K221" s="66"/>
      <c r="L221" s="67"/>
      <c r="M221" s="64"/>
      <c r="N221" s="12"/>
      <c r="O221" s="12"/>
      <c r="P221" s="12"/>
      <c r="Q221" s="64"/>
      <c r="R221" s="70"/>
    </row>
    <row r="222" spans="1:18" x14ac:dyDescent="0.4">
      <c r="A222" s="64"/>
      <c r="B222" s="61"/>
      <c r="C222" s="64"/>
      <c r="D222" s="64"/>
      <c r="E222" s="64"/>
      <c r="F222" s="64"/>
      <c r="G222" s="64"/>
      <c r="H222" s="64"/>
      <c r="I222" s="13"/>
      <c r="J222" s="66"/>
      <c r="K222" s="66"/>
      <c r="L222" s="67"/>
      <c r="M222" s="64"/>
      <c r="N222" s="12"/>
      <c r="O222" s="12"/>
      <c r="P222" s="12"/>
      <c r="Q222" s="64"/>
      <c r="R222" s="70"/>
    </row>
    <row r="223" spans="1:18" x14ac:dyDescent="0.4">
      <c r="A223" s="64"/>
      <c r="B223" s="61"/>
      <c r="C223" s="64"/>
      <c r="D223" s="64"/>
      <c r="E223" s="64"/>
      <c r="F223" s="64"/>
      <c r="G223" s="64"/>
      <c r="H223" s="64"/>
      <c r="I223" s="13"/>
      <c r="J223" s="66"/>
      <c r="K223" s="66"/>
      <c r="L223" s="67"/>
      <c r="M223" s="64"/>
      <c r="N223" s="12"/>
      <c r="O223" s="12"/>
      <c r="P223" s="12"/>
      <c r="Q223" s="64"/>
      <c r="R223" s="70"/>
    </row>
    <row r="224" spans="1:18" x14ac:dyDescent="0.4">
      <c r="A224" s="64"/>
      <c r="B224" s="61"/>
      <c r="C224" s="64"/>
      <c r="D224" s="64"/>
      <c r="E224" s="64"/>
      <c r="F224" s="60"/>
      <c r="G224" s="64"/>
      <c r="H224" s="64"/>
      <c r="I224" s="13"/>
      <c r="J224" s="66"/>
      <c r="K224" s="66"/>
      <c r="L224" s="67"/>
      <c r="M224" s="64"/>
      <c r="N224" s="12"/>
      <c r="O224" s="12"/>
      <c r="P224" s="12"/>
      <c r="Q224" s="60"/>
      <c r="R224" s="70"/>
    </row>
    <row r="225" spans="1:18" x14ac:dyDescent="0.4">
      <c r="A225" s="64"/>
      <c r="B225" s="61"/>
      <c r="C225" s="64"/>
      <c r="D225" s="64"/>
      <c r="E225" s="64"/>
      <c r="F225" s="64"/>
      <c r="G225" s="64"/>
      <c r="H225" s="64"/>
      <c r="I225" s="13"/>
      <c r="J225" s="66"/>
      <c r="K225" s="66"/>
      <c r="L225" s="67"/>
      <c r="M225" s="64"/>
      <c r="N225" s="12"/>
      <c r="O225" s="12"/>
      <c r="P225" s="12"/>
      <c r="Q225" s="60"/>
      <c r="R225" s="70"/>
    </row>
    <row r="226" spans="1:18" x14ac:dyDescent="0.4">
      <c r="A226" s="64"/>
      <c r="B226" s="61"/>
      <c r="C226" s="64"/>
      <c r="D226" s="64"/>
      <c r="E226" s="64"/>
      <c r="F226" s="64"/>
      <c r="G226" s="64"/>
      <c r="H226" s="64"/>
      <c r="I226" s="13"/>
      <c r="J226" s="66"/>
      <c r="K226" s="66"/>
      <c r="L226" s="67"/>
      <c r="M226" s="64"/>
      <c r="N226" s="12"/>
      <c r="O226" s="12"/>
      <c r="P226" s="12"/>
      <c r="Q226" s="64"/>
      <c r="R226" s="70"/>
    </row>
    <row r="227" spans="1:18" x14ac:dyDescent="0.4">
      <c r="A227" s="64"/>
      <c r="B227" s="61"/>
      <c r="C227" s="64"/>
      <c r="D227" s="64"/>
      <c r="E227" s="64"/>
      <c r="F227" s="64"/>
      <c r="G227" s="64"/>
      <c r="H227" s="64"/>
      <c r="I227" s="13"/>
      <c r="J227" s="66"/>
      <c r="K227" s="66"/>
      <c r="L227" s="67"/>
      <c r="M227" s="64"/>
      <c r="N227" s="12"/>
      <c r="O227" s="12"/>
      <c r="P227" s="12"/>
      <c r="Q227" s="64"/>
      <c r="R227" s="70"/>
    </row>
    <row r="228" spans="1:18" x14ac:dyDescent="0.4">
      <c r="A228" s="64"/>
      <c r="B228" s="61"/>
      <c r="C228" s="64"/>
      <c r="D228" s="64"/>
      <c r="E228" s="64"/>
      <c r="F228" s="64"/>
      <c r="G228" s="64"/>
      <c r="H228" s="64"/>
      <c r="I228" s="13"/>
      <c r="J228" s="66"/>
      <c r="K228" s="66"/>
      <c r="L228" s="67"/>
      <c r="M228" s="64"/>
      <c r="N228" s="12"/>
      <c r="O228" s="12"/>
      <c r="P228" s="12"/>
      <c r="Q228" s="64"/>
      <c r="R228" s="70"/>
    </row>
    <row r="229" spans="1:18" x14ac:dyDescent="0.4">
      <c r="A229" s="64"/>
      <c r="B229" s="61"/>
      <c r="C229" s="64"/>
      <c r="D229" s="64"/>
      <c r="E229" s="64"/>
      <c r="F229" s="64"/>
      <c r="G229" s="64"/>
      <c r="H229" s="64"/>
      <c r="I229" s="13"/>
      <c r="J229" s="66"/>
      <c r="K229" s="66"/>
      <c r="L229" s="67"/>
      <c r="M229" s="64"/>
      <c r="N229" s="12"/>
      <c r="O229" s="12"/>
      <c r="P229" s="12"/>
      <c r="Q229" s="64"/>
      <c r="R229" s="70"/>
    </row>
    <row r="230" spans="1:18" x14ac:dyDescent="0.4">
      <c r="A230" s="64"/>
      <c r="B230" s="61"/>
      <c r="C230" s="64"/>
      <c r="D230" s="64"/>
      <c r="E230" s="64"/>
      <c r="F230" s="64"/>
      <c r="G230" s="64"/>
      <c r="H230" s="64"/>
      <c r="I230" s="13"/>
      <c r="J230" s="66"/>
      <c r="K230" s="66"/>
      <c r="L230" s="67"/>
      <c r="M230" s="64"/>
      <c r="N230" s="12"/>
      <c r="O230" s="12"/>
      <c r="P230" s="12"/>
      <c r="Q230" s="64"/>
      <c r="R230" s="70"/>
    </row>
    <row r="231" spans="1:18" x14ac:dyDescent="0.4">
      <c r="A231" s="64"/>
      <c r="B231" s="61"/>
      <c r="C231" s="64"/>
      <c r="D231" s="64"/>
      <c r="E231" s="64"/>
      <c r="F231" s="64"/>
      <c r="G231" s="64"/>
      <c r="H231" s="64"/>
      <c r="I231" s="13"/>
      <c r="J231" s="66"/>
      <c r="K231" s="66"/>
      <c r="L231" s="67"/>
      <c r="M231" s="64"/>
      <c r="N231" s="12"/>
      <c r="O231" s="12"/>
      <c r="P231" s="12"/>
      <c r="Q231" s="64"/>
      <c r="R231" s="70"/>
    </row>
    <row r="232" spans="1:18" x14ac:dyDescent="0.4">
      <c r="A232" s="64"/>
      <c r="B232" s="61"/>
      <c r="C232" s="64"/>
      <c r="D232" s="64"/>
      <c r="E232" s="64"/>
      <c r="F232" s="64"/>
      <c r="G232" s="64"/>
      <c r="H232" s="64"/>
      <c r="I232" s="13"/>
      <c r="J232" s="66"/>
      <c r="K232" s="66"/>
      <c r="L232" s="67"/>
      <c r="M232" s="64"/>
      <c r="N232" s="12"/>
      <c r="O232" s="12"/>
      <c r="P232" s="12"/>
      <c r="Q232" s="64"/>
      <c r="R232" s="70"/>
    </row>
    <row r="233" spans="1:18" x14ac:dyDescent="0.4">
      <c r="A233" s="64"/>
      <c r="B233" s="61"/>
      <c r="C233" s="64"/>
      <c r="D233" s="64"/>
      <c r="E233" s="64"/>
      <c r="F233" s="64"/>
      <c r="G233" s="64"/>
      <c r="H233" s="64"/>
      <c r="I233" s="13"/>
      <c r="J233" s="66"/>
      <c r="K233" s="66"/>
      <c r="L233" s="67"/>
      <c r="M233" s="64"/>
      <c r="N233" s="12"/>
      <c r="O233" s="12"/>
      <c r="P233" s="12"/>
      <c r="Q233" s="64"/>
      <c r="R233" s="70"/>
    </row>
    <row r="234" spans="1:18" x14ac:dyDescent="0.4">
      <c r="A234" s="64"/>
      <c r="B234" s="61"/>
      <c r="C234" s="64"/>
      <c r="D234" s="64"/>
      <c r="E234" s="64"/>
      <c r="F234" s="64"/>
      <c r="G234" s="64"/>
      <c r="H234" s="64"/>
      <c r="I234" s="13"/>
      <c r="J234" s="66"/>
      <c r="K234" s="66"/>
      <c r="L234" s="67"/>
      <c r="M234" s="64"/>
      <c r="N234" s="12"/>
      <c r="O234" s="12"/>
      <c r="P234" s="12"/>
      <c r="Q234" s="64"/>
      <c r="R234" s="70"/>
    </row>
    <row r="235" spans="1:18" x14ac:dyDescent="0.4">
      <c r="A235" s="64"/>
      <c r="B235" s="61"/>
      <c r="C235" s="64"/>
      <c r="D235" s="64"/>
      <c r="E235" s="64"/>
      <c r="F235" s="64"/>
      <c r="G235" s="64"/>
      <c r="H235" s="64"/>
      <c r="I235" s="13"/>
      <c r="J235" s="66"/>
      <c r="K235" s="66"/>
      <c r="L235" s="67"/>
      <c r="M235" s="64"/>
      <c r="N235" s="12"/>
      <c r="O235" s="12"/>
      <c r="P235" s="12"/>
      <c r="Q235" s="64"/>
      <c r="R235" s="70"/>
    </row>
    <row r="236" spans="1:18" x14ac:dyDescent="0.4">
      <c r="A236" s="64"/>
      <c r="B236" s="61"/>
      <c r="C236" s="64"/>
      <c r="D236" s="64"/>
      <c r="E236" s="64"/>
      <c r="F236" s="64"/>
      <c r="G236" s="64"/>
      <c r="H236" s="64"/>
      <c r="I236" s="13"/>
      <c r="J236" s="66"/>
      <c r="K236" s="66"/>
      <c r="L236" s="67"/>
      <c r="M236" s="64"/>
      <c r="N236" s="12"/>
      <c r="O236" s="12"/>
      <c r="P236" s="12"/>
      <c r="Q236" s="64"/>
      <c r="R236" s="70"/>
    </row>
    <row r="237" spans="1:18" x14ac:dyDescent="0.4">
      <c r="A237" s="64"/>
      <c r="B237" s="61"/>
      <c r="C237" s="64"/>
      <c r="D237" s="64"/>
      <c r="E237" s="64"/>
      <c r="F237" s="64"/>
      <c r="G237" s="64"/>
      <c r="H237" s="64"/>
      <c r="I237" s="13"/>
      <c r="J237" s="66"/>
      <c r="K237" s="66"/>
      <c r="L237" s="67"/>
      <c r="M237" s="64"/>
      <c r="N237" s="12"/>
      <c r="O237" s="12"/>
      <c r="P237" s="12"/>
      <c r="Q237" s="64"/>
      <c r="R237" s="12"/>
    </row>
    <row r="238" spans="1:18" x14ac:dyDescent="0.4">
      <c r="A238" s="64"/>
      <c r="B238" s="61"/>
      <c r="C238" s="64"/>
      <c r="D238" s="64"/>
      <c r="E238" s="64"/>
      <c r="F238" s="64"/>
      <c r="G238" s="64"/>
      <c r="H238" s="64"/>
      <c r="I238" s="13"/>
      <c r="J238" s="66"/>
      <c r="K238" s="66"/>
      <c r="L238" s="67"/>
      <c r="M238" s="64"/>
      <c r="N238" s="12"/>
      <c r="O238" s="12"/>
      <c r="P238" s="12"/>
      <c r="Q238" s="64"/>
      <c r="R238" s="12"/>
    </row>
    <row r="239" spans="1:18" x14ac:dyDescent="0.4">
      <c r="A239" s="64"/>
      <c r="B239" s="61"/>
      <c r="C239" s="64"/>
      <c r="D239" s="64"/>
      <c r="E239" s="64"/>
      <c r="F239" s="64"/>
      <c r="G239" s="64"/>
      <c r="H239" s="64"/>
      <c r="I239" s="13"/>
      <c r="J239" s="66"/>
      <c r="K239" s="66"/>
      <c r="L239" s="67"/>
      <c r="M239" s="64"/>
      <c r="N239" s="12"/>
      <c r="O239" s="12"/>
      <c r="P239" s="12"/>
      <c r="Q239" s="64"/>
      <c r="R239" s="12"/>
    </row>
    <row r="240" spans="1:18" x14ac:dyDescent="0.4">
      <c r="A240" s="64"/>
      <c r="B240" s="61"/>
      <c r="C240" s="64"/>
      <c r="D240" s="64"/>
      <c r="E240" s="64"/>
      <c r="F240" s="64"/>
      <c r="G240" s="64"/>
      <c r="H240" s="64"/>
      <c r="I240" s="13"/>
      <c r="J240" s="66"/>
      <c r="K240" s="66"/>
      <c r="L240" s="67"/>
      <c r="M240" s="64"/>
      <c r="N240" s="12"/>
      <c r="O240" s="12"/>
      <c r="P240" s="12"/>
      <c r="Q240" s="64"/>
      <c r="R240" s="12"/>
    </row>
    <row r="241" spans="1:18" x14ac:dyDescent="0.4">
      <c r="A241" s="64"/>
      <c r="B241" s="61"/>
      <c r="C241" s="64"/>
      <c r="D241" s="64"/>
      <c r="E241" s="64"/>
      <c r="F241" s="64"/>
      <c r="G241" s="64"/>
      <c r="H241" s="64"/>
      <c r="I241" s="13"/>
      <c r="J241" s="66"/>
      <c r="K241" s="66"/>
      <c r="L241" s="67"/>
      <c r="M241" s="64"/>
      <c r="N241" s="12"/>
      <c r="O241" s="12"/>
      <c r="P241" s="12"/>
      <c r="Q241" s="64"/>
      <c r="R241" s="12"/>
    </row>
    <row r="242" spans="1:18" x14ac:dyDescent="0.4">
      <c r="A242" s="64"/>
      <c r="B242" s="61"/>
      <c r="C242" s="64"/>
      <c r="D242" s="64"/>
      <c r="E242" s="64"/>
      <c r="F242" s="64"/>
      <c r="G242" s="64"/>
      <c r="H242" s="64"/>
      <c r="I242" s="13"/>
      <c r="J242" s="66"/>
      <c r="K242" s="66"/>
      <c r="L242" s="67"/>
      <c r="M242" s="64"/>
      <c r="N242" s="12"/>
      <c r="O242" s="12"/>
      <c r="P242" s="12"/>
      <c r="Q242" s="64"/>
      <c r="R242" s="12"/>
    </row>
    <row r="243" spans="1:18" x14ac:dyDescent="0.4">
      <c r="A243" s="64"/>
      <c r="B243" s="61"/>
      <c r="C243" s="64"/>
      <c r="D243" s="64"/>
      <c r="E243" s="64"/>
      <c r="F243" s="64"/>
      <c r="G243" s="64"/>
      <c r="H243" s="64"/>
      <c r="I243" s="13"/>
      <c r="J243" s="66"/>
      <c r="K243" s="66"/>
      <c r="L243" s="67"/>
      <c r="M243" s="64"/>
      <c r="N243" s="12"/>
      <c r="O243" s="12"/>
      <c r="P243" s="12"/>
      <c r="Q243" s="64"/>
      <c r="R243" s="12"/>
    </row>
    <row r="244" spans="1:18" x14ac:dyDescent="0.4">
      <c r="A244" s="64"/>
      <c r="B244" s="64"/>
      <c r="C244" s="64"/>
      <c r="D244" s="64"/>
      <c r="E244" s="64"/>
      <c r="F244" s="64"/>
      <c r="G244" s="64"/>
      <c r="H244" s="64"/>
      <c r="I244" s="13"/>
      <c r="J244" s="66"/>
      <c r="K244" s="66"/>
      <c r="L244" s="67"/>
      <c r="M244" s="64"/>
      <c r="N244" s="12"/>
      <c r="O244" s="12"/>
      <c r="P244" s="12"/>
      <c r="Q244" s="64"/>
      <c r="R244" s="12"/>
    </row>
    <row r="245" spans="1:18" x14ac:dyDescent="0.4">
      <c r="A245" s="64"/>
      <c r="B245" s="64"/>
      <c r="C245" s="64"/>
      <c r="D245" s="64"/>
      <c r="E245" s="64"/>
      <c r="F245" s="64"/>
      <c r="G245" s="64"/>
      <c r="H245" s="64"/>
      <c r="I245" s="13"/>
      <c r="J245" s="66"/>
      <c r="K245" s="66"/>
      <c r="L245" s="67"/>
      <c r="M245" s="64"/>
      <c r="N245" s="12"/>
      <c r="O245" s="12"/>
      <c r="P245" s="12"/>
      <c r="Q245" s="64"/>
      <c r="R245" s="12"/>
    </row>
    <row r="246" spans="1:18" x14ac:dyDescent="0.4">
      <c r="A246" s="64"/>
      <c r="B246" s="64"/>
      <c r="C246" s="64"/>
      <c r="D246" s="64"/>
      <c r="E246" s="64"/>
      <c r="F246" s="64"/>
      <c r="G246" s="64"/>
      <c r="H246" s="64"/>
      <c r="I246" s="13"/>
      <c r="J246" s="66"/>
      <c r="K246" s="66"/>
      <c r="L246" s="67"/>
      <c r="M246" s="64"/>
      <c r="N246" s="12"/>
      <c r="O246" s="12"/>
      <c r="P246" s="12"/>
      <c r="Q246" s="64"/>
      <c r="R246" s="12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F3:F77 F79:F153 F165:F1048576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Z24"/>
  <sheetViews>
    <sheetView showGridLines="0" zoomScale="85" zoomScaleNormal="85" workbookViewId="0">
      <selection activeCell="E21" sqref="E21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56.3984375" customWidth="1"/>
    <col min="15" max="15" width="18.59765625" customWidth="1"/>
    <col min="16" max="16" width="10.59765625" customWidth="1"/>
    <col min="17" max="18" width="13.8984375" hidden="1" customWidth="1"/>
    <col min="19" max="19" width="16" hidden="1" customWidth="1"/>
    <col min="20" max="20" width="8.19921875" hidden="1" customWidth="1"/>
    <col min="21" max="21" width="8.69921875" hidden="1" customWidth="1"/>
    <col min="22" max="22" width="21.8984375" bestFit="1" customWidth="1"/>
    <col min="23" max="23" width="13.8984375" bestFit="1" customWidth="1"/>
    <col min="24" max="24" width="12.19921875" bestFit="1" customWidth="1"/>
  </cols>
  <sheetData>
    <row r="2" spans="2:26" ht="18" thickBot="1" x14ac:dyDescent="0.45"/>
    <row r="3" spans="2:26" ht="17.399999999999999" customHeight="1" x14ac:dyDescent="0.4">
      <c r="B3" s="335" t="s">
        <v>439</v>
      </c>
      <c r="C3" s="338" t="s">
        <v>717</v>
      </c>
      <c r="D3" s="341" t="s">
        <v>716</v>
      </c>
      <c r="E3" s="344" t="s">
        <v>715</v>
      </c>
      <c r="F3" s="345"/>
      <c r="G3" s="345"/>
      <c r="H3" s="345"/>
      <c r="I3" s="345"/>
      <c r="J3" s="345"/>
      <c r="K3" s="345"/>
      <c r="L3" s="346"/>
      <c r="M3" s="347" t="s">
        <v>386</v>
      </c>
      <c r="N3" s="350" t="s">
        <v>387</v>
      </c>
      <c r="O3" s="351" t="s">
        <v>388</v>
      </c>
    </row>
    <row r="4" spans="2:26" ht="18" customHeight="1" thickBot="1" x14ac:dyDescent="0.45">
      <c r="B4" s="336"/>
      <c r="C4" s="339"/>
      <c r="D4" s="342"/>
      <c r="E4" s="352" t="s">
        <v>389</v>
      </c>
      <c r="F4" s="352"/>
      <c r="G4" s="352"/>
      <c r="H4" s="353"/>
      <c r="I4" s="354" t="s">
        <v>390</v>
      </c>
      <c r="J4" s="352"/>
      <c r="K4" s="352"/>
      <c r="L4" s="353"/>
      <c r="M4" s="348"/>
      <c r="N4" s="348"/>
      <c r="O4" s="336"/>
      <c r="P4" s="89"/>
      <c r="Q4" s="194" t="s">
        <v>540</v>
      </c>
      <c r="R4" s="79"/>
      <c r="S4" s="195"/>
      <c r="T4" s="79"/>
      <c r="U4" s="79"/>
      <c r="V4" s="194" t="s">
        <v>738</v>
      </c>
      <c r="W4" s="79"/>
      <c r="X4" s="195"/>
      <c r="Y4" s="79"/>
      <c r="Z4" s="79"/>
    </row>
    <row r="5" spans="2:26" x14ac:dyDescent="0.4">
      <c r="B5" s="337"/>
      <c r="C5" s="340"/>
      <c r="D5" s="343"/>
      <c r="E5" s="90" t="s">
        <v>391</v>
      </c>
      <c r="F5" s="91" t="s">
        <v>392</v>
      </c>
      <c r="G5" s="92" t="s">
        <v>393</v>
      </c>
      <c r="H5" s="93" t="s">
        <v>394</v>
      </c>
      <c r="I5" s="94" t="s">
        <v>391</v>
      </c>
      <c r="J5" s="91" t="s">
        <v>315</v>
      </c>
      <c r="K5" s="92" t="s">
        <v>393</v>
      </c>
      <c r="L5" s="93" t="s">
        <v>394</v>
      </c>
      <c r="M5" s="349"/>
      <c r="N5" s="349"/>
      <c r="O5" s="337"/>
      <c r="P5" s="89" t="s">
        <v>395</v>
      </c>
      <c r="Q5" s="196" t="s">
        <v>536</v>
      </c>
      <c r="R5" s="197" t="s">
        <v>315</v>
      </c>
      <c r="S5" s="197" t="s">
        <v>537</v>
      </c>
      <c r="T5" s="332" t="s">
        <v>538</v>
      </c>
      <c r="U5" s="333"/>
      <c r="V5" s="196" t="s">
        <v>614</v>
      </c>
      <c r="W5" s="213" t="s">
        <v>615</v>
      </c>
      <c r="X5" s="213" t="s">
        <v>616</v>
      </c>
      <c r="Y5" s="332" t="s">
        <v>538</v>
      </c>
      <c r="Z5" s="333"/>
    </row>
    <row r="6" spans="2:26" ht="30" customHeight="1" x14ac:dyDescent="0.4">
      <c r="B6" s="234" t="s">
        <v>138</v>
      </c>
      <c r="C6" s="96">
        <v>4564168298</v>
      </c>
      <c r="D6" s="97"/>
      <c r="E6" s="98">
        <v>3957559730</v>
      </c>
      <c r="F6" s="99">
        <v>2873559730</v>
      </c>
      <c r="G6" s="100">
        <v>338000000</v>
      </c>
      <c r="H6" s="101">
        <v>746000000</v>
      </c>
      <c r="I6" s="102">
        <f t="shared" ref="I6:I11" si="0">SUM(J6:L6)</f>
        <v>3957559730</v>
      </c>
      <c r="J6" s="103">
        <v>2873559730</v>
      </c>
      <c r="K6" s="104">
        <v>338000000</v>
      </c>
      <c r="L6" s="105">
        <v>746000000</v>
      </c>
      <c r="M6" s="106">
        <f>J6-F6</f>
        <v>0</v>
      </c>
      <c r="N6" s="107">
        <f>'26년 databook(취합)'!AE4</f>
        <v>0</v>
      </c>
      <c r="O6" s="108" t="e">
        <f t="shared" ref="O6:O11" si="1">J6/D6</f>
        <v>#DIV/0!</v>
      </c>
      <c r="P6" s="109"/>
      <c r="Q6" s="198" t="s">
        <v>276</v>
      </c>
      <c r="R6" s="199"/>
      <c r="S6" s="199"/>
      <c r="T6" s="334">
        <f>SUM(R6:S6)</f>
        <v>0</v>
      </c>
      <c r="U6" s="329"/>
      <c r="V6" s="198"/>
      <c r="W6" s="214"/>
      <c r="X6" s="214"/>
      <c r="Y6" s="334"/>
      <c r="Z6" s="329"/>
    </row>
    <row r="7" spans="2:26" ht="31.2" customHeight="1" x14ac:dyDescent="0.4">
      <c r="B7" s="234" t="s">
        <v>159</v>
      </c>
      <c r="C7" s="96">
        <v>3905376887</v>
      </c>
      <c r="D7" s="97"/>
      <c r="E7" s="98">
        <v>4467839442</v>
      </c>
      <c r="F7" s="99">
        <v>3081839442</v>
      </c>
      <c r="G7" s="100">
        <v>1256000000</v>
      </c>
      <c r="H7" s="101">
        <v>130000000</v>
      </c>
      <c r="I7" s="102">
        <f t="shared" si="0"/>
        <v>4467839442</v>
      </c>
      <c r="J7" s="103">
        <v>3081839442</v>
      </c>
      <c r="K7" s="104">
        <v>1256000000</v>
      </c>
      <c r="L7" s="105">
        <v>130000000</v>
      </c>
      <c r="M7" s="106">
        <f t="shared" ref="M7:M15" si="2">J7-F7</f>
        <v>0</v>
      </c>
      <c r="N7" s="107">
        <f>'26년 databook(취합)'!AE5</f>
        <v>0</v>
      </c>
      <c r="O7" s="108" t="e">
        <f t="shared" si="1"/>
        <v>#DIV/0!</v>
      </c>
      <c r="P7" s="109"/>
      <c r="Q7" s="198" t="s">
        <v>138</v>
      </c>
      <c r="R7" s="199"/>
      <c r="S7" s="199"/>
      <c r="T7" s="329">
        <f t="shared" ref="T7:T15" si="3">SUM(R7:S7)</f>
        <v>0</v>
      </c>
      <c r="U7" s="330"/>
      <c r="V7" s="198"/>
      <c r="W7" s="214"/>
      <c r="X7" s="214"/>
      <c r="Y7" s="329"/>
      <c r="Z7" s="330"/>
    </row>
    <row r="8" spans="2:26" ht="31.2" customHeight="1" x14ac:dyDescent="0.4">
      <c r="B8" s="234" t="s">
        <v>196</v>
      </c>
      <c r="C8" s="96">
        <v>2165726150</v>
      </c>
      <c r="D8" s="97"/>
      <c r="E8" s="98">
        <v>3408240800</v>
      </c>
      <c r="F8" s="99">
        <v>1625030800</v>
      </c>
      <c r="G8" s="100">
        <v>659210000</v>
      </c>
      <c r="H8" s="101">
        <v>1124000000</v>
      </c>
      <c r="I8" s="102">
        <f t="shared" si="0"/>
        <v>3408240800</v>
      </c>
      <c r="J8" s="103">
        <v>1625030800</v>
      </c>
      <c r="K8" s="104">
        <v>659210000</v>
      </c>
      <c r="L8" s="105">
        <v>1124000000</v>
      </c>
      <c r="M8" s="106">
        <f t="shared" si="2"/>
        <v>0</v>
      </c>
      <c r="N8" s="107">
        <f>'26년 databook(취합)'!AE6</f>
        <v>0</v>
      </c>
      <c r="O8" s="108" t="e">
        <f t="shared" si="1"/>
        <v>#DIV/0!</v>
      </c>
      <c r="P8" s="109"/>
      <c r="Q8" s="198" t="s">
        <v>184</v>
      </c>
      <c r="R8" s="199"/>
      <c r="S8" s="199"/>
      <c r="T8" s="329">
        <f t="shared" si="3"/>
        <v>0</v>
      </c>
      <c r="U8" s="330"/>
      <c r="V8" s="198"/>
      <c r="W8" s="214"/>
      <c r="X8" s="214"/>
      <c r="Y8" s="329"/>
      <c r="Z8" s="330"/>
    </row>
    <row r="9" spans="2:26" ht="31.2" customHeight="1" x14ac:dyDescent="0.4">
      <c r="B9" s="234" t="s">
        <v>229</v>
      </c>
      <c r="C9" s="96">
        <v>3157582798</v>
      </c>
      <c r="D9" s="97"/>
      <c r="E9" s="98">
        <v>3678965819</v>
      </c>
      <c r="F9" s="99">
        <v>2441965819</v>
      </c>
      <c r="G9" s="100">
        <v>866000000</v>
      </c>
      <c r="H9" s="101">
        <v>371000000</v>
      </c>
      <c r="I9" s="102">
        <f t="shared" si="0"/>
        <v>3678965819</v>
      </c>
      <c r="J9" s="111">
        <v>2441965819</v>
      </c>
      <c r="K9" s="112">
        <v>866000000</v>
      </c>
      <c r="L9" s="113">
        <v>371000000</v>
      </c>
      <c r="M9" s="106">
        <f t="shared" si="2"/>
        <v>0</v>
      </c>
      <c r="N9" s="107">
        <f>'26년 databook(취합)'!AE7</f>
        <v>0</v>
      </c>
      <c r="O9" s="108" t="e">
        <f t="shared" si="1"/>
        <v>#DIV/0!</v>
      </c>
      <c r="P9" s="109"/>
      <c r="Q9" s="198" t="s">
        <v>193</v>
      </c>
      <c r="R9" s="199"/>
      <c r="S9" s="199"/>
      <c r="T9" s="329">
        <f t="shared" si="3"/>
        <v>0</v>
      </c>
      <c r="U9" s="330"/>
      <c r="V9" s="198"/>
      <c r="W9" s="214"/>
      <c r="X9" s="214"/>
      <c r="Y9" s="329"/>
      <c r="Z9" s="330"/>
    </row>
    <row r="10" spans="2:26" ht="31.2" customHeight="1" x14ac:dyDescent="0.4">
      <c r="B10" s="234" t="s">
        <v>249</v>
      </c>
      <c r="C10" s="96">
        <v>1922120632</v>
      </c>
      <c r="D10" s="97"/>
      <c r="E10" s="98">
        <v>2439980836</v>
      </c>
      <c r="F10" s="99">
        <v>1847980836</v>
      </c>
      <c r="G10" s="100">
        <v>400000000</v>
      </c>
      <c r="H10" s="101">
        <v>192000000</v>
      </c>
      <c r="I10" s="102">
        <f t="shared" si="0"/>
        <v>2439980836</v>
      </c>
      <c r="J10" s="103">
        <v>1847980836</v>
      </c>
      <c r="K10" s="104">
        <v>400000000</v>
      </c>
      <c r="L10" s="105">
        <v>192000000</v>
      </c>
      <c r="M10" s="106">
        <f t="shared" si="2"/>
        <v>0</v>
      </c>
      <c r="N10" s="107">
        <f>'26년 databook(취합)'!AE8</f>
        <v>0</v>
      </c>
      <c r="O10" s="108" t="e">
        <f t="shared" si="1"/>
        <v>#DIV/0!</v>
      </c>
      <c r="P10" s="109"/>
      <c r="Q10" s="198" t="s">
        <v>196</v>
      </c>
      <c r="R10" s="199">
        <v>210000000</v>
      </c>
      <c r="S10" s="199">
        <v>20000000</v>
      </c>
      <c r="T10" s="329">
        <f t="shared" si="3"/>
        <v>230000000</v>
      </c>
      <c r="U10" s="330"/>
      <c r="V10" s="198"/>
      <c r="W10" s="214"/>
      <c r="X10" s="214"/>
      <c r="Y10" s="329"/>
      <c r="Z10" s="330"/>
    </row>
    <row r="11" spans="2:26" ht="31.2" customHeight="1" x14ac:dyDescent="0.4">
      <c r="B11" s="234" t="s">
        <v>689</v>
      </c>
      <c r="C11" s="96">
        <v>1301749628</v>
      </c>
      <c r="D11" s="97"/>
      <c r="E11" s="98">
        <v>1329105673</v>
      </c>
      <c r="F11" s="99">
        <v>909105673</v>
      </c>
      <c r="G11" s="100">
        <v>213000000</v>
      </c>
      <c r="H11" s="101">
        <v>207000000</v>
      </c>
      <c r="I11" s="102">
        <f t="shared" si="0"/>
        <v>1329105673</v>
      </c>
      <c r="J11" s="103">
        <v>909105673</v>
      </c>
      <c r="K11" s="104">
        <v>213000000</v>
      </c>
      <c r="L11" s="105">
        <v>207000000</v>
      </c>
      <c r="M11" s="106">
        <f t="shared" si="2"/>
        <v>0</v>
      </c>
      <c r="N11" s="107">
        <f>'26년 databook(취합)'!AE9</f>
        <v>0</v>
      </c>
      <c r="O11" s="108" t="e">
        <f t="shared" si="1"/>
        <v>#DIV/0!</v>
      </c>
      <c r="P11" s="109"/>
      <c r="Q11" s="198" t="s">
        <v>102</v>
      </c>
      <c r="R11" s="199">
        <v>111000000</v>
      </c>
      <c r="S11" s="199">
        <v>776900000</v>
      </c>
      <c r="T11" s="329">
        <f t="shared" si="3"/>
        <v>887900000</v>
      </c>
      <c r="U11" s="330"/>
      <c r="V11" s="198"/>
      <c r="W11" s="214"/>
      <c r="X11" s="214"/>
      <c r="Y11" s="329"/>
      <c r="Z11" s="330"/>
    </row>
    <row r="12" spans="2:26" ht="31.2" customHeight="1" x14ac:dyDescent="0.4">
      <c r="B12" s="234" t="s">
        <v>729</v>
      </c>
      <c r="C12" s="96">
        <v>518891837</v>
      </c>
      <c r="D12" s="97"/>
      <c r="E12" s="98"/>
      <c r="F12" s="99">
        <v>230427986</v>
      </c>
      <c r="G12" s="100">
        <v>168010000</v>
      </c>
      <c r="H12" s="101">
        <v>59500000</v>
      </c>
      <c r="I12" s="102"/>
      <c r="J12" s="111">
        <v>230427986</v>
      </c>
      <c r="K12" s="193">
        <v>168010000</v>
      </c>
      <c r="L12" s="168">
        <v>59500000</v>
      </c>
      <c r="M12" s="106">
        <f t="shared" si="2"/>
        <v>0</v>
      </c>
      <c r="N12" s="107">
        <f>'26년 databook(취합)'!AE10</f>
        <v>0</v>
      </c>
      <c r="O12" s="108" t="e">
        <f>J13/D13</f>
        <v>#DIV/0!</v>
      </c>
      <c r="P12" s="109"/>
      <c r="Q12" s="198" t="s">
        <v>223</v>
      </c>
      <c r="R12" s="199">
        <v>53100000</v>
      </c>
      <c r="S12" s="199"/>
      <c r="T12" s="329">
        <f t="shared" si="3"/>
        <v>53100000</v>
      </c>
      <c r="U12" s="330"/>
      <c r="V12" s="198"/>
      <c r="W12" s="214"/>
      <c r="X12" s="214"/>
      <c r="Y12" s="329"/>
      <c r="Z12" s="330"/>
    </row>
    <row r="13" spans="2:26" ht="31.2" customHeight="1" x14ac:dyDescent="0.4">
      <c r="B13" s="234" t="s">
        <v>735</v>
      </c>
      <c r="C13" s="96">
        <v>1937179977</v>
      </c>
      <c r="D13" s="97"/>
      <c r="E13" s="98">
        <v>3285580925</v>
      </c>
      <c r="F13" s="99">
        <v>1497080925</v>
      </c>
      <c r="G13" s="100">
        <v>327500000</v>
      </c>
      <c r="H13" s="101">
        <v>1461000000</v>
      </c>
      <c r="I13" s="102">
        <f>SUM(J13:L13)</f>
        <v>3285580925</v>
      </c>
      <c r="J13" s="111">
        <v>1497080925</v>
      </c>
      <c r="K13" s="193">
        <v>327500000</v>
      </c>
      <c r="L13" s="168">
        <v>1461000000</v>
      </c>
      <c r="M13" s="106">
        <f t="shared" si="2"/>
        <v>0</v>
      </c>
      <c r="N13" s="107">
        <f>'26년 databook(취합)'!AE11</f>
        <v>0</v>
      </c>
      <c r="O13" s="108" t="e">
        <f>J14/D14</f>
        <v>#DIV/0!</v>
      </c>
      <c r="P13" s="109"/>
      <c r="Q13" s="198" t="s">
        <v>229</v>
      </c>
      <c r="R13" s="199"/>
      <c r="S13" s="199"/>
      <c r="T13" s="329">
        <f t="shared" si="3"/>
        <v>0</v>
      </c>
      <c r="U13" s="330"/>
      <c r="V13" s="198"/>
      <c r="W13" s="214"/>
      <c r="X13" s="214"/>
      <c r="Y13" s="329"/>
      <c r="Z13" s="330"/>
    </row>
    <row r="14" spans="2:26" ht="31.2" customHeight="1" x14ac:dyDescent="0.4">
      <c r="B14" s="234" t="s">
        <v>736</v>
      </c>
      <c r="C14" s="96">
        <v>2075803583</v>
      </c>
      <c r="D14" s="97"/>
      <c r="E14" s="98">
        <v>2072640642</v>
      </c>
      <c r="F14" s="99">
        <v>2018840642</v>
      </c>
      <c r="G14" s="100">
        <v>53800000</v>
      </c>
      <c r="H14" s="101"/>
      <c r="I14" s="102">
        <f>SUM(J14:L14)</f>
        <v>2072640642</v>
      </c>
      <c r="J14" s="103">
        <v>2018840642</v>
      </c>
      <c r="K14" s="206">
        <v>53800000</v>
      </c>
      <c r="L14" s="105"/>
      <c r="M14" s="106">
        <f t="shared" si="2"/>
        <v>0</v>
      </c>
      <c r="N14" s="107">
        <f>'26년 databook(취합)'!AE12</f>
        <v>0</v>
      </c>
      <c r="O14" s="108" t="e">
        <f>#REF!/#REF!</f>
        <v>#REF!</v>
      </c>
      <c r="P14" s="109"/>
      <c r="Q14" s="198" t="s">
        <v>235</v>
      </c>
      <c r="R14" s="199">
        <v>13000000</v>
      </c>
      <c r="S14" s="199">
        <v>135000000</v>
      </c>
      <c r="T14" s="329">
        <f t="shared" si="3"/>
        <v>148000000</v>
      </c>
      <c r="U14" s="330"/>
      <c r="V14" s="198"/>
      <c r="W14" s="214"/>
      <c r="X14" s="214"/>
      <c r="Y14" s="329"/>
      <c r="Z14" s="330"/>
    </row>
    <row r="15" spans="2:26" ht="31.2" hidden="1" customHeight="1" x14ac:dyDescent="0.4">
      <c r="B15" s="234" t="s">
        <v>734</v>
      </c>
      <c r="C15" s="96"/>
      <c r="D15" s="97"/>
      <c r="E15" s="98">
        <v>0</v>
      </c>
      <c r="F15" s="114"/>
      <c r="G15" s="115"/>
      <c r="H15" s="116"/>
      <c r="I15" s="102">
        <f>SUM(J15:L15)</f>
        <v>0</v>
      </c>
      <c r="J15" s="111"/>
      <c r="K15" s="205"/>
      <c r="L15" s="168"/>
      <c r="M15" s="106">
        <f t="shared" si="2"/>
        <v>0</v>
      </c>
      <c r="N15" s="107">
        <f>'26년 databook(취합)'!AE13</f>
        <v>0</v>
      </c>
      <c r="O15" s="108" t="e">
        <f>J15/D15</f>
        <v>#DIV/0!</v>
      </c>
      <c r="P15" s="109"/>
      <c r="Q15" s="200" t="s">
        <v>249</v>
      </c>
      <c r="R15" s="201">
        <v>137000000</v>
      </c>
      <c r="S15" s="201">
        <v>89000000</v>
      </c>
      <c r="T15" s="355">
        <f t="shared" si="3"/>
        <v>226000000</v>
      </c>
      <c r="U15" s="356"/>
      <c r="V15" s="198"/>
      <c r="W15" s="214"/>
      <c r="X15" s="214"/>
      <c r="Y15" s="329"/>
      <c r="Z15" s="330"/>
    </row>
    <row r="16" spans="2:26" ht="31.2" customHeight="1" x14ac:dyDescent="0.4">
      <c r="B16" s="215"/>
      <c r="C16" s="216"/>
      <c r="D16" s="229"/>
      <c r="E16" s="217"/>
      <c r="F16" s="230"/>
      <c r="G16" s="218">
        <v>0</v>
      </c>
      <c r="H16" s="219">
        <v>0</v>
      </c>
      <c r="I16" s="220"/>
      <c r="J16" s="231"/>
      <c r="K16" s="232">
        <v>0</v>
      </c>
      <c r="L16" s="233">
        <v>0</v>
      </c>
      <c r="M16" s="221">
        <v>0</v>
      </c>
      <c r="N16" s="222">
        <f>'26년 databook(취합)'!AE15</f>
        <v>0</v>
      </c>
      <c r="O16" s="223" t="e">
        <f>J16/D16</f>
        <v>#DIV/0!</v>
      </c>
      <c r="P16" s="109"/>
      <c r="Q16" s="202" t="s">
        <v>539</v>
      </c>
      <c r="R16" s="203">
        <f>SUM(R6:R15)</f>
        <v>524100000</v>
      </c>
      <c r="S16" s="204"/>
      <c r="T16" s="331">
        <f>SUM(T6:T15)</f>
        <v>1545000000</v>
      </c>
      <c r="U16" s="331"/>
      <c r="V16" s="202" t="s">
        <v>617</v>
      </c>
      <c r="W16" s="203">
        <f>SUM(W6:W15)</f>
        <v>0</v>
      </c>
      <c r="X16" s="203">
        <f>SUM(X6:X15)</f>
        <v>0</v>
      </c>
      <c r="Y16" s="331">
        <f>SUM(Y6:Y15)</f>
        <v>0</v>
      </c>
      <c r="Z16" s="331"/>
    </row>
    <row r="17" spans="2:26" ht="31.2" customHeight="1" thickBot="1" x14ac:dyDescent="0.45">
      <c r="B17" s="95" t="s">
        <v>396</v>
      </c>
      <c r="C17" s="96">
        <v>21548599790</v>
      </c>
      <c r="D17" s="117"/>
      <c r="E17" s="98">
        <v>25097851853</v>
      </c>
      <c r="F17" s="118">
        <v>16525831853</v>
      </c>
      <c r="G17" s="119">
        <v>4281520000</v>
      </c>
      <c r="H17" s="119">
        <v>4290500000</v>
      </c>
      <c r="I17" s="102">
        <f>SUM(J17:L17)</f>
        <v>25097851853</v>
      </c>
      <c r="J17" s="120">
        <f>SUM(J6:J16)</f>
        <v>16525831853</v>
      </c>
      <c r="K17" s="121">
        <f>SUM(K6:K16)</f>
        <v>4281520000</v>
      </c>
      <c r="L17" s="102">
        <f>SUM(L6:L16)</f>
        <v>4290500000</v>
      </c>
      <c r="M17" s="122">
        <f>J17-F17</f>
        <v>0</v>
      </c>
      <c r="N17" s="123"/>
      <c r="O17" s="108" t="e">
        <f>J17/D17</f>
        <v>#DIV/0!</v>
      </c>
      <c r="P17" s="109"/>
      <c r="Q17" s="202"/>
      <c r="R17" s="203"/>
      <c r="S17" s="204"/>
      <c r="T17" s="225"/>
      <c r="U17" s="225"/>
      <c r="V17" s="202"/>
      <c r="W17" s="203"/>
      <c r="X17" s="203"/>
      <c r="Y17" s="225"/>
      <c r="Z17" s="225"/>
    </row>
    <row r="18" spans="2:26" ht="31.2" customHeight="1" x14ac:dyDescent="0.4">
      <c r="N18" s="109"/>
      <c r="P18" s="124"/>
      <c r="Q18" s="89"/>
      <c r="R18" s="89"/>
      <c r="T18" s="110"/>
    </row>
    <row r="19" spans="2:26" ht="31.2" customHeight="1" x14ac:dyDescent="0.4">
      <c r="J19" s="109"/>
      <c r="Q19" s="109"/>
      <c r="S19" s="110"/>
    </row>
    <row r="20" spans="2:26" x14ac:dyDescent="0.4">
      <c r="F20" s="125"/>
      <c r="J20" s="125"/>
      <c r="M20" s="126"/>
      <c r="N20" s="109"/>
      <c r="Q20" s="124"/>
      <c r="R20" s="89"/>
      <c r="T20" s="110"/>
    </row>
    <row r="21" spans="2:26" x14ac:dyDescent="0.4">
      <c r="K21" s="126"/>
      <c r="N21" s="109"/>
    </row>
    <row r="22" spans="2:26" x14ac:dyDescent="0.4">
      <c r="E22" s="125"/>
      <c r="J22" s="125"/>
      <c r="M22" s="126"/>
      <c r="N22" s="109"/>
    </row>
    <row r="23" spans="2:26" x14ac:dyDescent="0.4">
      <c r="N23" s="109"/>
    </row>
    <row r="24" spans="2:26" x14ac:dyDescent="0.4">
      <c r="M24" s="126"/>
    </row>
  </sheetData>
  <autoFilter ref="B5:O19"/>
  <mergeCells count="33">
    <mergeCell ref="T14:U14"/>
    <mergeCell ref="T15:U15"/>
    <mergeCell ref="T16:U16"/>
    <mergeCell ref="T12:U12"/>
    <mergeCell ref="T13:U13"/>
    <mergeCell ref="T11:U11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T5:U5"/>
    <mergeCell ref="T6:U6"/>
    <mergeCell ref="T7:U7"/>
    <mergeCell ref="T8:U8"/>
    <mergeCell ref="T9:U9"/>
    <mergeCell ref="T10:U10"/>
    <mergeCell ref="Y5:Z5"/>
    <mergeCell ref="Y6:Z6"/>
    <mergeCell ref="Y7:Z7"/>
    <mergeCell ref="Y8:Z8"/>
    <mergeCell ref="Y9:Z9"/>
    <mergeCell ref="Y15:Z15"/>
    <mergeCell ref="Y16:Z16"/>
    <mergeCell ref="Y10:Z10"/>
    <mergeCell ref="Y11:Z11"/>
    <mergeCell ref="Y12:Z12"/>
    <mergeCell ref="Y13:Z13"/>
    <mergeCell ref="Y14:Z14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 S15:S17 X4 X13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zoomScaleNormal="100" workbookViewId="0">
      <selection activeCell="B3" sqref="B3:C4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35" t="s">
        <v>397</v>
      </c>
    </row>
    <row r="3" spans="2:20" x14ac:dyDescent="0.4">
      <c r="B3" s="357" t="s">
        <v>398</v>
      </c>
      <c r="C3" s="358"/>
      <c r="D3" s="361" t="s">
        <v>760</v>
      </c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127"/>
      <c r="Q3" s="361" t="s">
        <v>399</v>
      </c>
      <c r="R3" s="363"/>
      <c r="T3" s="109"/>
    </row>
    <row r="4" spans="2:20" x14ac:dyDescent="0.4">
      <c r="B4" s="359"/>
      <c r="C4" s="360"/>
      <c r="D4" s="128" t="s">
        <v>377</v>
      </c>
      <c r="E4" s="128" t="s">
        <v>382</v>
      </c>
      <c r="F4" s="128" t="s">
        <v>379</v>
      </c>
      <c r="G4" s="128" t="s">
        <v>381</v>
      </c>
      <c r="H4" s="128" t="s">
        <v>380</v>
      </c>
      <c r="I4" s="128" t="s">
        <v>400</v>
      </c>
      <c r="J4" s="128" t="s">
        <v>401</v>
      </c>
      <c r="K4" s="128" t="s">
        <v>384</v>
      </c>
      <c r="L4" s="128" t="s">
        <v>402</v>
      </c>
      <c r="M4" s="128" t="s">
        <v>383</v>
      </c>
      <c r="N4" s="128" t="s">
        <v>403</v>
      </c>
      <c r="O4" s="128" t="s">
        <v>378</v>
      </c>
      <c r="P4" s="129" t="s">
        <v>404</v>
      </c>
      <c r="Q4" s="128" t="s">
        <v>405</v>
      </c>
      <c r="R4" s="128" t="s">
        <v>406</v>
      </c>
    </row>
    <row r="5" spans="2:20" x14ac:dyDescent="0.4">
      <c r="B5" s="364" t="s">
        <v>759</v>
      </c>
      <c r="C5" s="365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253"/>
      <c r="R5" s="130"/>
    </row>
    <row r="6" spans="2:20" x14ac:dyDescent="0.4">
      <c r="B6" s="366" t="s">
        <v>758</v>
      </c>
      <c r="C6" s="367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>
        <f t="shared" ref="P6" si="0">SUM(D6:O6)</f>
        <v>0</v>
      </c>
      <c r="Q6" s="254"/>
      <c r="R6" s="133"/>
    </row>
    <row r="7" spans="2:20" x14ac:dyDescent="0.4">
      <c r="B7" s="134" t="s">
        <v>757</v>
      </c>
      <c r="C7" s="135" t="s">
        <v>407</v>
      </c>
      <c r="D7" s="136">
        <f>D8+D9</f>
        <v>1132740834</v>
      </c>
      <c r="E7" s="136">
        <f t="shared" ref="E7:O7" si="1">E8+E9</f>
        <v>953512684</v>
      </c>
      <c r="F7" s="136">
        <f t="shared" si="1"/>
        <v>1422557294</v>
      </c>
      <c r="G7" s="136">
        <f t="shared" si="1"/>
        <v>1677104733</v>
      </c>
      <c r="H7" s="136">
        <f t="shared" si="1"/>
        <v>1311764280</v>
      </c>
      <c r="I7" s="136">
        <f t="shared" si="1"/>
        <v>1969044210</v>
      </c>
      <c r="J7" s="136">
        <f t="shared" si="1"/>
        <v>1581172000</v>
      </c>
      <c r="K7" s="136">
        <f t="shared" si="1"/>
        <v>1693750000</v>
      </c>
      <c r="L7" s="136">
        <f t="shared" si="1"/>
        <v>1143080970</v>
      </c>
      <c r="M7" s="136">
        <f t="shared" si="1"/>
        <v>1494996736</v>
      </c>
      <c r="N7" s="136">
        <f t="shared" si="1"/>
        <v>995942283</v>
      </c>
      <c r="O7" s="136">
        <f t="shared" si="1"/>
        <v>5431685829</v>
      </c>
      <c r="P7" s="137">
        <f>SUM(D7:O7)</f>
        <v>20807351853</v>
      </c>
      <c r="Q7" s="136">
        <v>20807351853</v>
      </c>
      <c r="R7" s="138">
        <f>P7-Q7</f>
        <v>0</v>
      </c>
    </row>
    <row r="8" spans="2:20" x14ac:dyDescent="0.4">
      <c r="B8" s="139"/>
      <c r="C8" s="95" t="s">
        <v>408</v>
      </c>
      <c r="D8" s="140">
        <v>1132740834</v>
      </c>
      <c r="E8" s="140">
        <v>953512684</v>
      </c>
      <c r="F8" s="140">
        <v>1422557294</v>
      </c>
      <c r="G8" s="140">
        <v>1652904733</v>
      </c>
      <c r="H8" s="140">
        <v>912054280</v>
      </c>
      <c r="I8" s="140">
        <v>1167484210</v>
      </c>
      <c r="J8" s="140">
        <v>1386972000</v>
      </c>
      <c r="K8" s="140">
        <v>907050000</v>
      </c>
      <c r="L8" s="140">
        <v>976530970</v>
      </c>
      <c r="M8" s="140">
        <v>1334796736</v>
      </c>
      <c r="N8" s="140">
        <v>746242283</v>
      </c>
      <c r="O8" s="140">
        <v>3932985829</v>
      </c>
      <c r="P8" s="141">
        <f>SUM(D8:O8)</f>
        <v>16525831853</v>
      </c>
      <c r="Q8" s="255">
        <v>16525831853</v>
      </c>
      <c r="R8" s="138">
        <f>P8-Q8</f>
        <v>0</v>
      </c>
    </row>
    <row r="9" spans="2:20" x14ac:dyDescent="0.4">
      <c r="B9" s="139"/>
      <c r="C9" s="95" t="s">
        <v>409</v>
      </c>
      <c r="D9" s="142"/>
      <c r="E9" s="142"/>
      <c r="F9" s="142"/>
      <c r="G9" s="142">
        <v>24200000</v>
      </c>
      <c r="H9" s="142">
        <v>399710000</v>
      </c>
      <c r="I9" s="142">
        <v>801560000</v>
      </c>
      <c r="J9" s="142">
        <v>194200000</v>
      </c>
      <c r="K9" s="142">
        <v>786700000</v>
      </c>
      <c r="L9" s="142">
        <v>166550000</v>
      </c>
      <c r="M9" s="142">
        <v>160200000</v>
      </c>
      <c r="N9" s="142">
        <v>249700000</v>
      </c>
      <c r="O9" s="142">
        <v>1498700000</v>
      </c>
      <c r="P9" s="141">
        <f t="shared" ref="P9" si="2">SUM(D9:O9)</f>
        <v>4281520000</v>
      </c>
      <c r="Q9" s="256">
        <v>4281520000</v>
      </c>
      <c r="R9" s="138">
        <f>P9-Q9</f>
        <v>0</v>
      </c>
    </row>
    <row r="10" spans="2:20" x14ac:dyDescent="0.4">
      <c r="B10" s="139"/>
      <c r="C10" s="95" t="s">
        <v>410</v>
      </c>
      <c r="D10" s="142"/>
      <c r="E10" s="142"/>
      <c r="F10" s="142"/>
      <c r="G10" s="142">
        <v>50000000</v>
      </c>
      <c r="H10" s="142">
        <v>626000000</v>
      </c>
      <c r="I10" s="142">
        <v>759500000</v>
      </c>
      <c r="J10" s="142">
        <v>554000000</v>
      </c>
      <c r="K10" s="142">
        <v>80000000</v>
      </c>
      <c r="L10" s="142">
        <v>142000000</v>
      </c>
      <c r="M10" s="142">
        <v>347000000</v>
      </c>
      <c r="N10" s="142">
        <v>135000000</v>
      </c>
      <c r="O10" s="142">
        <v>1597000000</v>
      </c>
      <c r="P10" s="141">
        <f>SUM(D10:O10)</f>
        <v>4290500000</v>
      </c>
      <c r="Q10" s="256">
        <v>4290500000</v>
      </c>
      <c r="R10" s="138">
        <f>P10-Q10</f>
        <v>0</v>
      </c>
    </row>
    <row r="11" spans="2:20" x14ac:dyDescent="0.4">
      <c r="B11" s="143"/>
      <c r="C11" s="144" t="s">
        <v>411</v>
      </c>
      <c r="D11" s="145">
        <f>SUM(D8:D10)</f>
        <v>1132740834</v>
      </c>
      <c r="E11" s="145">
        <f t="shared" ref="E11:O11" si="3">SUM(E8:E10)</f>
        <v>953512684</v>
      </c>
      <c r="F11" s="145">
        <f t="shared" si="3"/>
        <v>1422557294</v>
      </c>
      <c r="G11" s="145">
        <f t="shared" si="3"/>
        <v>1727104733</v>
      </c>
      <c r="H11" s="145">
        <f t="shared" si="3"/>
        <v>1937764280</v>
      </c>
      <c r="I11" s="145">
        <f t="shared" si="3"/>
        <v>2728544210</v>
      </c>
      <c r="J11" s="145">
        <f t="shared" si="3"/>
        <v>2135172000</v>
      </c>
      <c r="K11" s="145">
        <f t="shared" si="3"/>
        <v>1773750000</v>
      </c>
      <c r="L11" s="145">
        <f t="shared" si="3"/>
        <v>1285080970</v>
      </c>
      <c r="M11" s="145">
        <f t="shared" si="3"/>
        <v>1841996736</v>
      </c>
      <c r="N11" s="145">
        <f t="shared" si="3"/>
        <v>1130942283</v>
      </c>
      <c r="O11" s="145">
        <f t="shared" si="3"/>
        <v>7028685829</v>
      </c>
      <c r="P11" s="146">
        <f>SUM(D11:O11)</f>
        <v>25097851853</v>
      </c>
      <c r="Q11" s="257">
        <v>25097851853</v>
      </c>
      <c r="R11" s="147">
        <f>P11-Q11</f>
        <v>0</v>
      </c>
    </row>
    <row r="12" spans="2:20" x14ac:dyDescent="0.4">
      <c r="B12" s="148"/>
      <c r="C12" s="149" t="s">
        <v>412</v>
      </c>
      <c r="D12" s="150" t="e">
        <f>D8/D6</f>
        <v>#DIV/0!</v>
      </c>
      <c r="E12" s="150" t="e">
        <f t="shared" ref="E12:L12" si="4">E8/E6</f>
        <v>#DIV/0!</v>
      </c>
      <c r="F12" s="150" t="e">
        <f t="shared" si="4"/>
        <v>#DIV/0!</v>
      </c>
      <c r="G12" s="150" t="e">
        <f t="shared" si="4"/>
        <v>#DIV/0!</v>
      </c>
      <c r="H12" s="150" t="e">
        <f t="shared" si="4"/>
        <v>#DIV/0!</v>
      </c>
      <c r="I12" s="150" t="e">
        <f t="shared" si="4"/>
        <v>#DIV/0!</v>
      </c>
      <c r="J12" s="150" t="e">
        <f t="shared" si="4"/>
        <v>#DIV/0!</v>
      </c>
      <c r="K12" s="150" t="e">
        <f t="shared" si="4"/>
        <v>#DIV/0!</v>
      </c>
      <c r="L12" s="150" t="e">
        <f t="shared" si="4"/>
        <v>#DIV/0!</v>
      </c>
      <c r="M12" s="150" t="e">
        <f>M8/M6</f>
        <v>#DIV/0!</v>
      </c>
      <c r="N12" s="150" t="e">
        <f>N8/N6</f>
        <v>#DIV/0!</v>
      </c>
      <c r="O12" s="150" t="e">
        <f>O8/O6</f>
        <v>#DIV/0!</v>
      </c>
      <c r="P12" s="150" t="e">
        <f>P8/P6</f>
        <v>#DIV/0!</v>
      </c>
      <c r="Q12" s="258" t="e">
        <v>#DIV/0!</v>
      </c>
      <c r="R12" s="151"/>
    </row>
    <row r="14" spans="2:20" x14ac:dyDescent="0.4">
      <c r="D14" t="s">
        <v>413</v>
      </c>
      <c r="E14" s="152"/>
      <c r="F14" s="36"/>
      <c r="G14" s="36"/>
      <c r="H14" s="36"/>
      <c r="I14" s="36"/>
      <c r="K14" s="36"/>
      <c r="N14" s="126"/>
    </row>
    <row r="15" spans="2:20" x14ac:dyDescent="0.4">
      <c r="E15" s="36"/>
      <c r="F15" s="36"/>
      <c r="G15" s="36"/>
      <c r="H15" s="36"/>
      <c r="I15" s="36"/>
      <c r="K15" s="36"/>
      <c r="P15" s="125">
        <f>P8-영업대표별!J17</f>
        <v>0</v>
      </c>
    </row>
    <row r="16" spans="2:20" x14ac:dyDescent="0.4">
      <c r="I16" s="36"/>
    </row>
    <row r="17" spans="16:16" x14ac:dyDescent="0.4">
      <c r="P17" s="125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8"/>
  <sheetViews>
    <sheetView showGridLines="0" zoomScaleNormal="100" workbookViewId="0">
      <selection activeCell="I24" sqref="I24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0.0976562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53" t="s">
        <v>415</v>
      </c>
      <c r="C2" s="368" t="s">
        <v>428</v>
      </c>
      <c r="D2" s="368"/>
      <c r="E2" s="368"/>
      <c r="F2" s="368"/>
      <c r="G2" s="368" t="s">
        <v>543</v>
      </c>
      <c r="H2" s="368"/>
      <c r="I2" s="368"/>
      <c r="J2" s="368"/>
      <c r="K2" s="368" t="s">
        <v>630</v>
      </c>
      <c r="L2" s="368"/>
      <c r="M2" s="368"/>
      <c r="N2" s="368"/>
      <c r="O2" s="368" t="s">
        <v>381</v>
      </c>
      <c r="P2" s="368"/>
      <c r="Q2" s="368"/>
      <c r="R2" s="368"/>
      <c r="S2" s="368" t="s">
        <v>380</v>
      </c>
      <c r="T2" s="368"/>
      <c r="U2" s="368"/>
      <c r="V2" s="368"/>
      <c r="W2" s="368" t="s">
        <v>400</v>
      </c>
      <c r="X2" s="368"/>
      <c r="Y2" s="368"/>
      <c r="Z2" s="368"/>
      <c r="AA2" s="368" t="s">
        <v>401</v>
      </c>
      <c r="AB2" s="368"/>
      <c r="AC2" s="368"/>
      <c r="AD2" s="368"/>
      <c r="AE2" s="368" t="s">
        <v>416</v>
      </c>
      <c r="AF2" s="368"/>
      <c r="AG2" s="368"/>
      <c r="AH2" s="368"/>
      <c r="AI2" s="368" t="s">
        <v>417</v>
      </c>
      <c r="AJ2" s="368"/>
      <c r="AK2" s="368"/>
      <c r="AL2" s="368"/>
      <c r="AM2" s="368" t="s">
        <v>418</v>
      </c>
      <c r="AN2" s="368"/>
      <c r="AO2" s="368"/>
      <c r="AP2" s="368"/>
      <c r="AQ2" s="368" t="s">
        <v>419</v>
      </c>
      <c r="AR2" s="368"/>
      <c r="AS2" s="368"/>
      <c r="AT2" s="368"/>
      <c r="AU2" s="368" t="s">
        <v>420</v>
      </c>
      <c r="AV2" s="368"/>
      <c r="AW2" s="368"/>
      <c r="AX2" s="368"/>
    </row>
    <row r="3" spans="2:53" x14ac:dyDescent="0.4">
      <c r="B3" s="154" t="s">
        <v>421</v>
      </c>
      <c r="C3" s="154" t="s">
        <v>422</v>
      </c>
      <c r="D3" s="154" t="s">
        <v>423</v>
      </c>
      <c r="E3" s="154" t="s">
        <v>424</v>
      </c>
      <c r="F3" s="154" t="s">
        <v>425</v>
      </c>
      <c r="G3" s="154" t="s">
        <v>569</v>
      </c>
      <c r="H3" s="154" t="s">
        <v>423</v>
      </c>
      <c r="I3" s="154" t="s">
        <v>424</v>
      </c>
      <c r="J3" s="154" t="s">
        <v>425</v>
      </c>
      <c r="K3" s="154" t="s">
        <v>600</v>
      </c>
      <c r="L3" s="154" t="s">
        <v>601</v>
      </c>
      <c r="M3" s="154" t="s">
        <v>424</v>
      </c>
      <c r="N3" s="154" t="s">
        <v>425</v>
      </c>
      <c r="O3" s="154" t="s">
        <v>422</v>
      </c>
      <c r="P3" s="154" t="s">
        <v>426</v>
      </c>
      <c r="Q3" s="154" t="s">
        <v>424</v>
      </c>
      <c r="R3" s="154" t="s">
        <v>425</v>
      </c>
      <c r="S3" s="154" t="s">
        <v>422</v>
      </c>
      <c r="T3" s="154" t="s">
        <v>426</v>
      </c>
      <c r="U3" s="154" t="s">
        <v>424</v>
      </c>
      <c r="V3" s="154" t="s">
        <v>425</v>
      </c>
      <c r="W3" s="154" t="s">
        <v>422</v>
      </c>
      <c r="X3" s="154" t="s">
        <v>426</v>
      </c>
      <c r="Y3" s="154" t="s">
        <v>424</v>
      </c>
      <c r="Z3" s="154" t="s">
        <v>425</v>
      </c>
      <c r="AA3" s="154" t="s">
        <v>422</v>
      </c>
      <c r="AB3" s="154" t="s">
        <v>426</v>
      </c>
      <c r="AC3" s="154" t="s">
        <v>424</v>
      </c>
      <c r="AD3" s="154" t="s">
        <v>425</v>
      </c>
      <c r="AE3" s="154" t="s">
        <v>422</v>
      </c>
      <c r="AF3" s="154" t="s">
        <v>426</v>
      </c>
      <c r="AG3" s="154" t="s">
        <v>424</v>
      </c>
      <c r="AH3" s="154" t="s">
        <v>425</v>
      </c>
      <c r="AI3" s="154" t="s">
        <v>422</v>
      </c>
      <c r="AJ3" s="154" t="s">
        <v>426</v>
      </c>
      <c r="AK3" s="154" t="s">
        <v>424</v>
      </c>
      <c r="AL3" s="154" t="s">
        <v>425</v>
      </c>
      <c r="AM3" s="154" t="s">
        <v>422</v>
      </c>
      <c r="AN3" s="154" t="s">
        <v>426</v>
      </c>
      <c r="AO3" s="154" t="s">
        <v>424</v>
      </c>
      <c r="AP3" s="154" t="s">
        <v>425</v>
      </c>
      <c r="AQ3" s="154" t="s">
        <v>422</v>
      </c>
      <c r="AR3" s="154" t="s">
        <v>426</v>
      </c>
      <c r="AS3" s="154" t="s">
        <v>424</v>
      </c>
      <c r="AT3" s="154" t="s">
        <v>425</v>
      </c>
      <c r="AU3" s="154" t="s">
        <v>422</v>
      </c>
      <c r="AV3" s="154" t="s">
        <v>426</v>
      </c>
      <c r="AW3" s="154" t="s">
        <v>424</v>
      </c>
      <c r="AX3" s="154" t="s">
        <v>425</v>
      </c>
      <c r="BA3" s="3"/>
    </row>
    <row r="4" spans="2:53" x14ac:dyDescent="0.4">
      <c r="B4" s="155" t="s">
        <v>276</v>
      </c>
      <c r="C4" s="156">
        <v>144859880</v>
      </c>
      <c r="D4" s="13">
        <v>144859880</v>
      </c>
      <c r="E4" s="157">
        <f t="shared" ref="E4:E14" si="0">C4-D4</f>
        <v>0</v>
      </c>
      <c r="F4" s="64" t="s">
        <v>554</v>
      </c>
      <c r="G4" s="156">
        <v>167255480</v>
      </c>
      <c r="H4" s="13">
        <v>151536800</v>
      </c>
      <c r="I4" s="157">
        <f>G4-H4</f>
        <v>15718680</v>
      </c>
      <c r="J4" s="64"/>
      <c r="K4" s="156"/>
      <c r="L4" s="13">
        <v>214266289</v>
      </c>
      <c r="M4" s="157"/>
      <c r="N4" s="64" t="s">
        <v>603</v>
      </c>
      <c r="O4" s="158"/>
      <c r="P4" s="158"/>
      <c r="Q4" s="157">
        <f t="shared" ref="Q4:Q13" si="1">O4-P4</f>
        <v>0</v>
      </c>
      <c r="R4" s="155"/>
      <c r="S4" s="158"/>
      <c r="T4" s="158"/>
      <c r="U4" s="157">
        <f t="shared" ref="U4:U13" si="2">S4-T4</f>
        <v>0</v>
      </c>
      <c r="V4" s="159"/>
      <c r="W4" s="158"/>
      <c r="X4" s="158"/>
      <c r="Y4" s="157">
        <f t="shared" ref="Y4:Y13" si="3">W4-X4</f>
        <v>0</v>
      </c>
      <c r="Z4" s="159"/>
      <c r="AA4" s="158"/>
      <c r="AB4" s="158"/>
      <c r="AC4" s="157">
        <f t="shared" ref="AC4:AC13" si="4">AA4-AB4</f>
        <v>0</v>
      </c>
      <c r="AD4" s="159"/>
      <c r="AE4" s="158"/>
      <c r="AF4" s="158"/>
      <c r="AG4" s="157">
        <f t="shared" ref="AG4:AG13" si="5">AE4-AF4</f>
        <v>0</v>
      </c>
      <c r="AH4" s="155"/>
      <c r="AI4" s="158"/>
      <c r="AJ4" s="158"/>
      <c r="AK4" s="157">
        <f t="shared" ref="AK4:AK13" si="6">AI4-AJ4</f>
        <v>0</v>
      </c>
      <c r="AL4" s="155"/>
      <c r="AM4" s="158"/>
      <c r="AN4" s="158"/>
      <c r="AO4" s="157">
        <f t="shared" ref="AO4:AO13" si="7">AM4-AN4</f>
        <v>0</v>
      </c>
      <c r="AP4" s="159"/>
      <c r="AQ4" s="158"/>
      <c r="AR4" s="158"/>
      <c r="AS4" s="157">
        <f t="shared" ref="AS4:AS13" si="8">AQ4-AR4</f>
        <v>0</v>
      </c>
      <c r="AT4" s="159"/>
      <c r="AU4" s="158"/>
      <c r="AV4" s="158"/>
      <c r="AW4" s="157">
        <f t="shared" ref="AW4:AW13" si="9">AU4-AV4</f>
        <v>0</v>
      </c>
      <c r="AX4" s="159"/>
      <c r="BA4" s="3"/>
    </row>
    <row r="5" spans="2:53" x14ac:dyDescent="0.4">
      <c r="B5" s="64" t="s">
        <v>138</v>
      </c>
      <c r="C5" s="13">
        <v>331345534</v>
      </c>
      <c r="D5" s="13">
        <v>331345534</v>
      </c>
      <c r="E5" s="160">
        <f t="shared" si="0"/>
        <v>0</v>
      </c>
      <c r="F5" s="64" t="s">
        <v>554</v>
      </c>
      <c r="G5" s="13">
        <v>317771045</v>
      </c>
      <c r="H5" s="13">
        <v>317771045</v>
      </c>
      <c r="I5" s="160">
        <f t="shared" ref="I5:I14" si="10">G5-H5</f>
        <v>0</v>
      </c>
      <c r="J5" s="64" t="s">
        <v>577</v>
      </c>
      <c r="K5" s="13"/>
      <c r="L5" s="13">
        <v>246620420</v>
      </c>
      <c r="M5" s="160"/>
      <c r="N5" s="64" t="s">
        <v>605</v>
      </c>
      <c r="O5" s="158"/>
      <c r="P5" s="158"/>
      <c r="Q5" s="157">
        <f t="shared" si="1"/>
        <v>0</v>
      </c>
      <c r="R5" s="155"/>
      <c r="S5" s="158"/>
      <c r="T5" s="158"/>
      <c r="U5" s="157">
        <f t="shared" si="2"/>
        <v>0</v>
      </c>
      <c r="V5" s="159"/>
      <c r="W5" s="158"/>
      <c r="X5" s="158"/>
      <c r="Y5" s="157">
        <f t="shared" si="3"/>
        <v>0</v>
      </c>
      <c r="Z5" s="159"/>
      <c r="AA5" s="158"/>
      <c r="AB5" s="158"/>
      <c r="AC5" s="157">
        <f t="shared" si="4"/>
        <v>0</v>
      </c>
      <c r="AD5" s="159"/>
      <c r="AE5" s="158"/>
      <c r="AF5" s="158"/>
      <c r="AG5" s="157">
        <f t="shared" si="5"/>
        <v>0</v>
      </c>
      <c r="AH5" s="155"/>
      <c r="AI5" s="158"/>
      <c r="AJ5" s="158"/>
      <c r="AK5" s="157">
        <f t="shared" si="6"/>
        <v>0</v>
      </c>
      <c r="AL5" s="155"/>
      <c r="AM5" s="158"/>
      <c r="AN5" s="158"/>
      <c r="AO5" s="157">
        <f t="shared" si="7"/>
        <v>0</v>
      </c>
      <c r="AP5" s="159"/>
      <c r="AQ5" s="158"/>
      <c r="AR5" s="158"/>
      <c r="AS5" s="157">
        <f t="shared" si="8"/>
        <v>0</v>
      </c>
      <c r="AT5" s="159"/>
      <c r="AU5" s="158"/>
      <c r="AV5" s="158"/>
      <c r="AW5" s="157">
        <f t="shared" si="9"/>
        <v>0</v>
      </c>
      <c r="AX5" s="159"/>
      <c r="BA5" s="3"/>
    </row>
    <row r="6" spans="2:53" x14ac:dyDescent="0.4">
      <c r="B6" s="64" t="s">
        <v>547</v>
      </c>
      <c r="C6" s="13">
        <v>111146424</v>
      </c>
      <c r="D6" s="13">
        <v>95206424</v>
      </c>
      <c r="E6" s="160">
        <f t="shared" si="0"/>
        <v>15940000</v>
      </c>
      <c r="F6" s="64" t="s">
        <v>554</v>
      </c>
      <c r="G6" s="13">
        <v>131737692</v>
      </c>
      <c r="H6" s="13">
        <v>131737692</v>
      </c>
      <c r="I6" s="160">
        <f t="shared" si="10"/>
        <v>0</v>
      </c>
      <c r="J6" s="64" t="s">
        <v>554</v>
      </c>
      <c r="K6" s="13"/>
      <c r="L6" s="13">
        <v>166706085</v>
      </c>
      <c r="M6" s="160"/>
      <c r="N6" s="64" t="s">
        <v>605</v>
      </c>
      <c r="O6" s="158"/>
      <c r="P6" s="158"/>
      <c r="Q6" s="157">
        <f t="shared" si="1"/>
        <v>0</v>
      </c>
      <c r="R6" s="155"/>
      <c r="S6" s="158"/>
      <c r="T6" s="158"/>
      <c r="U6" s="157">
        <f t="shared" si="2"/>
        <v>0</v>
      </c>
      <c r="V6" s="159"/>
      <c r="W6" s="158"/>
      <c r="X6" s="158"/>
      <c r="Y6" s="157">
        <f t="shared" si="3"/>
        <v>0</v>
      </c>
      <c r="Z6" s="159"/>
      <c r="AA6" s="158"/>
      <c r="AB6" s="158"/>
      <c r="AC6" s="157">
        <f t="shared" si="4"/>
        <v>0</v>
      </c>
      <c r="AD6" s="159"/>
      <c r="AE6" s="158"/>
      <c r="AF6" s="158"/>
      <c r="AG6" s="157">
        <f t="shared" si="5"/>
        <v>0</v>
      </c>
      <c r="AH6" s="155"/>
      <c r="AI6" s="158"/>
      <c r="AJ6" s="158"/>
      <c r="AK6" s="157">
        <f t="shared" si="6"/>
        <v>0</v>
      </c>
      <c r="AL6" s="155"/>
      <c r="AM6" s="158"/>
      <c r="AN6" s="158"/>
      <c r="AO6" s="157">
        <f t="shared" si="7"/>
        <v>0</v>
      </c>
      <c r="AP6" s="159"/>
      <c r="AQ6" s="158"/>
      <c r="AR6" s="158"/>
      <c r="AS6" s="157">
        <f t="shared" si="8"/>
        <v>0</v>
      </c>
      <c r="AT6" s="159"/>
      <c r="AU6" s="158"/>
      <c r="AV6" s="158"/>
      <c r="AW6" s="157">
        <f t="shared" si="9"/>
        <v>0</v>
      </c>
      <c r="AX6" s="159"/>
      <c r="BA6" s="3"/>
    </row>
    <row r="7" spans="2:53" x14ac:dyDescent="0.4">
      <c r="B7" s="64" t="s">
        <v>548</v>
      </c>
      <c r="C7" s="67">
        <v>44384800</v>
      </c>
      <c r="D7" s="13">
        <v>44882340</v>
      </c>
      <c r="E7" s="160">
        <f t="shared" si="0"/>
        <v>-497540</v>
      </c>
      <c r="F7" s="64" t="s">
        <v>554</v>
      </c>
      <c r="G7" s="67">
        <v>441262590.63636363</v>
      </c>
      <c r="H7" s="13">
        <v>450722251</v>
      </c>
      <c r="I7" s="160">
        <f t="shared" si="10"/>
        <v>-9459660.3636363745</v>
      </c>
      <c r="J7" s="64" t="s">
        <v>578</v>
      </c>
      <c r="K7" s="67"/>
      <c r="L7" s="13">
        <v>129844900</v>
      </c>
      <c r="M7" s="160"/>
      <c r="N7" s="64" t="s">
        <v>605</v>
      </c>
      <c r="O7" s="158"/>
      <c r="P7" s="158"/>
      <c r="Q7" s="157">
        <f t="shared" si="1"/>
        <v>0</v>
      </c>
      <c r="R7" s="155"/>
      <c r="S7" s="158"/>
      <c r="T7" s="158"/>
      <c r="U7" s="157">
        <f t="shared" si="2"/>
        <v>0</v>
      </c>
      <c r="V7" s="159"/>
      <c r="W7" s="158"/>
      <c r="X7" s="158"/>
      <c r="Y7" s="157">
        <f t="shared" si="3"/>
        <v>0</v>
      </c>
      <c r="Z7" s="155"/>
      <c r="AA7" s="158"/>
      <c r="AB7" s="158"/>
      <c r="AC7" s="157">
        <f t="shared" si="4"/>
        <v>0</v>
      </c>
      <c r="AD7" s="155"/>
      <c r="AE7" s="158"/>
      <c r="AF7" s="158"/>
      <c r="AG7" s="157">
        <f t="shared" si="5"/>
        <v>0</v>
      </c>
      <c r="AH7" s="155"/>
      <c r="AI7" s="158"/>
      <c r="AJ7" s="158"/>
      <c r="AK7" s="157">
        <f t="shared" si="6"/>
        <v>0</v>
      </c>
      <c r="AL7" s="155"/>
      <c r="AM7" s="158"/>
      <c r="AN7" s="158"/>
      <c r="AO7" s="157">
        <f t="shared" si="7"/>
        <v>0</v>
      </c>
      <c r="AP7" s="159"/>
      <c r="AQ7" s="158"/>
      <c r="AR7" s="158"/>
      <c r="AS7" s="157">
        <f t="shared" si="8"/>
        <v>0</v>
      </c>
      <c r="AT7" s="155"/>
      <c r="AU7" s="158"/>
      <c r="AV7" s="158"/>
      <c r="AW7" s="157">
        <f t="shared" si="9"/>
        <v>0</v>
      </c>
      <c r="AX7" s="155"/>
      <c r="BA7" s="3"/>
    </row>
    <row r="8" spans="2:53" x14ac:dyDescent="0.4">
      <c r="B8" s="155" t="s">
        <v>549</v>
      </c>
      <c r="C8" s="156">
        <v>73610740</v>
      </c>
      <c r="D8" s="13">
        <v>62420780</v>
      </c>
      <c r="E8" s="157">
        <f t="shared" si="0"/>
        <v>11189960</v>
      </c>
      <c r="F8" s="64"/>
      <c r="G8" s="156">
        <v>115790795</v>
      </c>
      <c r="H8" s="13">
        <v>116599055</v>
      </c>
      <c r="I8" s="157">
        <f t="shared" si="10"/>
        <v>-808260</v>
      </c>
      <c r="J8" s="64" t="s">
        <v>577</v>
      </c>
      <c r="K8" s="156"/>
      <c r="L8" s="13">
        <v>184766166</v>
      </c>
      <c r="M8" s="157"/>
      <c r="N8" s="64" t="s">
        <v>605</v>
      </c>
      <c r="O8" s="158"/>
      <c r="P8" s="158"/>
      <c r="Q8" s="157">
        <f t="shared" si="1"/>
        <v>0</v>
      </c>
      <c r="R8" s="155"/>
      <c r="S8" s="158"/>
      <c r="T8" s="158"/>
      <c r="U8" s="157">
        <f t="shared" si="2"/>
        <v>0</v>
      </c>
      <c r="V8" s="159"/>
      <c r="W8" s="158"/>
      <c r="X8" s="158"/>
      <c r="Y8" s="157">
        <f t="shared" si="3"/>
        <v>0</v>
      </c>
      <c r="Z8" s="159"/>
      <c r="AA8" s="158"/>
      <c r="AB8" s="158"/>
      <c r="AC8" s="157">
        <f t="shared" si="4"/>
        <v>0</v>
      </c>
      <c r="AD8" s="159"/>
      <c r="AE8" s="158"/>
      <c r="AF8" s="158"/>
      <c r="AG8" s="157">
        <f t="shared" si="5"/>
        <v>0</v>
      </c>
      <c r="AH8" s="155"/>
      <c r="AI8" s="158"/>
      <c r="AJ8" s="158"/>
      <c r="AK8" s="157">
        <f t="shared" si="6"/>
        <v>0</v>
      </c>
      <c r="AL8" s="155"/>
      <c r="AM8" s="158"/>
      <c r="AN8" s="158"/>
      <c r="AO8" s="157">
        <f t="shared" si="7"/>
        <v>0</v>
      </c>
      <c r="AP8" s="159"/>
      <c r="AQ8" s="158"/>
      <c r="AR8" s="158"/>
      <c r="AS8" s="157">
        <f t="shared" si="8"/>
        <v>0</v>
      </c>
      <c r="AT8" s="159"/>
      <c r="AU8" s="158"/>
      <c r="AV8" s="158"/>
      <c r="AW8" s="157">
        <f t="shared" si="9"/>
        <v>0</v>
      </c>
      <c r="AX8" s="159"/>
      <c r="BA8" s="3"/>
    </row>
    <row r="9" spans="2:53" x14ac:dyDescent="0.4">
      <c r="B9" s="64" t="s">
        <v>550</v>
      </c>
      <c r="C9" s="13">
        <v>55027370</v>
      </c>
      <c r="D9" s="13">
        <v>53362370</v>
      </c>
      <c r="E9" s="160">
        <f t="shared" si="0"/>
        <v>1665000</v>
      </c>
      <c r="F9" s="64"/>
      <c r="G9" s="13">
        <v>32007960</v>
      </c>
      <c r="H9" s="13">
        <v>31886160</v>
      </c>
      <c r="I9" s="160">
        <f t="shared" si="10"/>
        <v>121800</v>
      </c>
      <c r="J9" s="64" t="s">
        <v>571</v>
      </c>
      <c r="K9" s="13"/>
      <c r="L9" s="13">
        <v>136792760</v>
      </c>
      <c r="M9" s="160"/>
      <c r="N9" s="64" t="s">
        <v>604</v>
      </c>
      <c r="O9" s="158"/>
      <c r="P9" s="158"/>
      <c r="Q9" s="157">
        <f t="shared" si="1"/>
        <v>0</v>
      </c>
      <c r="R9" s="155"/>
      <c r="S9" s="158"/>
      <c r="T9" s="158"/>
      <c r="U9" s="157">
        <f t="shared" si="2"/>
        <v>0</v>
      </c>
      <c r="V9" s="159"/>
      <c r="W9" s="158"/>
      <c r="X9" s="158"/>
      <c r="Y9" s="157">
        <f t="shared" si="3"/>
        <v>0</v>
      </c>
      <c r="Z9" s="159"/>
      <c r="AA9" s="158"/>
      <c r="AB9" s="158"/>
      <c r="AC9" s="157">
        <f t="shared" si="4"/>
        <v>0</v>
      </c>
      <c r="AD9" s="159"/>
      <c r="AE9" s="158"/>
      <c r="AF9" s="158"/>
      <c r="AG9" s="157">
        <f t="shared" si="5"/>
        <v>0</v>
      </c>
      <c r="AH9" s="155"/>
      <c r="AI9" s="158"/>
      <c r="AJ9" s="158"/>
      <c r="AK9" s="157">
        <f t="shared" si="6"/>
        <v>0</v>
      </c>
      <c r="AL9" s="155"/>
      <c r="AM9" s="158"/>
      <c r="AN9" s="158"/>
      <c r="AO9" s="157">
        <f t="shared" si="7"/>
        <v>0</v>
      </c>
      <c r="AP9" s="159"/>
      <c r="AQ9" s="158"/>
      <c r="AR9" s="158"/>
      <c r="AS9" s="157">
        <f t="shared" si="8"/>
        <v>0</v>
      </c>
      <c r="AT9" s="159"/>
      <c r="AU9" s="158"/>
      <c r="AV9" s="158"/>
      <c r="AW9" s="157">
        <f t="shared" si="9"/>
        <v>0</v>
      </c>
      <c r="AX9" s="159"/>
      <c r="BA9" s="3"/>
    </row>
    <row r="10" spans="2:53" x14ac:dyDescent="0.4">
      <c r="B10" s="155" t="s">
        <v>551</v>
      </c>
      <c r="C10" s="156">
        <v>11591800</v>
      </c>
      <c r="D10" s="13">
        <v>11591800</v>
      </c>
      <c r="E10" s="157">
        <f t="shared" si="0"/>
        <v>0</v>
      </c>
      <c r="F10" s="64" t="s">
        <v>554</v>
      </c>
      <c r="G10" s="156">
        <v>31344020</v>
      </c>
      <c r="H10" s="13">
        <v>31344020</v>
      </c>
      <c r="I10" s="157">
        <f t="shared" si="10"/>
        <v>0</v>
      </c>
      <c r="J10" s="64" t="s">
        <v>554</v>
      </c>
      <c r="K10" s="156"/>
      <c r="L10" s="13"/>
      <c r="M10" s="157"/>
      <c r="N10" s="64" t="s">
        <v>606</v>
      </c>
      <c r="O10" s="158"/>
      <c r="P10" s="158"/>
      <c r="Q10" s="157">
        <f t="shared" si="1"/>
        <v>0</v>
      </c>
      <c r="R10" s="155"/>
      <c r="S10" s="158"/>
      <c r="T10" s="158"/>
      <c r="U10" s="157">
        <f t="shared" si="2"/>
        <v>0</v>
      </c>
      <c r="V10" s="159"/>
      <c r="W10" s="158"/>
      <c r="X10" s="158"/>
      <c r="Y10" s="157">
        <f t="shared" si="3"/>
        <v>0</v>
      </c>
      <c r="Z10" s="159"/>
      <c r="AA10" s="158"/>
      <c r="AB10" s="158"/>
      <c r="AC10" s="157">
        <f t="shared" si="4"/>
        <v>0</v>
      </c>
      <c r="AD10" s="159"/>
      <c r="AE10" s="158"/>
      <c r="AF10" s="158"/>
      <c r="AG10" s="157">
        <f t="shared" si="5"/>
        <v>0</v>
      </c>
      <c r="AH10" s="155"/>
      <c r="AI10" s="158"/>
      <c r="AJ10" s="158"/>
      <c r="AK10" s="157">
        <f t="shared" si="6"/>
        <v>0</v>
      </c>
      <c r="AL10" s="155"/>
      <c r="AM10" s="158"/>
      <c r="AN10" s="158"/>
      <c r="AO10" s="157">
        <f t="shared" si="7"/>
        <v>0</v>
      </c>
      <c r="AP10" s="159"/>
      <c r="AQ10" s="158"/>
      <c r="AR10" s="158"/>
      <c r="AS10" s="157">
        <f t="shared" si="8"/>
        <v>0</v>
      </c>
      <c r="AT10" s="159"/>
      <c r="AU10" s="158"/>
      <c r="AV10" s="158"/>
      <c r="AW10" s="157">
        <f t="shared" si="9"/>
        <v>0</v>
      </c>
      <c r="AX10" s="159"/>
      <c r="BA10" s="3"/>
    </row>
    <row r="11" spans="2:53" x14ac:dyDescent="0.4">
      <c r="B11" s="64" t="s">
        <v>552</v>
      </c>
      <c r="C11" s="67">
        <v>128223155</v>
      </c>
      <c r="D11" s="13">
        <v>164898222</v>
      </c>
      <c r="E11" s="160">
        <f t="shared" si="0"/>
        <v>-36675067</v>
      </c>
      <c r="F11" s="64" t="s">
        <v>554</v>
      </c>
      <c r="G11" s="67">
        <v>136216933</v>
      </c>
      <c r="H11" s="13">
        <v>108462616</v>
      </c>
      <c r="I11" s="160">
        <f t="shared" si="10"/>
        <v>27754317</v>
      </c>
      <c r="J11" s="207" t="s">
        <v>570</v>
      </c>
      <c r="K11" s="67"/>
      <c r="L11" s="13">
        <v>78296750</v>
      </c>
      <c r="M11" s="160"/>
      <c r="N11" s="207" t="s">
        <v>602</v>
      </c>
      <c r="O11" s="158"/>
      <c r="P11" s="158"/>
      <c r="Q11" s="157">
        <f t="shared" si="1"/>
        <v>0</v>
      </c>
      <c r="R11" s="155"/>
      <c r="S11" s="158"/>
      <c r="T11" s="158"/>
      <c r="U11" s="157">
        <f t="shared" si="2"/>
        <v>0</v>
      </c>
      <c r="V11" s="159"/>
      <c r="W11" s="158"/>
      <c r="X11" s="158"/>
      <c r="Y11" s="157">
        <f t="shared" si="3"/>
        <v>0</v>
      </c>
      <c r="Z11" s="155"/>
      <c r="AA11" s="158"/>
      <c r="AB11" s="158"/>
      <c r="AC11" s="157">
        <f t="shared" si="4"/>
        <v>0</v>
      </c>
      <c r="AD11" s="155"/>
      <c r="AE11" s="158"/>
      <c r="AF11" s="158"/>
      <c r="AG11" s="157">
        <f t="shared" si="5"/>
        <v>0</v>
      </c>
      <c r="AH11" s="155"/>
      <c r="AI11" s="158"/>
      <c r="AJ11" s="158"/>
      <c r="AK11" s="157">
        <f t="shared" si="6"/>
        <v>0</v>
      </c>
      <c r="AL11" s="155"/>
      <c r="AM11" s="158"/>
      <c r="AN11" s="158"/>
      <c r="AO11" s="157">
        <f t="shared" si="7"/>
        <v>0</v>
      </c>
      <c r="AP11" s="159"/>
      <c r="AQ11" s="158"/>
      <c r="AR11" s="158"/>
      <c r="AS11" s="157">
        <f t="shared" si="8"/>
        <v>0</v>
      </c>
      <c r="AT11" s="155"/>
      <c r="AU11" s="158"/>
      <c r="AV11" s="158"/>
      <c r="AW11" s="157">
        <f t="shared" si="9"/>
        <v>0</v>
      </c>
      <c r="AX11" s="155"/>
      <c r="BA11" s="3"/>
    </row>
    <row r="12" spans="2:53" x14ac:dyDescent="0.4">
      <c r="B12" s="155" t="s">
        <v>553</v>
      </c>
      <c r="C12" s="3">
        <v>27834670</v>
      </c>
      <c r="D12" s="13">
        <v>25462627</v>
      </c>
      <c r="E12" s="157">
        <f t="shared" si="0"/>
        <v>2372043</v>
      </c>
      <c r="F12" s="64" t="s">
        <v>555</v>
      </c>
      <c r="G12" s="3">
        <v>47628960</v>
      </c>
      <c r="H12" s="13">
        <v>13665210</v>
      </c>
      <c r="I12" s="157">
        <f t="shared" si="10"/>
        <v>33963750</v>
      </c>
      <c r="J12" s="64" t="s">
        <v>577</v>
      </c>
      <c r="K12" s="3"/>
      <c r="L12" s="13">
        <v>82736635</v>
      </c>
      <c r="M12" s="157"/>
      <c r="N12" s="64" t="s">
        <v>607</v>
      </c>
      <c r="O12" s="158"/>
      <c r="P12" s="158"/>
      <c r="Q12" s="157">
        <f t="shared" si="1"/>
        <v>0</v>
      </c>
      <c r="R12" s="155"/>
      <c r="S12" s="158"/>
      <c r="T12" s="158"/>
      <c r="U12" s="157">
        <f t="shared" si="2"/>
        <v>0</v>
      </c>
      <c r="V12" s="159"/>
      <c r="W12" s="158"/>
      <c r="X12" s="158"/>
      <c r="Y12" s="157">
        <f t="shared" si="3"/>
        <v>0</v>
      </c>
      <c r="Z12" s="159"/>
      <c r="AA12" s="158"/>
      <c r="AB12" s="158"/>
      <c r="AC12" s="157">
        <f t="shared" si="4"/>
        <v>0</v>
      </c>
      <c r="AD12" s="159"/>
      <c r="AE12" s="158"/>
      <c r="AF12" s="158"/>
      <c r="AG12" s="157">
        <f t="shared" si="5"/>
        <v>0</v>
      </c>
      <c r="AH12" s="155"/>
      <c r="AI12" s="158"/>
      <c r="AJ12" s="158"/>
      <c r="AK12" s="157">
        <f t="shared" si="6"/>
        <v>0</v>
      </c>
      <c r="AL12" s="155"/>
      <c r="AM12" s="158"/>
      <c r="AN12" s="158"/>
      <c r="AO12" s="157">
        <f t="shared" si="7"/>
        <v>0</v>
      </c>
      <c r="AP12" s="159"/>
      <c r="AQ12" s="158"/>
      <c r="AR12" s="158"/>
      <c r="AS12" s="157">
        <f t="shared" si="8"/>
        <v>0</v>
      </c>
      <c r="AT12" s="159"/>
      <c r="AU12" s="158"/>
      <c r="AV12" s="158"/>
      <c r="AW12" s="157">
        <f t="shared" si="9"/>
        <v>0</v>
      </c>
      <c r="AX12" s="159"/>
      <c r="BA12" s="3"/>
    </row>
    <row r="13" spans="2:53" x14ac:dyDescent="0.4">
      <c r="B13" s="64" t="s">
        <v>249</v>
      </c>
      <c r="C13" s="13">
        <v>7783200</v>
      </c>
      <c r="D13" s="13">
        <v>32664300</v>
      </c>
      <c r="E13" s="160">
        <f t="shared" si="0"/>
        <v>-24881100</v>
      </c>
      <c r="F13" s="64" t="s">
        <v>555</v>
      </c>
      <c r="G13" s="13">
        <v>96720769</v>
      </c>
      <c r="H13" s="13">
        <v>95428269</v>
      </c>
      <c r="I13" s="160">
        <f t="shared" si="10"/>
        <v>1292500</v>
      </c>
      <c r="J13" s="64" t="s">
        <v>579</v>
      </c>
      <c r="K13" s="13"/>
      <c r="L13" s="13">
        <v>85362649</v>
      </c>
      <c r="M13" s="160"/>
      <c r="N13" s="64"/>
      <c r="O13" s="158"/>
      <c r="P13" s="158"/>
      <c r="Q13" s="157">
        <f t="shared" si="1"/>
        <v>0</v>
      </c>
      <c r="R13" s="155"/>
      <c r="S13" s="158"/>
      <c r="T13" s="158"/>
      <c r="U13" s="157">
        <f t="shared" si="2"/>
        <v>0</v>
      </c>
      <c r="V13" s="159"/>
      <c r="W13" s="158"/>
      <c r="X13" s="158"/>
      <c r="Y13" s="157">
        <f t="shared" si="3"/>
        <v>0</v>
      </c>
      <c r="Z13" s="159"/>
      <c r="AA13" s="158"/>
      <c r="AB13" s="158"/>
      <c r="AC13" s="157">
        <f t="shared" si="4"/>
        <v>0</v>
      </c>
      <c r="AD13" s="159"/>
      <c r="AE13" s="158"/>
      <c r="AF13" s="158"/>
      <c r="AG13" s="157">
        <f t="shared" si="5"/>
        <v>0</v>
      </c>
      <c r="AH13" s="155"/>
      <c r="AI13" s="158"/>
      <c r="AJ13" s="158"/>
      <c r="AK13" s="157">
        <f t="shared" si="6"/>
        <v>0</v>
      </c>
      <c r="AL13" s="155"/>
      <c r="AM13" s="158"/>
      <c r="AN13" s="158"/>
      <c r="AO13" s="157">
        <f t="shared" si="7"/>
        <v>0</v>
      </c>
      <c r="AP13" s="159"/>
      <c r="AQ13" s="158"/>
      <c r="AR13" s="158"/>
      <c r="AS13" s="157">
        <f t="shared" si="8"/>
        <v>0</v>
      </c>
      <c r="AT13" s="159"/>
      <c r="AU13" s="158"/>
      <c r="AV13" s="158"/>
      <c r="AW13" s="157">
        <f t="shared" si="9"/>
        <v>0</v>
      </c>
      <c r="AX13" s="159"/>
      <c r="BA13" s="3"/>
    </row>
    <row r="14" spans="2:53" x14ac:dyDescent="0.4">
      <c r="B14" s="64" t="s">
        <v>556</v>
      </c>
      <c r="C14" s="13">
        <v>43858800</v>
      </c>
      <c r="D14" s="13">
        <v>43858800</v>
      </c>
      <c r="E14" s="160">
        <f t="shared" si="0"/>
        <v>0</v>
      </c>
      <c r="F14" s="64"/>
      <c r="G14" s="13"/>
      <c r="H14" s="13"/>
      <c r="I14" s="160">
        <f t="shared" si="10"/>
        <v>0</v>
      </c>
      <c r="J14" s="64" t="s">
        <v>577</v>
      </c>
      <c r="K14" s="13"/>
      <c r="L14" s="13"/>
      <c r="M14" s="160"/>
      <c r="N14" s="64"/>
      <c r="O14" s="158"/>
      <c r="P14" s="158"/>
      <c r="Q14" s="157"/>
      <c r="R14" s="155"/>
      <c r="S14" s="158"/>
      <c r="T14" s="158"/>
      <c r="U14" s="157"/>
      <c r="V14" s="159"/>
      <c r="W14" s="158"/>
      <c r="X14" s="158"/>
      <c r="Y14" s="157"/>
      <c r="Z14" s="159"/>
      <c r="AA14" s="158"/>
      <c r="AB14" s="158"/>
      <c r="AC14" s="157"/>
      <c r="AD14" s="159"/>
      <c r="AE14" s="158"/>
      <c r="AF14" s="158"/>
      <c r="AG14" s="157"/>
      <c r="AH14" s="155"/>
      <c r="AI14" s="158"/>
      <c r="AJ14" s="158"/>
      <c r="AK14" s="157"/>
      <c r="AL14" s="155"/>
      <c r="AM14" s="158"/>
      <c r="AN14" s="158"/>
      <c r="AO14" s="157"/>
      <c r="AP14" s="159"/>
      <c r="AQ14" s="158"/>
      <c r="AR14" s="158"/>
      <c r="AS14" s="157"/>
      <c r="AT14" s="159"/>
      <c r="AU14" s="158"/>
      <c r="AV14" s="158"/>
      <c r="AW14" s="157"/>
      <c r="AX14" s="159"/>
      <c r="BA14" s="3"/>
    </row>
    <row r="15" spans="2:53" x14ac:dyDescent="0.4">
      <c r="B15" s="161" t="s">
        <v>427</v>
      </c>
      <c r="C15" s="162">
        <f>SUM(C4:C14)</f>
        <v>979666373</v>
      </c>
      <c r="D15" s="162">
        <f>SUM(D4:D14)</f>
        <v>1010553077</v>
      </c>
      <c r="E15" s="162">
        <f>SUM(E4:E13)</f>
        <v>-30886704</v>
      </c>
      <c r="F15" s="163"/>
      <c r="G15" s="162">
        <f>SUM(G4:G13)</f>
        <v>1517736244.6363635</v>
      </c>
      <c r="H15" s="162">
        <f>SUM(H4:H13)</f>
        <v>1449153118</v>
      </c>
      <c r="I15" s="162">
        <f>SUM(I4:I13)</f>
        <v>68583126.636363626</v>
      </c>
      <c r="J15" s="163"/>
      <c r="K15" s="162">
        <f>SUM(K4:K13)</f>
        <v>0</v>
      </c>
      <c r="L15" s="162">
        <f>SUM(L4:L13)</f>
        <v>1325392654</v>
      </c>
      <c r="M15" s="162">
        <f>SUM(M4:M13)</f>
        <v>0</v>
      </c>
      <c r="N15" s="163"/>
      <c r="O15" s="163">
        <f>SUM(O4:O13)</f>
        <v>0</v>
      </c>
      <c r="P15" s="164">
        <f>SUM(P4:P13)</f>
        <v>0</v>
      </c>
      <c r="Q15" s="162">
        <f>SUM(Q4:Q13)</f>
        <v>0</v>
      </c>
      <c r="R15" s="163"/>
      <c r="S15" s="163">
        <f>SUM(S4:S13)</f>
        <v>0</v>
      </c>
      <c r="T15" s="164">
        <f>SUM(T4:T13)</f>
        <v>0</v>
      </c>
      <c r="U15" s="162">
        <f>SUM(U4:U13)</f>
        <v>0</v>
      </c>
      <c r="V15" s="163"/>
      <c r="W15" s="163">
        <f>SUM(W4:W13)</f>
        <v>0</v>
      </c>
      <c r="X15" s="164">
        <f>SUM(X4:X13)</f>
        <v>0</v>
      </c>
      <c r="Y15" s="162">
        <f>SUM(Y4:Y13)</f>
        <v>0</v>
      </c>
      <c r="Z15" s="163"/>
      <c r="AA15" s="163">
        <f>SUM(AA4:AA13)</f>
        <v>0</v>
      </c>
      <c r="AB15" s="164">
        <f>SUM(AB4:AB13)</f>
        <v>0</v>
      </c>
      <c r="AC15" s="162">
        <f>SUM(AC4:AC13)</f>
        <v>0</v>
      </c>
      <c r="AD15" s="163"/>
      <c r="AE15" s="163">
        <f>SUM(AE4:AE13)</f>
        <v>0</v>
      </c>
      <c r="AF15" s="164">
        <f>SUM(AF4:AF13)</f>
        <v>0</v>
      </c>
      <c r="AG15" s="162">
        <f>SUM(AG4:AG13)</f>
        <v>0</v>
      </c>
      <c r="AH15" s="163"/>
      <c r="AI15" s="163">
        <f>SUM(AI4:AI13)</f>
        <v>0</v>
      </c>
      <c r="AJ15" s="164">
        <f>SUM(AJ4:AJ13)</f>
        <v>0</v>
      </c>
      <c r="AK15" s="162">
        <f>SUM(AK4:AK13)</f>
        <v>0</v>
      </c>
      <c r="AL15" s="163"/>
      <c r="AM15" s="163">
        <f>SUM(AM4:AM13)</f>
        <v>0</v>
      </c>
      <c r="AN15" s="164">
        <f>SUM(AN4:AN13)</f>
        <v>0</v>
      </c>
      <c r="AO15" s="162">
        <f>SUM(AO4:AO13)</f>
        <v>0</v>
      </c>
      <c r="AP15" s="163"/>
      <c r="AQ15" s="163">
        <f>SUM(AQ4:AQ13)</f>
        <v>0</v>
      </c>
      <c r="AR15" s="164">
        <f>SUM(AR4:AR13)</f>
        <v>0</v>
      </c>
      <c r="AS15" s="162">
        <f>SUM(AS4:AS13)</f>
        <v>0</v>
      </c>
      <c r="AT15" s="163"/>
      <c r="AU15" s="163">
        <f>SUM(AU4:AU13)</f>
        <v>0</v>
      </c>
      <c r="AV15" s="164">
        <f>SUM(AV4:AV13)</f>
        <v>0</v>
      </c>
      <c r="AW15" s="162">
        <f>SUM(AW4:AW13)</f>
        <v>0</v>
      </c>
      <c r="AX15" s="163"/>
    </row>
    <row r="17" spans="2:13" x14ac:dyDescent="0.4">
      <c r="B17" s="165"/>
      <c r="E17" s="166"/>
      <c r="I17" s="166"/>
      <c r="M17" s="166"/>
    </row>
    <row r="18" spans="2:13" x14ac:dyDescent="0.4">
      <c r="D18" s="3"/>
      <c r="H18" s="3"/>
      <c r="L18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5"/>
  <sheetViews>
    <sheetView zoomScale="85" zoomScaleNormal="85" workbookViewId="0">
      <selection activeCell="B12" sqref="B12:D20"/>
    </sheetView>
  </sheetViews>
  <sheetFormatPr defaultRowHeight="17.399999999999999" x14ac:dyDescent="0.4"/>
  <cols>
    <col min="1" max="1" width="24.59765625" customWidth="1"/>
    <col min="2" max="2" width="17.8984375" style="3" customWidth="1"/>
    <col min="3" max="4" width="16.59765625" style="3" customWidth="1"/>
    <col min="5" max="5" width="17.8984375" style="3" customWidth="1"/>
    <col min="6" max="9" width="16.59765625" style="3" bestFit="1" customWidth="1"/>
    <col min="10" max="13" width="16.59765625" style="3" customWidth="1"/>
    <col min="14" max="14" width="24.59765625" style="3" customWidth="1"/>
  </cols>
  <sheetData>
    <row r="3" spans="1:14" x14ac:dyDescent="0.4">
      <c r="A3" s="247" t="s">
        <v>316</v>
      </c>
      <c r="B3" t="s">
        <v>767</v>
      </c>
      <c r="C3" t="s">
        <v>797</v>
      </c>
      <c r="D3" t="s">
        <v>865</v>
      </c>
      <c r="E3" t="s">
        <v>659</v>
      </c>
      <c r="F3" t="s">
        <v>660</v>
      </c>
      <c r="G3" t="s">
        <v>331</v>
      </c>
      <c r="H3" t="s">
        <v>332</v>
      </c>
      <c r="I3" t="s">
        <v>334</v>
      </c>
      <c r="J3" t="s">
        <v>333</v>
      </c>
      <c r="K3" t="s">
        <v>335</v>
      </c>
      <c r="L3" t="s">
        <v>336</v>
      </c>
      <c r="M3" t="s">
        <v>337</v>
      </c>
      <c r="N3" t="s">
        <v>658</v>
      </c>
    </row>
    <row r="4" spans="1:14" x14ac:dyDescent="0.4">
      <c r="A4" s="248" t="s">
        <v>28</v>
      </c>
      <c r="B4" s="260">
        <v>1132740834</v>
      </c>
      <c r="C4" s="260">
        <v>953512684</v>
      </c>
      <c r="D4" s="260">
        <v>1422557294</v>
      </c>
      <c r="E4" s="260">
        <v>1652904733</v>
      </c>
      <c r="F4" s="260">
        <v>912054280</v>
      </c>
      <c r="G4" s="260">
        <v>1167484210</v>
      </c>
      <c r="H4" s="260">
        <v>1386972000</v>
      </c>
      <c r="I4" s="260">
        <v>907050000</v>
      </c>
      <c r="J4" s="260">
        <v>976530970</v>
      </c>
      <c r="K4" s="260">
        <v>1334796736</v>
      </c>
      <c r="L4" s="260">
        <v>746242283</v>
      </c>
      <c r="M4" s="260">
        <v>3932985829</v>
      </c>
      <c r="N4" s="260">
        <v>16525831853</v>
      </c>
    </row>
    <row r="5" spans="1:14" x14ac:dyDescent="0.4">
      <c r="A5" s="248" t="s">
        <v>25</v>
      </c>
      <c r="B5" s="260"/>
      <c r="C5" s="260"/>
      <c r="D5" s="260"/>
      <c r="E5" s="260">
        <v>24200000</v>
      </c>
      <c r="F5" s="260">
        <v>399710000</v>
      </c>
      <c r="G5" s="260">
        <v>801560000</v>
      </c>
      <c r="H5" s="260">
        <v>194200000</v>
      </c>
      <c r="I5" s="260">
        <v>786700000</v>
      </c>
      <c r="J5" s="260">
        <v>166550000</v>
      </c>
      <c r="K5" s="260">
        <v>160200000</v>
      </c>
      <c r="L5" s="260">
        <v>249700000</v>
      </c>
      <c r="M5" s="260">
        <v>1498700000</v>
      </c>
      <c r="N5" s="260">
        <v>4281520000</v>
      </c>
    </row>
    <row r="6" spans="1:14" x14ac:dyDescent="0.4">
      <c r="A6" s="248" t="s">
        <v>26</v>
      </c>
      <c r="B6" s="260"/>
      <c r="C6" s="260"/>
      <c r="D6" s="260"/>
      <c r="E6" s="260">
        <v>50000000</v>
      </c>
      <c r="F6" s="260">
        <v>626000000</v>
      </c>
      <c r="G6" s="260">
        <v>759500000</v>
      </c>
      <c r="H6" s="260">
        <v>554000000</v>
      </c>
      <c r="I6" s="260">
        <v>80000000</v>
      </c>
      <c r="J6" s="260">
        <v>142000000</v>
      </c>
      <c r="K6" s="260">
        <v>347000000</v>
      </c>
      <c r="L6" s="260">
        <v>135000000</v>
      </c>
      <c r="M6" s="260">
        <v>1597000000</v>
      </c>
      <c r="N6" s="260">
        <v>4290500000</v>
      </c>
    </row>
    <row r="7" spans="1:14" x14ac:dyDescent="0.4">
      <c r="A7" s="248" t="s">
        <v>317</v>
      </c>
      <c r="B7" s="260">
        <v>1132740834</v>
      </c>
      <c r="C7" s="260">
        <v>953512684</v>
      </c>
      <c r="D7" s="260">
        <v>1422557294</v>
      </c>
      <c r="E7" s="260">
        <v>1727104733</v>
      </c>
      <c r="F7" s="260">
        <v>1937764280</v>
      </c>
      <c r="G7" s="260">
        <v>2728544210</v>
      </c>
      <c r="H7" s="260">
        <v>2135172000</v>
      </c>
      <c r="I7" s="260">
        <v>1773750000</v>
      </c>
      <c r="J7" s="260">
        <v>1285080970</v>
      </c>
      <c r="K7" s="260">
        <v>1841996736</v>
      </c>
      <c r="L7" s="260">
        <v>1130942283</v>
      </c>
      <c r="M7" s="260">
        <v>7028685829</v>
      </c>
      <c r="N7" s="260">
        <v>25097851853</v>
      </c>
    </row>
    <row r="10" spans="1:14" x14ac:dyDescent="0.4">
      <c r="A10" s="247" t="s">
        <v>658</v>
      </c>
      <c r="B10" s="247" t="s">
        <v>359</v>
      </c>
      <c r="C10"/>
      <c r="D10"/>
      <c r="E10"/>
    </row>
    <row r="11" spans="1:14" x14ac:dyDescent="0.4">
      <c r="A11" s="247" t="s">
        <v>316</v>
      </c>
      <c r="B11" t="s">
        <v>28</v>
      </c>
      <c r="C11" t="s">
        <v>25</v>
      </c>
      <c r="D11" t="s">
        <v>26</v>
      </c>
      <c r="E11" t="s">
        <v>317</v>
      </c>
    </row>
    <row r="12" spans="1:14" x14ac:dyDescent="0.4">
      <c r="A12" s="248" t="s">
        <v>138</v>
      </c>
      <c r="B12" s="260">
        <v>2873559730</v>
      </c>
      <c r="C12" s="260">
        <v>338000000</v>
      </c>
      <c r="D12" s="260">
        <v>746000000</v>
      </c>
      <c r="E12" s="260">
        <v>3957559730</v>
      </c>
    </row>
    <row r="13" spans="1:14" x14ac:dyDescent="0.4">
      <c r="A13" s="248" t="s">
        <v>159</v>
      </c>
      <c r="B13" s="260">
        <v>3081839442</v>
      </c>
      <c r="C13" s="260">
        <v>1256000000</v>
      </c>
      <c r="D13" s="260">
        <v>130000000</v>
      </c>
      <c r="E13" s="260">
        <v>4467839442</v>
      </c>
    </row>
    <row r="14" spans="1:14" x14ac:dyDescent="0.4">
      <c r="A14" s="248" t="s">
        <v>196</v>
      </c>
      <c r="B14" s="260">
        <v>1625030800</v>
      </c>
      <c r="C14" s="260">
        <v>659210000</v>
      </c>
      <c r="D14" s="260">
        <v>1124000000</v>
      </c>
      <c r="E14" s="260">
        <v>3408240800</v>
      </c>
    </row>
    <row r="15" spans="1:14" x14ac:dyDescent="0.4">
      <c r="A15" s="248" t="s">
        <v>229</v>
      </c>
      <c r="B15" s="260">
        <v>2441965819</v>
      </c>
      <c r="C15" s="260">
        <v>866000000</v>
      </c>
      <c r="D15" s="260">
        <v>371000000</v>
      </c>
      <c r="E15" s="260">
        <v>3678965819</v>
      </c>
    </row>
    <row r="16" spans="1:14" x14ac:dyDescent="0.4">
      <c r="A16" s="248" t="s">
        <v>249</v>
      </c>
      <c r="B16" s="260">
        <v>1847980836</v>
      </c>
      <c r="C16" s="260">
        <v>400000000</v>
      </c>
      <c r="D16" s="260">
        <v>192000000</v>
      </c>
      <c r="E16" s="260">
        <v>2439980836</v>
      </c>
    </row>
    <row r="17" spans="1:5" x14ac:dyDescent="0.4">
      <c r="A17" s="248" t="s">
        <v>689</v>
      </c>
      <c r="B17" s="260">
        <v>909105673</v>
      </c>
      <c r="C17" s="260">
        <v>213000000</v>
      </c>
      <c r="D17" s="260">
        <v>207000000</v>
      </c>
      <c r="E17" s="260">
        <v>1329105673</v>
      </c>
    </row>
    <row r="18" spans="1:5" x14ac:dyDescent="0.4">
      <c r="A18" s="248" t="s">
        <v>727</v>
      </c>
      <c r="B18" s="260">
        <v>230427986</v>
      </c>
      <c r="C18" s="260">
        <v>168010000</v>
      </c>
      <c r="D18" s="260">
        <v>59500000</v>
      </c>
      <c r="E18" s="260">
        <v>457937986</v>
      </c>
    </row>
    <row r="19" spans="1:5" x14ac:dyDescent="0.4">
      <c r="A19" s="248" t="s">
        <v>732</v>
      </c>
      <c r="B19" s="260">
        <v>1497080925</v>
      </c>
      <c r="C19" s="260">
        <v>327500000</v>
      </c>
      <c r="D19" s="260">
        <v>1461000000</v>
      </c>
      <c r="E19" s="260">
        <v>3285580925</v>
      </c>
    </row>
    <row r="20" spans="1:5" x14ac:dyDescent="0.4">
      <c r="A20" s="248" t="s">
        <v>535</v>
      </c>
      <c r="B20" s="260">
        <v>2018840642</v>
      </c>
      <c r="C20" s="260">
        <v>53800000</v>
      </c>
      <c r="D20" s="260"/>
      <c r="E20" s="260">
        <v>2072640642</v>
      </c>
    </row>
    <row r="21" spans="1:5" x14ac:dyDescent="0.4">
      <c r="A21" s="248" t="s">
        <v>317</v>
      </c>
      <c r="B21" s="260">
        <v>16525831853</v>
      </c>
      <c r="C21" s="260">
        <v>4281520000</v>
      </c>
      <c r="D21" s="260">
        <v>4290500000</v>
      </c>
      <c r="E21" s="260">
        <v>25097851853</v>
      </c>
    </row>
    <row r="22" spans="1:5" x14ac:dyDescent="0.4">
      <c r="B22"/>
      <c r="C22"/>
      <c r="D22"/>
      <c r="E22"/>
    </row>
    <row r="23" spans="1:5" x14ac:dyDescent="0.4">
      <c r="B23"/>
      <c r="C23"/>
      <c r="D23"/>
      <c r="E23"/>
    </row>
    <row r="25" spans="1:5" x14ac:dyDescent="0.4">
      <c r="B25"/>
      <c r="C25"/>
      <c r="D25"/>
      <c r="E25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Normal="100" workbookViewId="0">
      <selection activeCell="K20" sqref="K20"/>
    </sheetView>
  </sheetViews>
  <sheetFormatPr defaultColWidth="8" defaultRowHeight="17.399999999999999" x14ac:dyDescent="0.4"/>
  <cols>
    <col min="1" max="1" width="3.5" style="16" customWidth="1"/>
    <col min="2" max="3" width="12.69921875" style="16" customWidth="1"/>
    <col min="4" max="4" width="12.69921875" style="17" customWidth="1"/>
    <col min="5" max="6" width="8" style="16"/>
    <col min="7" max="7" width="14.59765625" style="16" bestFit="1" customWidth="1"/>
    <col min="8" max="8" width="14.3984375" style="16" bestFit="1" customWidth="1"/>
    <col min="9" max="9" width="8.19921875" style="16" bestFit="1" customWidth="1"/>
    <col min="10" max="10" width="32" style="16" bestFit="1" customWidth="1"/>
    <col min="11" max="11" width="34.09765625" style="16" bestFit="1" customWidth="1"/>
    <col min="12" max="12" width="13.3984375" style="16" bestFit="1" customWidth="1"/>
    <col min="13" max="13" width="13" style="16" bestFit="1" customWidth="1"/>
    <col min="14" max="14" width="25.59765625" style="16" bestFit="1" customWidth="1"/>
    <col min="15" max="16384" width="8" style="16"/>
  </cols>
  <sheetData>
    <row r="1" spans="2:14" x14ac:dyDescent="0.4">
      <c r="B1" s="15">
        <f>SUBTOTAL(3,B3:B41)</f>
        <v>39</v>
      </c>
    </row>
    <row r="2" spans="2:14" x14ac:dyDescent="0.4">
      <c r="B2" s="18" t="s">
        <v>264</v>
      </c>
      <c r="C2" s="18" t="s">
        <v>265</v>
      </c>
      <c r="D2" s="19" t="s">
        <v>266</v>
      </c>
      <c r="G2" s="23" t="s">
        <v>278</v>
      </c>
      <c r="H2" s="23" t="s">
        <v>279</v>
      </c>
      <c r="I2" s="24" t="s">
        <v>10</v>
      </c>
      <c r="J2" s="23" t="s">
        <v>280</v>
      </c>
      <c r="K2" s="25" t="s">
        <v>755</v>
      </c>
      <c r="L2" s="26" t="s">
        <v>281</v>
      </c>
      <c r="M2" s="26" t="s">
        <v>11</v>
      </c>
      <c r="N2" s="26" t="s">
        <v>282</v>
      </c>
    </row>
    <row r="3" spans="2:14" x14ac:dyDescent="0.4">
      <c r="B3" s="20" t="s">
        <v>644</v>
      </c>
      <c r="C3" s="20" t="s">
        <v>17</v>
      </c>
      <c r="D3" s="21"/>
      <c r="G3" s="27" t="s">
        <v>283</v>
      </c>
      <c r="H3" s="27" t="s">
        <v>284</v>
      </c>
      <c r="I3" s="28" t="s">
        <v>43</v>
      </c>
      <c r="J3" s="29" t="s">
        <v>19</v>
      </c>
      <c r="K3" s="30" t="s">
        <v>29</v>
      </c>
      <c r="L3" s="31" t="s">
        <v>28</v>
      </c>
      <c r="M3" s="31" t="s">
        <v>285</v>
      </c>
      <c r="N3" s="31" t="s">
        <v>286</v>
      </c>
    </row>
    <row r="4" spans="2:14" x14ac:dyDescent="0.4">
      <c r="B4" s="20" t="s">
        <v>0</v>
      </c>
      <c r="C4" s="20" t="s">
        <v>17</v>
      </c>
      <c r="D4" s="21"/>
      <c r="G4" s="27" t="s">
        <v>287</v>
      </c>
      <c r="H4" s="27" t="s">
        <v>288</v>
      </c>
      <c r="I4" s="28" t="s">
        <v>101</v>
      </c>
      <c r="J4" s="29" t="s">
        <v>30</v>
      </c>
      <c r="K4" s="30" t="s">
        <v>20</v>
      </c>
      <c r="L4" s="31" t="s">
        <v>25</v>
      </c>
      <c r="M4" s="31" t="s">
        <v>289</v>
      </c>
      <c r="N4" s="31" t="s">
        <v>290</v>
      </c>
    </row>
    <row r="5" spans="2:14" x14ac:dyDescent="0.4">
      <c r="B5" s="20" t="s">
        <v>100</v>
      </c>
      <c r="C5" s="20" t="s">
        <v>17</v>
      </c>
      <c r="D5" s="21"/>
      <c r="G5" s="27" t="s">
        <v>291</v>
      </c>
      <c r="H5" s="27" t="s">
        <v>292</v>
      </c>
      <c r="I5" s="28" t="s">
        <v>33</v>
      </c>
      <c r="J5" s="29" t="s">
        <v>37</v>
      </c>
      <c r="K5" s="30" t="s">
        <v>31</v>
      </c>
      <c r="L5" s="31" t="s">
        <v>26</v>
      </c>
      <c r="M5" s="31" t="s">
        <v>293</v>
      </c>
      <c r="N5" s="31" t="s">
        <v>294</v>
      </c>
    </row>
    <row r="6" spans="2:14" x14ac:dyDescent="0.4">
      <c r="B6" s="20" t="s">
        <v>165</v>
      </c>
      <c r="C6" s="20" t="s">
        <v>17</v>
      </c>
      <c r="D6" s="21"/>
      <c r="G6" s="27" t="s">
        <v>295</v>
      </c>
      <c r="H6" s="27" t="s">
        <v>296</v>
      </c>
      <c r="I6" s="27" t="s">
        <v>297</v>
      </c>
      <c r="J6" s="29" t="s">
        <v>47</v>
      </c>
      <c r="K6" s="30" t="s">
        <v>38</v>
      </c>
      <c r="L6" s="27" t="s">
        <v>56</v>
      </c>
      <c r="M6" s="29"/>
      <c r="N6" s="29" t="s">
        <v>298</v>
      </c>
    </row>
    <row r="7" spans="2:14" x14ac:dyDescent="0.4">
      <c r="B7" s="20" t="s">
        <v>3</v>
      </c>
      <c r="C7" s="20" t="s">
        <v>17</v>
      </c>
      <c r="D7" s="21"/>
      <c r="G7" s="27" t="s">
        <v>299</v>
      </c>
      <c r="H7" s="27"/>
      <c r="I7" s="27"/>
      <c r="J7" s="29" t="s">
        <v>54</v>
      </c>
      <c r="K7" s="30" t="s">
        <v>161</v>
      </c>
      <c r="L7" s="27" t="s">
        <v>618</v>
      </c>
      <c r="M7" s="29"/>
      <c r="N7" s="29" t="s">
        <v>300</v>
      </c>
    </row>
    <row r="8" spans="2:14" x14ac:dyDescent="0.4">
      <c r="B8" s="20" t="s">
        <v>119</v>
      </c>
      <c r="C8" s="20" t="s">
        <v>17</v>
      </c>
      <c r="D8" s="22"/>
      <c r="G8" s="27"/>
      <c r="H8" s="27"/>
      <c r="I8" s="27"/>
      <c r="J8" s="29" t="s">
        <v>27</v>
      </c>
      <c r="K8" s="30" t="s">
        <v>739</v>
      </c>
      <c r="L8" s="27" t="s">
        <v>544</v>
      </c>
      <c r="M8" s="29"/>
      <c r="N8" s="29" t="s">
        <v>301</v>
      </c>
    </row>
    <row r="9" spans="2:14" x14ac:dyDescent="0.4">
      <c r="B9" s="20" t="s">
        <v>122</v>
      </c>
      <c r="C9" s="20" t="s">
        <v>17</v>
      </c>
      <c r="D9" s="22"/>
      <c r="G9" s="27"/>
      <c r="H9" s="27"/>
      <c r="I9" s="27"/>
      <c r="J9" s="29" t="s">
        <v>45</v>
      </c>
      <c r="K9" s="32" t="s">
        <v>341</v>
      </c>
      <c r="L9" s="27" t="s">
        <v>22</v>
      </c>
      <c r="M9" s="29"/>
      <c r="N9" s="29" t="s">
        <v>302</v>
      </c>
    </row>
    <row r="10" spans="2:14" x14ac:dyDescent="0.4">
      <c r="B10" s="20" t="s">
        <v>94</v>
      </c>
      <c r="C10" s="20" t="s">
        <v>17</v>
      </c>
      <c r="D10" s="22"/>
      <c r="G10" s="27"/>
      <c r="H10" s="27"/>
      <c r="I10" s="27"/>
      <c r="J10" s="29" t="s">
        <v>61</v>
      </c>
      <c r="K10" s="32" t="s">
        <v>340</v>
      </c>
      <c r="L10" s="27" t="s">
        <v>21</v>
      </c>
      <c r="M10" s="29"/>
      <c r="N10" s="29" t="s">
        <v>303</v>
      </c>
    </row>
    <row r="11" spans="2:14" x14ac:dyDescent="0.4">
      <c r="B11" s="20" t="s">
        <v>645</v>
      </c>
      <c r="C11" s="20" t="s">
        <v>17</v>
      </c>
      <c r="D11" s="21"/>
      <c r="G11" s="27"/>
      <c r="H11" s="27"/>
      <c r="I11" s="27"/>
      <c r="J11" s="29" t="s">
        <v>304</v>
      </c>
      <c r="K11" s="32" t="s">
        <v>349</v>
      </c>
      <c r="L11" s="27" t="s">
        <v>656</v>
      </c>
      <c r="M11" s="29"/>
      <c r="N11" s="29"/>
    </row>
    <row r="12" spans="2:14" x14ac:dyDescent="0.4">
      <c r="B12" s="20" t="s">
        <v>50</v>
      </c>
      <c r="C12" s="20" t="s">
        <v>17</v>
      </c>
      <c r="D12" s="21"/>
      <c r="G12" s="27"/>
      <c r="H12" s="27"/>
      <c r="I12" s="27"/>
      <c r="J12" s="29" t="s">
        <v>24</v>
      </c>
      <c r="K12" s="32" t="s">
        <v>740</v>
      </c>
      <c r="L12" s="27"/>
      <c r="M12" s="29"/>
      <c r="N12" s="29"/>
    </row>
    <row r="13" spans="2:14" x14ac:dyDescent="0.4">
      <c r="B13" s="20" t="s">
        <v>95</v>
      </c>
      <c r="C13" s="20" t="s">
        <v>17</v>
      </c>
      <c r="D13" s="21"/>
      <c r="G13" s="27"/>
      <c r="H13" s="27"/>
      <c r="I13" s="27"/>
      <c r="J13" s="29" t="s">
        <v>36</v>
      </c>
      <c r="K13" s="32" t="s">
        <v>741</v>
      </c>
      <c r="L13" s="27"/>
      <c r="M13" s="29"/>
      <c r="N13" s="29"/>
    </row>
    <row r="14" spans="2:14" x14ac:dyDescent="0.4">
      <c r="B14" s="20" t="s">
        <v>646</v>
      </c>
      <c r="C14" s="20" t="s">
        <v>17</v>
      </c>
      <c r="D14" s="21"/>
      <c r="G14" s="27"/>
      <c r="H14" s="27"/>
      <c r="I14" s="27"/>
      <c r="J14" s="29" t="s">
        <v>39</v>
      </c>
      <c r="K14" s="32" t="s">
        <v>742</v>
      </c>
      <c r="L14" s="27"/>
      <c r="M14" s="29"/>
      <c r="N14" s="29"/>
    </row>
    <row r="15" spans="2:14" x14ac:dyDescent="0.4">
      <c r="B15" s="20" t="s">
        <v>276</v>
      </c>
      <c r="C15" s="20" t="s">
        <v>92</v>
      </c>
      <c r="D15" s="21"/>
      <c r="G15" s="27"/>
      <c r="H15" s="27"/>
      <c r="I15" s="27"/>
      <c r="J15" s="29" t="s">
        <v>118</v>
      </c>
      <c r="K15" s="32" t="s">
        <v>743</v>
      </c>
      <c r="L15" s="27"/>
      <c r="M15" s="29"/>
      <c r="N15" s="29"/>
    </row>
    <row r="16" spans="2:14" x14ac:dyDescent="0.4">
      <c r="B16" s="20" t="s">
        <v>138</v>
      </c>
      <c r="C16" s="20" t="s">
        <v>92</v>
      </c>
      <c r="D16" s="21"/>
      <c r="G16" s="27"/>
      <c r="H16" s="27"/>
      <c r="I16" s="27"/>
      <c r="J16" s="29" t="s">
        <v>41</v>
      </c>
      <c r="K16" s="32" t="s">
        <v>744</v>
      </c>
      <c r="L16" s="27"/>
      <c r="M16" s="29"/>
      <c r="N16" s="29"/>
    </row>
    <row r="17" spans="2:14" x14ac:dyDescent="0.4">
      <c r="B17" s="20" t="s">
        <v>184</v>
      </c>
      <c r="C17" s="20" t="s">
        <v>92</v>
      </c>
      <c r="D17" s="21"/>
      <c r="G17" s="27"/>
      <c r="H17" s="27"/>
      <c r="I17" s="27"/>
      <c r="J17" s="29" t="s">
        <v>277</v>
      </c>
      <c r="K17" s="32" t="s">
        <v>745</v>
      </c>
      <c r="L17" s="27"/>
      <c r="M17" s="29"/>
      <c r="N17" s="29"/>
    </row>
    <row r="18" spans="2:14" x14ac:dyDescent="0.4">
      <c r="B18" s="20" t="s">
        <v>193</v>
      </c>
      <c r="C18" s="20" t="s">
        <v>92</v>
      </c>
      <c r="D18" s="21"/>
      <c r="G18" s="27"/>
      <c r="H18" s="27"/>
      <c r="I18" s="27"/>
      <c r="J18" s="29" t="s">
        <v>305</v>
      </c>
      <c r="K18" s="32" t="s">
        <v>746</v>
      </c>
      <c r="L18" s="27"/>
      <c r="M18" s="29"/>
      <c r="N18" s="29"/>
    </row>
    <row r="19" spans="2:14" x14ac:dyDescent="0.4">
      <c r="B19" s="20" t="s">
        <v>196</v>
      </c>
      <c r="C19" s="20" t="s">
        <v>92</v>
      </c>
      <c r="D19" s="21"/>
      <c r="G19" s="27"/>
      <c r="H19" s="27"/>
      <c r="I19" s="27"/>
      <c r="J19" s="29" t="s">
        <v>306</v>
      </c>
      <c r="K19" s="32" t="s">
        <v>747</v>
      </c>
      <c r="L19" s="27"/>
      <c r="M19" s="29"/>
      <c r="N19" s="29"/>
    </row>
    <row r="20" spans="2:14" x14ac:dyDescent="0.4">
      <c r="B20" s="20" t="s">
        <v>102</v>
      </c>
      <c r="C20" s="20" t="s">
        <v>92</v>
      </c>
      <c r="D20" s="22"/>
      <c r="G20" s="27"/>
      <c r="H20" s="27"/>
      <c r="I20" s="27"/>
      <c r="J20" s="29" t="s">
        <v>34</v>
      </c>
      <c r="K20" s="32" t="s">
        <v>748</v>
      </c>
      <c r="L20" s="27"/>
      <c r="M20" s="29"/>
      <c r="N20" s="29"/>
    </row>
    <row r="21" spans="2:14" x14ac:dyDescent="0.4">
      <c r="B21" s="20" t="s">
        <v>229</v>
      </c>
      <c r="C21" s="20" t="s">
        <v>92</v>
      </c>
      <c r="D21" s="21"/>
      <c r="G21" s="27"/>
      <c r="H21" s="27"/>
      <c r="I21" s="27"/>
      <c r="J21" s="29" t="s">
        <v>113</v>
      </c>
      <c r="K21" s="32" t="s">
        <v>749</v>
      </c>
      <c r="L21" s="27"/>
      <c r="M21" s="29"/>
      <c r="N21" s="29"/>
    </row>
    <row r="22" spans="2:14" x14ac:dyDescent="0.4">
      <c r="B22" s="20" t="s">
        <v>235</v>
      </c>
      <c r="C22" s="20" t="s">
        <v>92</v>
      </c>
      <c r="D22" s="21"/>
      <c r="G22" s="27"/>
      <c r="H22" s="27"/>
      <c r="I22" s="27"/>
      <c r="J22" s="29" t="s">
        <v>120</v>
      </c>
      <c r="K22" s="32" t="s">
        <v>750</v>
      </c>
      <c r="L22" s="27"/>
      <c r="M22" s="29"/>
      <c r="N22" s="29"/>
    </row>
    <row r="23" spans="2:14" x14ac:dyDescent="0.4">
      <c r="B23" s="20" t="s">
        <v>249</v>
      </c>
      <c r="C23" s="20" t="s">
        <v>92</v>
      </c>
      <c r="D23" s="21"/>
      <c r="G23" s="27"/>
      <c r="H23" s="27"/>
      <c r="I23" s="27"/>
      <c r="J23" s="29" t="s">
        <v>307</v>
      </c>
      <c r="K23" s="32" t="s">
        <v>751</v>
      </c>
      <c r="L23" s="27"/>
      <c r="M23" s="29"/>
      <c r="N23" s="29"/>
    </row>
    <row r="24" spans="2:14" x14ac:dyDescent="0.4">
      <c r="B24" s="20" t="s">
        <v>212</v>
      </c>
      <c r="C24" s="20" t="s">
        <v>92</v>
      </c>
      <c r="D24" s="22"/>
      <c r="G24" s="29"/>
      <c r="H24" s="29"/>
      <c r="I24" s="29"/>
      <c r="J24" s="29" t="s">
        <v>308</v>
      </c>
      <c r="K24" s="32" t="s">
        <v>351</v>
      </c>
      <c r="L24" s="29"/>
      <c r="M24" s="29"/>
      <c r="N24" s="29"/>
    </row>
    <row r="25" spans="2:14" x14ac:dyDescent="0.4">
      <c r="B25" s="20" t="s">
        <v>647</v>
      </c>
      <c r="C25" s="20" t="s">
        <v>137</v>
      </c>
      <c r="D25" s="21"/>
      <c r="G25" s="29"/>
      <c r="H25" s="29"/>
      <c r="I25" s="29"/>
      <c r="J25" s="33" t="s">
        <v>88</v>
      </c>
      <c r="K25" s="32" t="s">
        <v>752</v>
      </c>
      <c r="L25" s="29"/>
      <c r="M25" s="29"/>
      <c r="N25" s="29"/>
    </row>
    <row r="26" spans="2:14" x14ac:dyDescent="0.4">
      <c r="B26" s="20" t="s">
        <v>162</v>
      </c>
      <c r="C26" s="20" t="s">
        <v>137</v>
      </c>
      <c r="D26" s="21"/>
      <c r="G26" s="29"/>
      <c r="H26" s="29"/>
      <c r="I26" s="29"/>
      <c r="J26" s="33" t="s">
        <v>46</v>
      </c>
      <c r="K26" s="32" t="s">
        <v>753</v>
      </c>
      <c r="L26" s="29"/>
      <c r="M26" s="29"/>
      <c r="N26" s="29"/>
    </row>
    <row r="27" spans="2:14" x14ac:dyDescent="0.4">
      <c r="B27" s="20" t="s">
        <v>55</v>
      </c>
      <c r="C27" s="20" t="s">
        <v>137</v>
      </c>
      <c r="D27" s="21"/>
      <c r="G27" s="29"/>
      <c r="H27" s="29"/>
      <c r="I27" s="29"/>
      <c r="J27" s="33" t="s">
        <v>170</v>
      </c>
      <c r="K27" s="34" t="s">
        <v>754</v>
      </c>
      <c r="L27" s="29"/>
      <c r="M27" s="29"/>
      <c r="N27" s="29"/>
    </row>
    <row r="28" spans="2:14" x14ac:dyDescent="0.4">
      <c r="B28" s="20" t="s">
        <v>2</v>
      </c>
      <c r="C28" s="20" t="s">
        <v>137</v>
      </c>
      <c r="D28" s="21"/>
      <c r="G28" s="29"/>
      <c r="H28" s="29"/>
      <c r="I28" s="29"/>
      <c r="J28" s="33" t="s">
        <v>48</v>
      </c>
      <c r="K28" s="34"/>
      <c r="L28" s="29"/>
      <c r="M28" s="29"/>
      <c r="N28" s="29"/>
    </row>
    <row r="29" spans="2:14" x14ac:dyDescent="0.4">
      <c r="B29" s="20" t="s">
        <v>180</v>
      </c>
      <c r="C29" s="20" t="s">
        <v>137</v>
      </c>
      <c r="D29" s="22"/>
      <c r="G29" s="29"/>
      <c r="H29" s="29"/>
      <c r="I29" s="29"/>
      <c r="J29" s="33" t="s">
        <v>309</v>
      </c>
      <c r="K29" s="34"/>
      <c r="L29" s="29"/>
      <c r="M29" s="29"/>
      <c r="N29" s="29"/>
    </row>
    <row r="30" spans="2:14" x14ac:dyDescent="0.4">
      <c r="B30" s="20" t="s">
        <v>648</v>
      </c>
      <c r="C30" s="20" t="s">
        <v>137</v>
      </c>
      <c r="D30" s="21"/>
      <c r="G30" s="29"/>
      <c r="H30" s="29"/>
      <c r="I30" s="29"/>
      <c r="J30" s="33" t="s">
        <v>310</v>
      </c>
      <c r="K30" s="34"/>
      <c r="L30" s="29"/>
      <c r="M30" s="29"/>
      <c r="N30" s="29"/>
    </row>
    <row r="31" spans="2:14" x14ac:dyDescent="0.4">
      <c r="B31" s="20" t="s">
        <v>1</v>
      </c>
      <c r="C31" s="20" t="s">
        <v>137</v>
      </c>
      <c r="D31" s="21"/>
      <c r="G31" s="29"/>
      <c r="H31" s="29"/>
      <c r="I31" s="29"/>
      <c r="J31" s="33" t="s">
        <v>311</v>
      </c>
      <c r="K31" s="34"/>
      <c r="L31" s="29"/>
      <c r="M31" s="29"/>
      <c r="N31" s="29"/>
    </row>
    <row r="32" spans="2:14" x14ac:dyDescent="0.4">
      <c r="B32" s="20" t="s">
        <v>267</v>
      </c>
      <c r="C32" s="20" t="s">
        <v>71</v>
      </c>
      <c r="D32" s="21"/>
      <c r="G32" s="29"/>
      <c r="H32" s="29"/>
      <c r="I32" s="29"/>
      <c r="J32" s="33" t="s">
        <v>312</v>
      </c>
      <c r="K32" s="34"/>
      <c r="L32" s="29"/>
      <c r="M32" s="29"/>
      <c r="N32" s="29"/>
    </row>
    <row r="33" spans="2:14" x14ac:dyDescent="0.4">
      <c r="B33" s="20" t="s">
        <v>268</v>
      </c>
      <c r="C33" s="20" t="s">
        <v>71</v>
      </c>
      <c r="D33" s="21"/>
      <c r="G33" s="29"/>
      <c r="H33" s="29"/>
      <c r="I33" s="29"/>
      <c r="J33" s="33" t="s">
        <v>99</v>
      </c>
      <c r="K33" s="34"/>
      <c r="L33" s="29"/>
      <c r="M33" s="29"/>
      <c r="N33" s="29"/>
    </row>
    <row r="34" spans="2:14" x14ac:dyDescent="0.4">
      <c r="B34" s="20" t="s">
        <v>269</v>
      </c>
      <c r="C34" s="20" t="s">
        <v>71</v>
      </c>
      <c r="D34" s="21"/>
      <c r="G34" s="29"/>
      <c r="H34" s="29"/>
      <c r="I34" s="29"/>
      <c r="J34" s="33" t="s">
        <v>313</v>
      </c>
      <c r="K34" s="34"/>
      <c r="L34" s="29"/>
      <c r="M34" s="29"/>
      <c r="N34" s="29"/>
    </row>
    <row r="35" spans="2:14" x14ac:dyDescent="0.4">
      <c r="B35" s="20" t="s">
        <v>271</v>
      </c>
      <c r="C35" s="20" t="s">
        <v>71</v>
      </c>
      <c r="D35" s="21"/>
      <c r="G35" s="29"/>
      <c r="H35" s="29"/>
      <c r="I35" s="29"/>
      <c r="J35" s="33" t="s">
        <v>314</v>
      </c>
      <c r="K35" s="34"/>
      <c r="L35" s="29"/>
      <c r="M35" s="29"/>
      <c r="N35" s="29"/>
    </row>
    <row r="36" spans="2:14" x14ac:dyDescent="0.4">
      <c r="B36" s="20" t="s">
        <v>272</v>
      </c>
      <c r="C36" s="20" t="s">
        <v>71</v>
      </c>
      <c r="D36" s="21"/>
      <c r="G36" s="29"/>
      <c r="H36" s="29"/>
      <c r="I36" s="29"/>
      <c r="J36" s="33" t="s">
        <v>60</v>
      </c>
      <c r="K36" s="34"/>
      <c r="L36" s="29"/>
      <c r="M36" s="29"/>
      <c r="N36" s="29"/>
    </row>
    <row r="37" spans="2:14" x14ac:dyDescent="0.4">
      <c r="B37" s="20" t="s">
        <v>273</v>
      </c>
      <c r="C37" s="20" t="s">
        <v>71</v>
      </c>
      <c r="D37" s="21"/>
      <c r="G37" s="29"/>
      <c r="H37" s="29"/>
      <c r="I37" s="29"/>
      <c r="J37" s="33" t="s">
        <v>220</v>
      </c>
      <c r="K37" s="34"/>
      <c r="L37" s="29"/>
      <c r="M37" s="29"/>
      <c r="N37" s="29"/>
    </row>
    <row r="38" spans="2:14" x14ac:dyDescent="0.4">
      <c r="B38" s="20" t="s">
        <v>275</v>
      </c>
      <c r="C38" s="20" t="s">
        <v>71</v>
      </c>
      <c r="D38" s="21"/>
      <c r="G38" s="29"/>
      <c r="H38" s="29"/>
      <c r="I38" s="29"/>
      <c r="J38" s="33" t="s">
        <v>42</v>
      </c>
      <c r="K38" s="34"/>
      <c r="L38" s="29"/>
      <c r="M38" s="29"/>
      <c r="N38" s="29"/>
    </row>
    <row r="39" spans="2:14" x14ac:dyDescent="0.4">
      <c r="B39" s="20" t="s">
        <v>270</v>
      </c>
      <c r="C39" s="20" t="s">
        <v>649</v>
      </c>
      <c r="D39" s="21"/>
    </row>
    <row r="40" spans="2:14" x14ac:dyDescent="0.4">
      <c r="B40" s="20" t="s">
        <v>274</v>
      </c>
      <c r="C40" s="20" t="s">
        <v>649</v>
      </c>
      <c r="D40" s="21"/>
    </row>
    <row r="41" spans="2:14" x14ac:dyDescent="0.4">
      <c r="B41" s="20" t="s">
        <v>650</v>
      </c>
      <c r="C41" s="20" t="s">
        <v>649</v>
      </c>
      <c r="D41" s="21"/>
    </row>
    <row r="42" spans="2:14" x14ac:dyDescent="0.4">
      <c r="B42" s="20" t="s">
        <v>651</v>
      </c>
      <c r="C42" s="20" t="s">
        <v>649</v>
      </c>
      <c r="D42" s="21"/>
    </row>
    <row r="43" spans="2:14" x14ac:dyDescent="0.4">
      <c r="B43" s="20" t="s">
        <v>652</v>
      </c>
      <c r="C43" s="20" t="s">
        <v>652</v>
      </c>
      <c r="D43" s="21"/>
    </row>
    <row r="44" spans="2:14" x14ac:dyDescent="0.4">
      <c r="B44" s="20" t="s">
        <v>159</v>
      </c>
      <c r="C44" s="20" t="s">
        <v>137</v>
      </c>
      <c r="D44" s="21"/>
    </row>
    <row r="45" spans="2:14" x14ac:dyDescent="0.4">
      <c r="B45" s="20" t="s">
        <v>535</v>
      </c>
      <c r="C45" s="20" t="s">
        <v>92</v>
      </c>
      <c r="D45" s="21"/>
    </row>
    <row r="46" spans="2:14" x14ac:dyDescent="0.4">
      <c r="B46" s="20" t="s">
        <v>653</v>
      </c>
      <c r="C46" s="20" t="s">
        <v>17</v>
      </c>
      <c r="D46" s="21"/>
    </row>
    <row r="47" spans="2:14" x14ac:dyDescent="0.4">
      <c r="B47" s="20" t="s">
        <v>654</v>
      </c>
      <c r="C47" s="20" t="s">
        <v>71</v>
      </c>
      <c r="D47" s="21"/>
    </row>
    <row r="48" spans="2:14" x14ac:dyDescent="0.4">
      <c r="B48" s="20" t="s">
        <v>655</v>
      </c>
      <c r="C48" s="20" t="s">
        <v>71</v>
      </c>
      <c r="D48" s="21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B2" workbookViewId="0">
      <selection activeCell="F5" sqref="F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271" t="s">
        <v>799</v>
      </c>
      <c r="F1" s="272"/>
      <c r="G1" s="273" t="s">
        <v>800</v>
      </c>
      <c r="H1" s="272"/>
      <c r="I1"/>
      <c r="J1" s="274"/>
      <c r="K1" s="275" t="s">
        <v>801</v>
      </c>
      <c r="L1" s="274"/>
    </row>
    <row r="2" spans="2:12" x14ac:dyDescent="0.4">
      <c r="B2" s="276"/>
      <c r="C2" s="277" t="s">
        <v>802</v>
      </c>
      <c r="D2" s="276"/>
      <c r="E2" s="2"/>
      <c r="F2" s="278" t="s">
        <v>803</v>
      </c>
      <c r="G2" s="278" t="s">
        <v>804</v>
      </c>
      <c r="H2" s="279" t="s">
        <v>805</v>
      </c>
      <c r="J2" s="278" t="s">
        <v>803</v>
      </c>
      <c r="K2" s="278" t="s">
        <v>804</v>
      </c>
      <c r="L2" s="279" t="s">
        <v>805</v>
      </c>
    </row>
    <row r="3" spans="2:12" s="2" customFormat="1" x14ac:dyDescent="0.4">
      <c r="B3" s="280"/>
      <c r="C3" s="280"/>
      <c r="D3" s="280"/>
      <c r="F3" s="278">
        <f>SUBTOTAL(3,F5:F1000)</f>
        <v>0</v>
      </c>
      <c r="G3" s="278">
        <f t="shared" ref="G3:H3" si="0">SUBTOTAL(3,G5:G1000)</f>
        <v>0</v>
      </c>
      <c r="H3" s="278">
        <f t="shared" si="0"/>
        <v>0</v>
      </c>
      <c r="I3"/>
      <c r="J3" s="278">
        <f>SUBTOTAL(3,J5:J1000)</f>
        <v>0</v>
      </c>
      <c r="K3" s="278">
        <f t="shared" ref="K3:L3" si="1">SUBTOTAL(3,K5:K1000)</f>
        <v>0</v>
      </c>
      <c r="L3" s="278">
        <f t="shared" si="1"/>
        <v>0</v>
      </c>
    </row>
    <row r="4" spans="2:12" x14ac:dyDescent="0.4">
      <c r="B4" s="281"/>
      <c r="C4" s="281"/>
      <c r="D4" s="281"/>
      <c r="E4" s="2"/>
      <c r="F4" s="281"/>
      <c r="G4" s="281"/>
      <c r="H4" s="281"/>
      <c r="J4" s="281"/>
      <c r="K4" s="281"/>
      <c r="L4" s="281"/>
    </row>
    <row r="5" spans="2:12" x14ac:dyDescent="0.4">
      <c r="B5" t="b">
        <f t="shared" ref="B5:B67" si="2">F5=J5</f>
        <v>1</v>
      </c>
      <c r="C5" t="b">
        <f t="shared" ref="C5:C67" si="3">G5=K5</f>
        <v>1</v>
      </c>
      <c r="D5" t="b">
        <f t="shared" ref="D5:D67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ref="B68:B103" si="5">F68=J68</f>
        <v>1</v>
      </c>
      <c r="C68" t="b">
        <f t="shared" ref="C68:C103" si="6">G68=K68</f>
        <v>1</v>
      </c>
      <c r="D68" t="b">
        <f t="shared" ref="D68:D103" si="7">H68=L68</f>
        <v>1</v>
      </c>
    </row>
    <row r="69" spans="2:4" x14ac:dyDescent="0.4">
      <c r="B69" t="b">
        <f t="shared" si="5"/>
        <v>1</v>
      </c>
      <c r="C69" t="b">
        <f t="shared" si="6"/>
        <v>1</v>
      </c>
      <c r="D69" t="b">
        <f t="shared" si="7"/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ref="B104:B132" si="8">F104=J104</f>
        <v>1</v>
      </c>
      <c r="C104" t="b">
        <f t="shared" ref="C104:C132" si="9">G104=K104</f>
        <v>1</v>
      </c>
      <c r="D104" t="b">
        <f t="shared" ref="D104:D132" si="10">H104=L104</f>
        <v>1</v>
      </c>
    </row>
    <row r="105" spans="2:4" x14ac:dyDescent="0.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 x14ac:dyDescent="0.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 x14ac:dyDescent="0.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 x14ac:dyDescent="0.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 x14ac:dyDescent="0.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 x14ac:dyDescent="0.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 x14ac:dyDescent="0.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 x14ac:dyDescent="0.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 x14ac:dyDescent="0.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 x14ac:dyDescent="0.4">
      <c r="B114" t="b">
        <f t="shared" si="8"/>
        <v>1</v>
      </c>
      <c r="C114" t="b">
        <f t="shared" si="9"/>
        <v>1</v>
      </c>
      <c r="D114" t="b">
        <f t="shared" si="10"/>
        <v>1</v>
      </c>
    </row>
    <row r="115" spans="2:4" x14ac:dyDescent="0.4">
      <c r="B115" t="b">
        <f t="shared" si="8"/>
        <v>1</v>
      </c>
      <c r="C115" t="b">
        <f t="shared" si="9"/>
        <v>1</v>
      </c>
      <c r="D115" t="b">
        <f t="shared" si="10"/>
        <v>1</v>
      </c>
    </row>
    <row r="116" spans="2:4" x14ac:dyDescent="0.4">
      <c r="B116" t="b">
        <f t="shared" si="8"/>
        <v>1</v>
      </c>
      <c r="C116" t="b">
        <f t="shared" si="9"/>
        <v>1</v>
      </c>
      <c r="D116" t="b">
        <f t="shared" si="10"/>
        <v>1</v>
      </c>
    </row>
    <row r="117" spans="2:4" x14ac:dyDescent="0.4">
      <c r="B117" t="b">
        <f t="shared" si="8"/>
        <v>1</v>
      </c>
      <c r="C117" t="b">
        <f t="shared" si="9"/>
        <v>1</v>
      </c>
      <c r="D117" t="b">
        <f t="shared" si="10"/>
        <v>1</v>
      </c>
    </row>
    <row r="118" spans="2:4" x14ac:dyDescent="0.4">
      <c r="B118" t="b">
        <f t="shared" si="8"/>
        <v>1</v>
      </c>
      <c r="C118" t="b">
        <f t="shared" si="9"/>
        <v>1</v>
      </c>
      <c r="D118" t="b">
        <f t="shared" si="10"/>
        <v>1</v>
      </c>
    </row>
    <row r="119" spans="2:4" x14ac:dyDescent="0.4">
      <c r="B119" t="b">
        <f t="shared" si="8"/>
        <v>1</v>
      </c>
      <c r="C119" t="b">
        <f t="shared" si="9"/>
        <v>1</v>
      </c>
      <c r="D119" t="b">
        <f t="shared" si="10"/>
        <v>1</v>
      </c>
    </row>
    <row r="120" spans="2:4" x14ac:dyDescent="0.4">
      <c r="B120" t="b">
        <f t="shared" si="8"/>
        <v>1</v>
      </c>
      <c r="C120" t="b">
        <f t="shared" si="9"/>
        <v>1</v>
      </c>
      <c r="D120" t="b">
        <f t="shared" si="10"/>
        <v>1</v>
      </c>
    </row>
    <row r="121" spans="2:4" x14ac:dyDescent="0.4">
      <c r="B121" t="b">
        <f t="shared" si="8"/>
        <v>1</v>
      </c>
      <c r="C121" t="b">
        <f t="shared" si="9"/>
        <v>1</v>
      </c>
      <c r="D121" t="b">
        <f t="shared" si="10"/>
        <v>1</v>
      </c>
    </row>
    <row r="122" spans="2:4" x14ac:dyDescent="0.4">
      <c r="B122" t="b">
        <f t="shared" si="8"/>
        <v>1</v>
      </c>
      <c r="C122" t="b">
        <f t="shared" si="9"/>
        <v>1</v>
      </c>
      <c r="D122" t="b">
        <f t="shared" si="10"/>
        <v>1</v>
      </c>
    </row>
    <row r="123" spans="2:4" x14ac:dyDescent="0.4">
      <c r="B123" t="b">
        <f t="shared" si="8"/>
        <v>1</v>
      </c>
      <c r="C123" t="b">
        <f t="shared" si="9"/>
        <v>1</v>
      </c>
      <c r="D123" t="b">
        <f t="shared" si="10"/>
        <v>1</v>
      </c>
    </row>
    <row r="124" spans="2:4" x14ac:dyDescent="0.4">
      <c r="B124" t="b">
        <f t="shared" si="8"/>
        <v>1</v>
      </c>
      <c r="C124" t="b">
        <f t="shared" si="9"/>
        <v>1</v>
      </c>
      <c r="D124" t="b">
        <f t="shared" si="10"/>
        <v>1</v>
      </c>
    </row>
    <row r="125" spans="2:4" x14ac:dyDescent="0.4">
      <c r="B125" t="b">
        <f t="shared" si="8"/>
        <v>1</v>
      </c>
      <c r="C125" t="b">
        <f t="shared" si="9"/>
        <v>1</v>
      </c>
      <c r="D125" t="b">
        <f t="shared" si="10"/>
        <v>1</v>
      </c>
    </row>
    <row r="126" spans="2:4" x14ac:dyDescent="0.4">
      <c r="B126" t="b">
        <f t="shared" si="8"/>
        <v>1</v>
      </c>
      <c r="C126" t="b">
        <f t="shared" si="9"/>
        <v>1</v>
      </c>
      <c r="D126" t="b">
        <f t="shared" si="10"/>
        <v>1</v>
      </c>
    </row>
    <row r="127" spans="2:4" x14ac:dyDescent="0.4">
      <c r="B127" t="b">
        <f t="shared" si="8"/>
        <v>1</v>
      </c>
      <c r="C127" t="b">
        <f t="shared" si="9"/>
        <v>1</v>
      </c>
      <c r="D127" t="b">
        <f t="shared" si="10"/>
        <v>1</v>
      </c>
    </row>
    <row r="128" spans="2:4" x14ac:dyDescent="0.4">
      <c r="B128" t="b">
        <f t="shared" si="8"/>
        <v>1</v>
      </c>
      <c r="C128" t="b">
        <f t="shared" si="9"/>
        <v>1</v>
      </c>
      <c r="D128" t="b">
        <f t="shared" si="10"/>
        <v>1</v>
      </c>
    </row>
    <row r="129" spans="2:4" x14ac:dyDescent="0.4">
      <c r="B129" t="b">
        <f t="shared" si="8"/>
        <v>1</v>
      </c>
      <c r="C129" t="b">
        <f t="shared" si="9"/>
        <v>1</v>
      </c>
      <c r="D129" t="b">
        <f t="shared" si="10"/>
        <v>1</v>
      </c>
    </row>
    <row r="130" spans="2:4" x14ac:dyDescent="0.4">
      <c r="B130" t="b">
        <f t="shared" si="8"/>
        <v>1</v>
      </c>
      <c r="C130" t="b">
        <f t="shared" si="9"/>
        <v>1</v>
      </c>
      <c r="D130" t="b">
        <f t="shared" si="10"/>
        <v>1</v>
      </c>
    </row>
    <row r="131" spans="2:4" x14ac:dyDescent="0.4">
      <c r="B131" t="b">
        <f t="shared" si="8"/>
        <v>1</v>
      </c>
      <c r="C131" t="b">
        <f t="shared" si="9"/>
        <v>1</v>
      </c>
      <c r="D131" t="b">
        <f t="shared" si="10"/>
        <v>1</v>
      </c>
    </row>
    <row r="132" spans="2:4" x14ac:dyDescent="0.4">
      <c r="B132" t="b">
        <f t="shared" si="8"/>
        <v>1</v>
      </c>
      <c r="C132" t="b">
        <f t="shared" si="9"/>
        <v>1</v>
      </c>
      <c r="D132" t="b">
        <f t="shared" si="10"/>
        <v>1</v>
      </c>
    </row>
    <row r="133" spans="2:4" x14ac:dyDescent="0.4">
      <c r="B133" t="b">
        <f t="shared" ref="B133:B196" si="11">F133=J133</f>
        <v>1</v>
      </c>
      <c r="C133" t="b">
        <f t="shared" ref="C133:C196" si="12">G133=K133</f>
        <v>1</v>
      </c>
      <c r="D133" t="b">
        <f t="shared" ref="D133:D196" si="13">H133=L133</f>
        <v>1</v>
      </c>
    </row>
    <row r="134" spans="2:4" x14ac:dyDescent="0.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 x14ac:dyDescent="0.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 x14ac:dyDescent="0.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 x14ac:dyDescent="0.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 x14ac:dyDescent="0.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 x14ac:dyDescent="0.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 x14ac:dyDescent="0.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 x14ac:dyDescent="0.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 x14ac:dyDescent="0.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 x14ac:dyDescent="0.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 x14ac:dyDescent="0.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 x14ac:dyDescent="0.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 x14ac:dyDescent="0.4">
      <c r="B146" t="b">
        <f t="shared" si="11"/>
        <v>1</v>
      </c>
      <c r="C146" t="b">
        <f t="shared" si="12"/>
        <v>1</v>
      </c>
      <c r="D146" t="b">
        <f t="shared" si="13"/>
        <v>1</v>
      </c>
    </row>
    <row r="147" spans="2:4" x14ac:dyDescent="0.4">
      <c r="B147" t="b">
        <f t="shared" si="11"/>
        <v>1</v>
      </c>
      <c r="C147" t="b">
        <f t="shared" si="12"/>
        <v>1</v>
      </c>
      <c r="D147" t="b">
        <f t="shared" si="13"/>
        <v>1</v>
      </c>
    </row>
    <row r="148" spans="2:4" x14ac:dyDescent="0.4">
      <c r="B148" t="b">
        <f t="shared" si="11"/>
        <v>1</v>
      </c>
      <c r="C148" t="b">
        <f t="shared" si="12"/>
        <v>1</v>
      </c>
      <c r="D148" t="b">
        <f t="shared" si="13"/>
        <v>1</v>
      </c>
    </row>
    <row r="149" spans="2:4" x14ac:dyDescent="0.4">
      <c r="B149" t="b">
        <f t="shared" si="11"/>
        <v>1</v>
      </c>
      <c r="C149" t="b">
        <f t="shared" si="12"/>
        <v>1</v>
      </c>
      <c r="D149" t="b">
        <f t="shared" si="13"/>
        <v>1</v>
      </c>
    </row>
    <row r="150" spans="2:4" x14ac:dyDescent="0.4">
      <c r="B150" t="b">
        <f t="shared" si="11"/>
        <v>1</v>
      </c>
      <c r="C150" t="b">
        <f t="shared" si="12"/>
        <v>1</v>
      </c>
      <c r="D150" t="b">
        <f t="shared" si="13"/>
        <v>1</v>
      </c>
    </row>
    <row r="151" spans="2:4" x14ac:dyDescent="0.4">
      <c r="B151" t="b">
        <f t="shared" si="11"/>
        <v>1</v>
      </c>
      <c r="C151" t="b">
        <f t="shared" si="12"/>
        <v>1</v>
      </c>
      <c r="D151" t="b">
        <f t="shared" si="13"/>
        <v>1</v>
      </c>
    </row>
    <row r="152" spans="2:4" x14ac:dyDescent="0.4">
      <c r="B152" t="b">
        <f t="shared" si="11"/>
        <v>1</v>
      </c>
      <c r="C152" t="b">
        <f t="shared" si="12"/>
        <v>1</v>
      </c>
      <c r="D152" t="b">
        <f t="shared" si="13"/>
        <v>1</v>
      </c>
    </row>
    <row r="153" spans="2:4" x14ac:dyDescent="0.4">
      <c r="B153" t="b">
        <f t="shared" si="11"/>
        <v>1</v>
      </c>
      <c r="C153" t="b">
        <f t="shared" si="12"/>
        <v>1</v>
      </c>
      <c r="D153" t="b">
        <f t="shared" si="13"/>
        <v>1</v>
      </c>
    </row>
    <row r="154" spans="2:4" x14ac:dyDescent="0.4">
      <c r="B154" t="b">
        <f t="shared" si="11"/>
        <v>1</v>
      </c>
      <c r="C154" t="b">
        <f t="shared" si="12"/>
        <v>1</v>
      </c>
      <c r="D154" t="b">
        <f t="shared" si="13"/>
        <v>1</v>
      </c>
    </row>
    <row r="155" spans="2:4" x14ac:dyDescent="0.4">
      <c r="B155" t="b">
        <f t="shared" si="11"/>
        <v>1</v>
      </c>
      <c r="C155" t="b">
        <f t="shared" si="12"/>
        <v>1</v>
      </c>
      <c r="D155" t="b">
        <f t="shared" si="13"/>
        <v>1</v>
      </c>
    </row>
    <row r="156" spans="2:4" x14ac:dyDescent="0.4">
      <c r="B156" t="b">
        <f t="shared" si="11"/>
        <v>1</v>
      </c>
      <c r="C156" t="b">
        <f t="shared" si="12"/>
        <v>1</v>
      </c>
      <c r="D156" t="b">
        <f t="shared" si="13"/>
        <v>1</v>
      </c>
    </row>
    <row r="157" spans="2:4" x14ac:dyDescent="0.4">
      <c r="B157" t="b">
        <f t="shared" si="11"/>
        <v>1</v>
      </c>
      <c r="C157" t="b">
        <f t="shared" si="12"/>
        <v>1</v>
      </c>
      <c r="D157" t="b">
        <f t="shared" si="13"/>
        <v>1</v>
      </c>
    </row>
    <row r="158" spans="2:4" x14ac:dyDescent="0.4">
      <c r="B158" t="b">
        <f t="shared" si="11"/>
        <v>1</v>
      </c>
      <c r="C158" t="b">
        <f t="shared" si="12"/>
        <v>1</v>
      </c>
      <c r="D158" t="b">
        <f t="shared" si="13"/>
        <v>1</v>
      </c>
    </row>
    <row r="159" spans="2:4" x14ac:dyDescent="0.4">
      <c r="B159" t="b">
        <f t="shared" si="11"/>
        <v>1</v>
      </c>
      <c r="C159" t="b">
        <f t="shared" si="12"/>
        <v>1</v>
      </c>
      <c r="D159" t="b">
        <f t="shared" si="13"/>
        <v>1</v>
      </c>
    </row>
    <row r="160" spans="2:4" x14ac:dyDescent="0.4">
      <c r="B160" t="b">
        <f t="shared" si="11"/>
        <v>1</v>
      </c>
      <c r="C160" t="b">
        <f t="shared" si="12"/>
        <v>1</v>
      </c>
      <c r="D160" t="b">
        <f t="shared" si="13"/>
        <v>1</v>
      </c>
    </row>
    <row r="161" spans="2:4" x14ac:dyDescent="0.4">
      <c r="B161" t="b">
        <f t="shared" si="11"/>
        <v>1</v>
      </c>
      <c r="C161" t="b">
        <f t="shared" si="12"/>
        <v>1</v>
      </c>
      <c r="D161" t="b">
        <f t="shared" si="13"/>
        <v>1</v>
      </c>
    </row>
    <row r="162" spans="2:4" x14ac:dyDescent="0.4">
      <c r="B162" t="b">
        <f t="shared" si="11"/>
        <v>1</v>
      </c>
      <c r="C162" t="b">
        <f t="shared" si="12"/>
        <v>1</v>
      </c>
      <c r="D162" t="b">
        <f t="shared" si="13"/>
        <v>1</v>
      </c>
    </row>
    <row r="163" spans="2:4" x14ac:dyDescent="0.4">
      <c r="B163" t="b">
        <f t="shared" si="11"/>
        <v>1</v>
      </c>
      <c r="C163" t="b">
        <f t="shared" si="12"/>
        <v>1</v>
      </c>
      <c r="D163" t="b">
        <f t="shared" si="13"/>
        <v>1</v>
      </c>
    </row>
    <row r="164" spans="2:4" x14ac:dyDescent="0.4">
      <c r="B164" t="b">
        <f t="shared" si="11"/>
        <v>1</v>
      </c>
      <c r="C164" t="b">
        <f t="shared" si="12"/>
        <v>1</v>
      </c>
      <c r="D164" t="b">
        <f t="shared" si="13"/>
        <v>1</v>
      </c>
    </row>
    <row r="165" spans="2:4" x14ac:dyDescent="0.4">
      <c r="B165" t="b">
        <f t="shared" si="11"/>
        <v>1</v>
      </c>
      <c r="C165" t="b">
        <f t="shared" si="12"/>
        <v>1</v>
      </c>
      <c r="D165" t="b">
        <f t="shared" si="13"/>
        <v>1</v>
      </c>
    </row>
    <row r="166" spans="2:4" x14ac:dyDescent="0.4">
      <c r="B166" t="b">
        <f t="shared" si="11"/>
        <v>1</v>
      </c>
      <c r="C166" t="b">
        <f t="shared" si="12"/>
        <v>1</v>
      </c>
      <c r="D166" t="b">
        <f t="shared" si="13"/>
        <v>1</v>
      </c>
    </row>
    <row r="167" spans="2:4" x14ac:dyDescent="0.4">
      <c r="B167" t="b">
        <f t="shared" si="11"/>
        <v>1</v>
      </c>
      <c r="C167" t="b">
        <f t="shared" si="12"/>
        <v>1</v>
      </c>
      <c r="D167" t="b">
        <f t="shared" si="13"/>
        <v>1</v>
      </c>
    </row>
    <row r="168" spans="2:4" x14ac:dyDescent="0.4">
      <c r="B168" t="b">
        <f t="shared" si="11"/>
        <v>1</v>
      </c>
      <c r="C168" t="b">
        <f t="shared" si="12"/>
        <v>1</v>
      </c>
      <c r="D168" t="b">
        <f t="shared" si="13"/>
        <v>1</v>
      </c>
    </row>
    <row r="169" spans="2:4" x14ac:dyDescent="0.4">
      <c r="B169" t="b">
        <f t="shared" si="11"/>
        <v>1</v>
      </c>
      <c r="C169" t="b">
        <f t="shared" si="12"/>
        <v>1</v>
      </c>
      <c r="D169" t="b">
        <f t="shared" si="13"/>
        <v>1</v>
      </c>
    </row>
    <row r="170" spans="2:4" x14ac:dyDescent="0.4">
      <c r="B170" t="b">
        <f t="shared" si="11"/>
        <v>1</v>
      </c>
      <c r="C170" t="b">
        <f t="shared" si="12"/>
        <v>1</v>
      </c>
      <c r="D170" t="b">
        <f t="shared" si="13"/>
        <v>1</v>
      </c>
    </row>
    <row r="171" spans="2:4" x14ac:dyDescent="0.4">
      <c r="B171" t="b">
        <f t="shared" si="11"/>
        <v>1</v>
      </c>
      <c r="C171" t="b">
        <f t="shared" si="12"/>
        <v>1</v>
      </c>
      <c r="D171" t="b">
        <f t="shared" si="13"/>
        <v>1</v>
      </c>
    </row>
    <row r="172" spans="2:4" x14ac:dyDescent="0.4">
      <c r="B172" t="b">
        <f t="shared" si="11"/>
        <v>1</v>
      </c>
      <c r="C172" t="b">
        <f t="shared" si="12"/>
        <v>1</v>
      </c>
      <c r="D172" t="b">
        <f t="shared" si="13"/>
        <v>1</v>
      </c>
    </row>
    <row r="173" spans="2:4" x14ac:dyDescent="0.4">
      <c r="B173" t="b">
        <f t="shared" si="11"/>
        <v>1</v>
      </c>
      <c r="C173" t="b">
        <f t="shared" si="12"/>
        <v>1</v>
      </c>
      <c r="D173" t="b">
        <f t="shared" si="13"/>
        <v>1</v>
      </c>
    </row>
    <row r="174" spans="2:4" x14ac:dyDescent="0.4">
      <c r="B174" t="b">
        <f t="shared" si="11"/>
        <v>1</v>
      </c>
      <c r="C174" t="b">
        <f t="shared" si="12"/>
        <v>1</v>
      </c>
      <c r="D174" t="b">
        <f t="shared" si="13"/>
        <v>1</v>
      </c>
    </row>
    <row r="175" spans="2:4" x14ac:dyDescent="0.4">
      <c r="B175" t="b">
        <f t="shared" si="11"/>
        <v>1</v>
      </c>
      <c r="C175" t="b">
        <f t="shared" si="12"/>
        <v>1</v>
      </c>
      <c r="D175" t="b">
        <f t="shared" si="13"/>
        <v>1</v>
      </c>
    </row>
    <row r="176" spans="2:4" x14ac:dyDescent="0.4">
      <c r="B176" t="b">
        <f t="shared" si="11"/>
        <v>1</v>
      </c>
      <c r="C176" t="b">
        <f t="shared" si="12"/>
        <v>1</v>
      </c>
      <c r="D176" t="b">
        <f t="shared" si="13"/>
        <v>1</v>
      </c>
    </row>
    <row r="177" spans="2:4" x14ac:dyDescent="0.4">
      <c r="B177" t="b">
        <f t="shared" si="11"/>
        <v>1</v>
      </c>
      <c r="C177" t="b">
        <f t="shared" si="12"/>
        <v>1</v>
      </c>
      <c r="D177" t="b">
        <f t="shared" si="13"/>
        <v>1</v>
      </c>
    </row>
    <row r="178" spans="2:4" x14ac:dyDescent="0.4">
      <c r="B178" t="b">
        <f t="shared" si="11"/>
        <v>1</v>
      </c>
      <c r="C178" t="b">
        <f t="shared" si="12"/>
        <v>1</v>
      </c>
      <c r="D178" t="b">
        <f t="shared" si="13"/>
        <v>1</v>
      </c>
    </row>
    <row r="179" spans="2:4" x14ac:dyDescent="0.4">
      <c r="B179" t="b">
        <f t="shared" si="11"/>
        <v>1</v>
      </c>
      <c r="C179" t="b">
        <f t="shared" si="12"/>
        <v>1</v>
      </c>
      <c r="D179" t="b">
        <f t="shared" si="13"/>
        <v>1</v>
      </c>
    </row>
    <row r="180" spans="2:4" x14ac:dyDescent="0.4">
      <c r="B180" t="b">
        <f t="shared" si="11"/>
        <v>1</v>
      </c>
      <c r="C180" t="b">
        <f t="shared" si="12"/>
        <v>1</v>
      </c>
      <c r="D180" t="b">
        <f t="shared" si="13"/>
        <v>1</v>
      </c>
    </row>
    <row r="181" spans="2:4" x14ac:dyDescent="0.4">
      <c r="B181" t="b">
        <f t="shared" si="11"/>
        <v>1</v>
      </c>
      <c r="C181" t="b">
        <f t="shared" si="12"/>
        <v>1</v>
      </c>
      <c r="D181" t="b">
        <f t="shared" si="13"/>
        <v>1</v>
      </c>
    </row>
    <row r="182" spans="2:4" x14ac:dyDescent="0.4">
      <c r="B182" t="b">
        <f t="shared" si="11"/>
        <v>1</v>
      </c>
      <c r="C182" t="b">
        <f t="shared" si="12"/>
        <v>1</v>
      </c>
      <c r="D182" t="b">
        <f t="shared" si="13"/>
        <v>1</v>
      </c>
    </row>
    <row r="183" spans="2:4" x14ac:dyDescent="0.4">
      <c r="B183" t="b">
        <f t="shared" si="11"/>
        <v>1</v>
      </c>
      <c r="C183" t="b">
        <f t="shared" si="12"/>
        <v>1</v>
      </c>
      <c r="D183" t="b">
        <f t="shared" si="13"/>
        <v>1</v>
      </c>
    </row>
    <row r="184" spans="2:4" x14ac:dyDescent="0.4">
      <c r="B184" t="b">
        <f t="shared" si="11"/>
        <v>1</v>
      </c>
      <c r="C184" t="b">
        <f t="shared" si="12"/>
        <v>1</v>
      </c>
      <c r="D184" t="b">
        <f t="shared" si="13"/>
        <v>1</v>
      </c>
    </row>
    <row r="185" spans="2:4" x14ac:dyDescent="0.4">
      <c r="B185" t="b">
        <f t="shared" si="11"/>
        <v>1</v>
      </c>
      <c r="C185" t="b">
        <f t="shared" si="12"/>
        <v>1</v>
      </c>
      <c r="D185" t="b">
        <f t="shared" si="13"/>
        <v>1</v>
      </c>
    </row>
    <row r="186" spans="2:4" x14ac:dyDescent="0.4">
      <c r="B186" t="b">
        <f t="shared" si="11"/>
        <v>1</v>
      </c>
      <c r="C186" t="b">
        <f t="shared" si="12"/>
        <v>1</v>
      </c>
      <c r="D186" t="b">
        <f t="shared" si="13"/>
        <v>1</v>
      </c>
    </row>
    <row r="187" spans="2:4" x14ac:dyDescent="0.4">
      <c r="B187" t="b">
        <f t="shared" si="11"/>
        <v>1</v>
      </c>
      <c r="C187" t="b">
        <f t="shared" si="12"/>
        <v>1</v>
      </c>
      <c r="D187" t="b">
        <f t="shared" si="13"/>
        <v>1</v>
      </c>
    </row>
    <row r="188" spans="2:4" x14ac:dyDescent="0.4">
      <c r="B188" t="b">
        <f t="shared" si="11"/>
        <v>1</v>
      </c>
      <c r="C188" t="b">
        <f t="shared" si="12"/>
        <v>1</v>
      </c>
      <c r="D188" t="b">
        <f t="shared" si="13"/>
        <v>1</v>
      </c>
    </row>
    <row r="189" spans="2:4" x14ac:dyDescent="0.4">
      <c r="B189" t="b">
        <f t="shared" si="11"/>
        <v>1</v>
      </c>
      <c r="C189" t="b">
        <f t="shared" si="12"/>
        <v>1</v>
      </c>
      <c r="D189" t="b">
        <f t="shared" si="13"/>
        <v>1</v>
      </c>
    </row>
    <row r="190" spans="2:4" x14ac:dyDescent="0.4">
      <c r="B190" t="b">
        <f t="shared" si="11"/>
        <v>1</v>
      </c>
      <c r="C190" t="b">
        <f t="shared" si="12"/>
        <v>1</v>
      </c>
      <c r="D190" t="b">
        <f t="shared" si="13"/>
        <v>1</v>
      </c>
    </row>
    <row r="191" spans="2:4" x14ac:dyDescent="0.4">
      <c r="B191" t="b">
        <f t="shared" si="11"/>
        <v>1</v>
      </c>
      <c r="C191" t="b">
        <f t="shared" si="12"/>
        <v>1</v>
      </c>
      <c r="D191" t="b">
        <f t="shared" si="13"/>
        <v>1</v>
      </c>
    </row>
    <row r="192" spans="2:4" x14ac:dyDescent="0.4">
      <c r="B192" t="b">
        <f t="shared" si="11"/>
        <v>1</v>
      </c>
      <c r="C192" t="b">
        <f t="shared" si="12"/>
        <v>1</v>
      </c>
      <c r="D192" t="b">
        <f t="shared" si="13"/>
        <v>1</v>
      </c>
    </row>
    <row r="193" spans="2:4" x14ac:dyDescent="0.4">
      <c r="B193" t="b">
        <f t="shared" si="11"/>
        <v>1</v>
      </c>
      <c r="C193" t="b">
        <f t="shared" si="12"/>
        <v>1</v>
      </c>
      <c r="D193" t="b">
        <f t="shared" si="13"/>
        <v>1</v>
      </c>
    </row>
    <row r="194" spans="2:4" x14ac:dyDescent="0.4">
      <c r="B194" t="b">
        <f t="shared" si="11"/>
        <v>1</v>
      </c>
      <c r="C194" t="b">
        <f t="shared" si="12"/>
        <v>1</v>
      </c>
      <c r="D194" t="b">
        <f t="shared" si="13"/>
        <v>1</v>
      </c>
    </row>
    <row r="195" spans="2:4" x14ac:dyDescent="0.4">
      <c r="B195" t="b">
        <f t="shared" si="11"/>
        <v>1</v>
      </c>
      <c r="C195" t="b">
        <f t="shared" si="12"/>
        <v>1</v>
      </c>
      <c r="D195" t="b">
        <f t="shared" si="13"/>
        <v>1</v>
      </c>
    </row>
    <row r="196" spans="2:4" x14ac:dyDescent="0.4">
      <c r="B196" t="b">
        <f t="shared" si="11"/>
        <v>1</v>
      </c>
      <c r="C196" t="b">
        <f t="shared" si="12"/>
        <v>1</v>
      </c>
      <c r="D196" t="b">
        <f t="shared" si="13"/>
        <v>1</v>
      </c>
    </row>
    <row r="197" spans="2:4" x14ac:dyDescent="0.4">
      <c r="B197" t="b">
        <f t="shared" ref="B197:B260" si="14">F197=J197</f>
        <v>1</v>
      </c>
      <c r="C197" t="b">
        <f t="shared" ref="C197:C260" si="15">G197=K197</f>
        <v>1</v>
      </c>
      <c r="D197" t="b">
        <f t="shared" ref="D197:D260" si="16">H197=L197</f>
        <v>1</v>
      </c>
    </row>
    <row r="198" spans="2:4" x14ac:dyDescent="0.4">
      <c r="B198" t="b">
        <f t="shared" si="14"/>
        <v>1</v>
      </c>
      <c r="C198" t="b">
        <f t="shared" si="15"/>
        <v>1</v>
      </c>
      <c r="D198" t="b">
        <f t="shared" si="16"/>
        <v>1</v>
      </c>
    </row>
    <row r="199" spans="2:4" x14ac:dyDescent="0.4">
      <c r="B199" t="b">
        <f t="shared" si="14"/>
        <v>1</v>
      </c>
      <c r="C199" t="b">
        <f t="shared" si="15"/>
        <v>1</v>
      </c>
      <c r="D199" t="b">
        <f t="shared" si="16"/>
        <v>1</v>
      </c>
    </row>
    <row r="200" spans="2:4" x14ac:dyDescent="0.4">
      <c r="B200" t="b">
        <f t="shared" si="14"/>
        <v>1</v>
      </c>
      <c r="C200" t="b">
        <f t="shared" si="15"/>
        <v>1</v>
      </c>
      <c r="D200" t="b">
        <f t="shared" si="16"/>
        <v>1</v>
      </c>
    </row>
    <row r="201" spans="2:4" x14ac:dyDescent="0.4">
      <c r="B201" t="b">
        <f t="shared" si="14"/>
        <v>1</v>
      </c>
      <c r="C201" t="b">
        <f t="shared" si="15"/>
        <v>1</v>
      </c>
      <c r="D201" t="b">
        <f t="shared" si="16"/>
        <v>1</v>
      </c>
    </row>
    <row r="202" spans="2:4" x14ac:dyDescent="0.4">
      <c r="B202" t="b">
        <f t="shared" si="14"/>
        <v>1</v>
      </c>
      <c r="C202" t="b">
        <f t="shared" si="15"/>
        <v>1</v>
      </c>
      <c r="D202" t="b">
        <f t="shared" si="16"/>
        <v>1</v>
      </c>
    </row>
    <row r="203" spans="2:4" x14ac:dyDescent="0.4">
      <c r="B203" t="b">
        <f t="shared" si="14"/>
        <v>1</v>
      </c>
      <c r="C203" t="b">
        <f t="shared" si="15"/>
        <v>1</v>
      </c>
      <c r="D203" t="b">
        <f t="shared" si="16"/>
        <v>1</v>
      </c>
    </row>
    <row r="204" spans="2:4" x14ac:dyDescent="0.4">
      <c r="B204" t="b">
        <f t="shared" si="14"/>
        <v>1</v>
      </c>
      <c r="C204" t="b">
        <f t="shared" si="15"/>
        <v>1</v>
      </c>
      <c r="D204" t="b">
        <f t="shared" si="16"/>
        <v>1</v>
      </c>
    </row>
    <row r="205" spans="2:4" x14ac:dyDescent="0.4">
      <c r="B205" t="b">
        <f t="shared" si="14"/>
        <v>1</v>
      </c>
      <c r="C205" t="b">
        <f t="shared" si="15"/>
        <v>1</v>
      </c>
      <c r="D205" t="b">
        <f t="shared" si="16"/>
        <v>1</v>
      </c>
    </row>
    <row r="206" spans="2:4" x14ac:dyDescent="0.4">
      <c r="B206" t="b">
        <f t="shared" si="14"/>
        <v>1</v>
      </c>
      <c r="C206" t="b">
        <f t="shared" si="15"/>
        <v>1</v>
      </c>
      <c r="D206" t="b">
        <f t="shared" si="16"/>
        <v>1</v>
      </c>
    </row>
    <row r="207" spans="2:4" x14ac:dyDescent="0.4">
      <c r="B207" t="b">
        <f t="shared" si="14"/>
        <v>1</v>
      </c>
      <c r="C207" t="b">
        <f t="shared" si="15"/>
        <v>1</v>
      </c>
      <c r="D207" t="b">
        <f t="shared" si="16"/>
        <v>1</v>
      </c>
    </row>
    <row r="208" spans="2:4" x14ac:dyDescent="0.4">
      <c r="B208" t="b">
        <f t="shared" si="14"/>
        <v>1</v>
      </c>
      <c r="C208" t="b">
        <f t="shared" si="15"/>
        <v>1</v>
      </c>
      <c r="D208" t="b">
        <f t="shared" si="16"/>
        <v>1</v>
      </c>
    </row>
    <row r="209" spans="2:4" x14ac:dyDescent="0.4">
      <c r="B209" t="b">
        <f t="shared" si="14"/>
        <v>1</v>
      </c>
      <c r="C209" t="b">
        <f t="shared" si="15"/>
        <v>1</v>
      </c>
      <c r="D209" t="b">
        <f t="shared" si="16"/>
        <v>1</v>
      </c>
    </row>
    <row r="210" spans="2:4" x14ac:dyDescent="0.4">
      <c r="B210" t="b">
        <f t="shared" si="14"/>
        <v>1</v>
      </c>
      <c r="C210" t="b">
        <f t="shared" si="15"/>
        <v>1</v>
      </c>
      <c r="D210" t="b">
        <f t="shared" si="16"/>
        <v>1</v>
      </c>
    </row>
    <row r="211" spans="2:4" x14ac:dyDescent="0.4">
      <c r="B211" t="b">
        <f t="shared" si="14"/>
        <v>1</v>
      </c>
      <c r="C211" t="b">
        <f t="shared" si="15"/>
        <v>1</v>
      </c>
      <c r="D211" t="b">
        <f t="shared" si="16"/>
        <v>1</v>
      </c>
    </row>
    <row r="212" spans="2:4" x14ac:dyDescent="0.4">
      <c r="B212" t="b">
        <f t="shared" si="14"/>
        <v>1</v>
      </c>
      <c r="C212" t="b">
        <f t="shared" si="15"/>
        <v>1</v>
      </c>
      <c r="D212" t="b">
        <f t="shared" si="16"/>
        <v>1</v>
      </c>
    </row>
    <row r="213" spans="2:4" x14ac:dyDescent="0.4">
      <c r="B213" t="b">
        <f t="shared" si="14"/>
        <v>1</v>
      </c>
      <c r="C213" t="b">
        <f t="shared" si="15"/>
        <v>1</v>
      </c>
      <c r="D213" t="b">
        <f t="shared" si="16"/>
        <v>1</v>
      </c>
    </row>
    <row r="214" spans="2:4" x14ac:dyDescent="0.4">
      <c r="B214" t="b">
        <f t="shared" si="14"/>
        <v>1</v>
      </c>
      <c r="C214" t="b">
        <f t="shared" si="15"/>
        <v>1</v>
      </c>
      <c r="D214" t="b">
        <f t="shared" si="16"/>
        <v>1</v>
      </c>
    </row>
    <row r="215" spans="2:4" x14ac:dyDescent="0.4">
      <c r="B215" t="b">
        <f t="shared" si="14"/>
        <v>1</v>
      </c>
      <c r="C215" t="b">
        <f t="shared" si="15"/>
        <v>1</v>
      </c>
      <c r="D215" t="b">
        <f t="shared" si="16"/>
        <v>1</v>
      </c>
    </row>
    <row r="216" spans="2:4" x14ac:dyDescent="0.4">
      <c r="B216" t="b">
        <f t="shared" si="14"/>
        <v>1</v>
      </c>
      <c r="C216" t="b">
        <f t="shared" si="15"/>
        <v>1</v>
      </c>
      <c r="D216" t="b">
        <f t="shared" si="16"/>
        <v>1</v>
      </c>
    </row>
    <row r="217" spans="2:4" x14ac:dyDescent="0.4">
      <c r="B217" t="b">
        <f t="shared" si="14"/>
        <v>1</v>
      </c>
      <c r="C217" t="b">
        <f t="shared" si="15"/>
        <v>1</v>
      </c>
      <c r="D217" t="b">
        <f t="shared" si="16"/>
        <v>1</v>
      </c>
    </row>
    <row r="218" spans="2:4" x14ac:dyDescent="0.4">
      <c r="B218" t="b">
        <f t="shared" si="14"/>
        <v>1</v>
      </c>
      <c r="C218" t="b">
        <f t="shared" si="15"/>
        <v>1</v>
      </c>
      <c r="D218" t="b">
        <f t="shared" si="16"/>
        <v>1</v>
      </c>
    </row>
    <row r="219" spans="2:4" x14ac:dyDescent="0.4">
      <c r="B219" t="b">
        <f t="shared" si="14"/>
        <v>1</v>
      </c>
      <c r="C219" t="b">
        <f t="shared" si="15"/>
        <v>1</v>
      </c>
      <c r="D219" t="b">
        <f t="shared" si="16"/>
        <v>1</v>
      </c>
    </row>
    <row r="220" spans="2:4" x14ac:dyDescent="0.4">
      <c r="B220" t="b">
        <f t="shared" si="14"/>
        <v>1</v>
      </c>
      <c r="C220" t="b">
        <f t="shared" si="15"/>
        <v>1</v>
      </c>
      <c r="D220" t="b">
        <f t="shared" si="16"/>
        <v>1</v>
      </c>
    </row>
    <row r="221" spans="2:4" x14ac:dyDescent="0.4">
      <c r="B221" t="b">
        <f t="shared" si="14"/>
        <v>1</v>
      </c>
      <c r="C221" t="b">
        <f t="shared" si="15"/>
        <v>1</v>
      </c>
      <c r="D221" t="b">
        <f t="shared" si="16"/>
        <v>1</v>
      </c>
    </row>
    <row r="222" spans="2:4" x14ac:dyDescent="0.4">
      <c r="B222" t="b">
        <f t="shared" si="14"/>
        <v>1</v>
      </c>
      <c r="C222" t="b">
        <f t="shared" si="15"/>
        <v>1</v>
      </c>
      <c r="D222" t="b">
        <f t="shared" si="16"/>
        <v>1</v>
      </c>
    </row>
    <row r="223" spans="2:4" x14ac:dyDescent="0.4">
      <c r="B223" t="b">
        <f t="shared" si="14"/>
        <v>1</v>
      </c>
      <c r="C223" t="b">
        <f t="shared" si="15"/>
        <v>1</v>
      </c>
      <c r="D223" t="b">
        <f t="shared" si="16"/>
        <v>1</v>
      </c>
    </row>
    <row r="224" spans="2:4" x14ac:dyDescent="0.4">
      <c r="B224" t="b">
        <f t="shared" si="14"/>
        <v>1</v>
      </c>
      <c r="C224" t="b">
        <f t="shared" si="15"/>
        <v>1</v>
      </c>
      <c r="D224" t="b">
        <f t="shared" si="16"/>
        <v>1</v>
      </c>
    </row>
    <row r="225" spans="2:4" x14ac:dyDescent="0.4">
      <c r="B225" t="b">
        <f t="shared" si="14"/>
        <v>1</v>
      </c>
      <c r="C225" t="b">
        <f t="shared" si="15"/>
        <v>1</v>
      </c>
      <c r="D225" t="b">
        <f t="shared" si="16"/>
        <v>1</v>
      </c>
    </row>
    <row r="226" spans="2:4" x14ac:dyDescent="0.4">
      <c r="B226" t="b">
        <f t="shared" si="14"/>
        <v>1</v>
      </c>
      <c r="C226" t="b">
        <f t="shared" si="15"/>
        <v>1</v>
      </c>
      <c r="D226" t="b">
        <f t="shared" si="16"/>
        <v>1</v>
      </c>
    </row>
    <row r="227" spans="2:4" x14ac:dyDescent="0.4">
      <c r="B227" t="b">
        <f t="shared" si="14"/>
        <v>1</v>
      </c>
      <c r="C227" t="b">
        <f t="shared" si="15"/>
        <v>1</v>
      </c>
      <c r="D227" t="b">
        <f t="shared" si="16"/>
        <v>1</v>
      </c>
    </row>
    <row r="228" spans="2:4" x14ac:dyDescent="0.4">
      <c r="B228" t="b">
        <f t="shared" si="14"/>
        <v>1</v>
      </c>
      <c r="C228" t="b">
        <f t="shared" si="15"/>
        <v>1</v>
      </c>
      <c r="D228" t="b">
        <f t="shared" si="16"/>
        <v>1</v>
      </c>
    </row>
    <row r="229" spans="2:4" x14ac:dyDescent="0.4">
      <c r="B229" t="b">
        <f t="shared" si="14"/>
        <v>1</v>
      </c>
      <c r="C229" t="b">
        <f t="shared" si="15"/>
        <v>1</v>
      </c>
      <c r="D229" t="b">
        <f t="shared" si="16"/>
        <v>1</v>
      </c>
    </row>
    <row r="230" spans="2:4" x14ac:dyDescent="0.4">
      <c r="B230" t="b">
        <f t="shared" si="14"/>
        <v>1</v>
      </c>
      <c r="C230" t="b">
        <f t="shared" si="15"/>
        <v>1</v>
      </c>
      <c r="D230" t="b">
        <f t="shared" si="16"/>
        <v>1</v>
      </c>
    </row>
    <row r="231" spans="2:4" x14ac:dyDescent="0.4">
      <c r="B231" t="b">
        <f t="shared" si="14"/>
        <v>1</v>
      </c>
      <c r="C231" t="b">
        <f t="shared" si="15"/>
        <v>1</v>
      </c>
      <c r="D231" t="b">
        <f t="shared" si="16"/>
        <v>1</v>
      </c>
    </row>
    <row r="232" spans="2:4" x14ac:dyDescent="0.4">
      <c r="B232" t="b">
        <f t="shared" si="14"/>
        <v>1</v>
      </c>
      <c r="C232" t="b">
        <f t="shared" si="15"/>
        <v>1</v>
      </c>
      <c r="D232" t="b">
        <f t="shared" si="16"/>
        <v>1</v>
      </c>
    </row>
    <row r="233" spans="2:4" x14ac:dyDescent="0.4">
      <c r="B233" t="b">
        <f t="shared" si="14"/>
        <v>1</v>
      </c>
      <c r="C233" t="b">
        <f t="shared" si="15"/>
        <v>1</v>
      </c>
      <c r="D233" t="b">
        <f t="shared" si="16"/>
        <v>1</v>
      </c>
    </row>
    <row r="234" spans="2:4" x14ac:dyDescent="0.4">
      <c r="B234" t="b">
        <f t="shared" si="14"/>
        <v>1</v>
      </c>
      <c r="C234" t="b">
        <f t="shared" si="15"/>
        <v>1</v>
      </c>
      <c r="D234" t="b">
        <f t="shared" si="16"/>
        <v>1</v>
      </c>
    </row>
    <row r="235" spans="2:4" x14ac:dyDescent="0.4">
      <c r="B235" t="b">
        <f t="shared" si="14"/>
        <v>1</v>
      </c>
      <c r="C235" t="b">
        <f t="shared" si="15"/>
        <v>1</v>
      </c>
      <c r="D235" t="b">
        <f t="shared" si="16"/>
        <v>1</v>
      </c>
    </row>
    <row r="236" spans="2:4" x14ac:dyDescent="0.4">
      <c r="B236" t="b">
        <f t="shared" si="14"/>
        <v>1</v>
      </c>
      <c r="C236" t="b">
        <f t="shared" si="15"/>
        <v>1</v>
      </c>
      <c r="D236" t="b">
        <f t="shared" si="16"/>
        <v>1</v>
      </c>
    </row>
    <row r="237" spans="2:4" x14ac:dyDescent="0.4">
      <c r="B237" t="b">
        <f t="shared" si="14"/>
        <v>1</v>
      </c>
      <c r="C237" t="b">
        <f t="shared" si="15"/>
        <v>1</v>
      </c>
      <c r="D237" t="b">
        <f t="shared" si="16"/>
        <v>1</v>
      </c>
    </row>
    <row r="238" spans="2:4" x14ac:dyDescent="0.4">
      <c r="B238" t="b">
        <f t="shared" si="14"/>
        <v>1</v>
      </c>
      <c r="C238" t="b">
        <f t="shared" si="15"/>
        <v>1</v>
      </c>
      <c r="D238" t="b">
        <f t="shared" si="16"/>
        <v>1</v>
      </c>
    </row>
    <row r="239" spans="2:4" x14ac:dyDescent="0.4">
      <c r="B239" t="b">
        <f t="shared" si="14"/>
        <v>1</v>
      </c>
      <c r="C239" t="b">
        <f t="shared" si="15"/>
        <v>1</v>
      </c>
      <c r="D239" t="b">
        <f t="shared" si="16"/>
        <v>1</v>
      </c>
    </row>
    <row r="240" spans="2:4" x14ac:dyDescent="0.4">
      <c r="B240" t="b">
        <f t="shared" si="14"/>
        <v>1</v>
      </c>
      <c r="C240" t="b">
        <f t="shared" si="15"/>
        <v>1</v>
      </c>
      <c r="D240" t="b">
        <f t="shared" si="16"/>
        <v>1</v>
      </c>
    </row>
    <row r="241" spans="2:4" x14ac:dyDescent="0.4">
      <c r="B241" t="b">
        <f t="shared" si="14"/>
        <v>1</v>
      </c>
      <c r="C241" t="b">
        <f t="shared" si="15"/>
        <v>1</v>
      </c>
      <c r="D241" t="b">
        <f t="shared" si="16"/>
        <v>1</v>
      </c>
    </row>
    <row r="242" spans="2:4" x14ac:dyDescent="0.4">
      <c r="B242" t="b">
        <f t="shared" si="14"/>
        <v>1</v>
      </c>
      <c r="C242" t="b">
        <f t="shared" si="15"/>
        <v>1</v>
      </c>
      <c r="D242" t="b">
        <f t="shared" si="16"/>
        <v>1</v>
      </c>
    </row>
    <row r="243" spans="2:4" x14ac:dyDescent="0.4">
      <c r="B243" t="b">
        <f t="shared" si="14"/>
        <v>1</v>
      </c>
      <c r="C243" t="b">
        <f t="shared" si="15"/>
        <v>1</v>
      </c>
      <c r="D243" t="b">
        <f t="shared" si="16"/>
        <v>1</v>
      </c>
    </row>
    <row r="244" spans="2:4" x14ac:dyDescent="0.4">
      <c r="B244" t="b">
        <f t="shared" si="14"/>
        <v>1</v>
      </c>
      <c r="C244" t="b">
        <f t="shared" si="15"/>
        <v>1</v>
      </c>
      <c r="D244" t="b">
        <f t="shared" si="16"/>
        <v>1</v>
      </c>
    </row>
    <row r="245" spans="2:4" x14ac:dyDescent="0.4">
      <c r="B245" t="b">
        <f t="shared" si="14"/>
        <v>1</v>
      </c>
      <c r="C245" t="b">
        <f t="shared" si="15"/>
        <v>1</v>
      </c>
      <c r="D245" t="b">
        <f t="shared" si="16"/>
        <v>1</v>
      </c>
    </row>
    <row r="246" spans="2:4" x14ac:dyDescent="0.4">
      <c r="B246" t="b">
        <f t="shared" si="14"/>
        <v>1</v>
      </c>
      <c r="C246" t="b">
        <f t="shared" si="15"/>
        <v>1</v>
      </c>
      <c r="D246" t="b">
        <f t="shared" si="16"/>
        <v>1</v>
      </c>
    </row>
    <row r="247" spans="2:4" x14ac:dyDescent="0.4">
      <c r="B247" t="b">
        <f t="shared" si="14"/>
        <v>1</v>
      </c>
      <c r="C247" t="b">
        <f t="shared" si="15"/>
        <v>1</v>
      </c>
      <c r="D247" t="b">
        <f t="shared" si="16"/>
        <v>1</v>
      </c>
    </row>
    <row r="248" spans="2:4" x14ac:dyDescent="0.4">
      <c r="B248" t="b">
        <f t="shared" si="14"/>
        <v>1</v>
      </c>
      <c r="C248" t="b">
        <f t="shared" si="15"/>
        <v>1</v>
      </c>
      <c r="D248" t="b">
        <f t="shared" si="16"/>
        <v>1</v>
      </c>
    </row>
    <row r="249" spans="2:4" x14ac:dyDescent="0.4">
      <c r="B249" t="b">
        <f t="shared" si="14"/>
        <v>1</v>
      </c>
      <c r="C249" t="b">
        <f t="shared" si="15"/>
        <v>1</v>
      </c>
      <c r="D249" t="b">
        <f t="shared" si="16"/>
        <v>1</v>
      </c>
    </row>
    <row r="250" spans="2:4" x14ac:dyDescent="0.4">
      <c r="B250" t="b">
        <f t="shared" si="14"/>
        <v>1</v>
      </c>
      <c r="C250" t="b">
        <f t="shared" si="15"/>
        <v>1</v>
      </c>
      <c r="D250" t="b">
        <f t="shared" si="16"/>
        <v>1</v>
      </c>
    </row>
    <row r="251" spans="2:4" x14ac:dyDescent="0.4">
      <c r="B251" t="b">
        <f t="shared" si="14"/>
        <v>1</v>
      </c>
      <c r="C251" t="b">
        <f t="shared" si="15"/>
        <v>1</v>
      </c>
      <c r="D251" t="b">
        <f t="shared" si="16"/>
        <v>1</v>
      </c>
    </row>
    <row r="252" spans="2:4" x14ac:dyDescent="0.4">
      <c r="B252" t="b">
        <f t="shared" si="14"/>
        <v>1</v>
      </c>
      <c r="C252" t="b">
        <f t="shared" si="15"/>
        <v>1</v>
      </c>
      <c r="D252" t="b">
        <f t="shared" si="16"/>
        <v>1</v>
      </c>
    </row>
    <row r="253" spans="2:4" x14ac:dyDescent="0.4">
      <c r="B253" t="b">
        <f t="shared" si="14"/>
        <v>1</v>
      </c>
      <c r="C253" t="b">
        <f t="shared" si="15"/>
        <v>1</v>
      </c>
      <c r="D253" t="b">
        <f t="shared" si="16"/>
        <v>1</v>
      </c>
    </row>
    <row r="254" spans="2:4" x14ac:dyDescent="0.4">
      <c r="B254" t="b">
        <f t="shared" si="14"/>
        <v>1</v>
      </c>
      <c r="C254" t="b">
        <f t="shared" si="15"/>
        <v>1</v>
      </c>
      <c r="D254" t="b">
        <f t="shared" si="16"/>
        <v>1</v>
      </c>
    </row>
    <row r="255" spans="2:4" x14ac:dyDescent="0.4">
      <c r="B255" t="b">
        <f t="shared" si="14"/>
        <v>1</v>
      </c>
      <c r="C255" t="b">
        <f t="shared" si="15"/>
        <v>1</v>
      </c>
      <c r="D255" t="b">
        <f t="shared" si="16"/>
        <v>1</v>
      </c>
    </row>
    <row r="256" spans="2:4" x14ac:dyDescent="0.4">
      <c r="B256" t="b">
        <f t="shared" si="14"/>
        <v>1</v>
      </c>
      <c r="C256" t="b">
        <f t="shared" si="15"/>
        <v>1</v>
      </c>
      <c r="D256" t="b">
        <f t="shared" si="16"/>
        <v>1</v>
      </c>
    </row>
    <row r="257" spans="2:4" x14ac:dyDescent="0.4">
      <c r="B257" t="b">
        <f t="shared" si="14"/>
        <v>1</v>
      </c>
      <c r="C257" t="b">
        <f t="shared" si="15"/>
        <v>1</v>
      </c>
      <c r="D257" t="b">
        <f t="shared" si="16"/>
        <v>1</v>
      </c>
    </row>
    <row r="258" spans="2:4" x14ac:dyDescent="0.4">
      <c r="B258" t="b">
        <f t="shared" si="14"/>
        <v>1</v>
      </c>
      <c r="C258" t="b">
        <f t="shared" si="15"/>
        <v>1</v>
      </c>
      <c r="D258" t="b">
        <f t="shared" si="16"/>
        <v>1</v>
      </c>
    </row>
    <row r="259" spans="2:4" x14ac:dyDescent="0.4">
      <c r="B259" t="b">
        <f t="shared" si="14"/>
        <v>1</v>
      </c>
      <c r="C259" t="b">
        <f t="shared" si="15"/>
        <v>1</v>
      </c>
      <c r="D259" t="b">
        <f t="shared" si="16"/>
        <v>1</v>
      </c>
    </row>
    <row r="260" spans="2:4" x14ac:dyDescent="0.4">
      <c r="B260" t="b">
        <f t="shared" si="14"/>
        <v>1</v>
      </c>
      <c r="C260" t="b">
        <f t="shared" si="15"/>
        <v>1</v>
      </c>
      <c r="D260" t="b">
        <f t="shared" si="16"/>
        <v>1</v>
      </c>
    </row>
    <row r="261" spans="2:4" x14ac:dyDescent="0.4">
      <c r="B261" t="b">
        <f t="shared" ref="B261:B281" si="17">F261=J261</f>
        <v>1</v>
      </c>
      <c r="C261" t="b">
        <f t="shared" ref="C261:C281" si="18">G261=K261</f>
        <v>1</v>
      </c>
      <c r="D261" t="b">
        <f t="shared" ref="D261:D281" si="19">H261=L261</f>
        <v>1</v>
      </c>
    </row>
    <row r="262" spans="2:4" x14ac:dyDescent="0.4">
      <c r="B262" t="b">
        <f t="shared" si="17"/>
        <v>1</v>
      </c>
      <c r="C262" t="b">
        <f t="shared" si="18"/>
        <v>1</v>
      </c>
      <c r="D262" t="b">
        <f t="shared" si="19"/>
        <v>1</v>
      </c>
    </row>
    <row r="263" spans="2:4" x14ac:dyDescent="0.4">
      <c r="B263" t="b">
        <f t="shared" si="17"/>
        <v>1</v>
      </c>
      <c r="C263" t="b">
        <f t="shared" si="18"/>
        <v>1</v>
      </c>
      <c r="D263" t="b">
        <f t="shared" si="19"/>
        <v>1</v>
      </c>
    </row>
    <row r="264" spans="2:4" x14ac:dyDescent="0.4">
      <c r="B264" t="b">
        <f t="shared" si="17"/>
        <v>1</v>
      </c>
      <c r="C264" t="b">
        <f t="shared" si="18"/>
        <v>1</v>
      </c>
      <c r="D264" t="b">
        <f t="shared" si="19"/>
        <v>1</v>
      </c>
    </row>
    <row r="265" spans="2:4" x14ac:dyDescent="0.4">
      <c r="B265" t="b">
        <f t="shared" si="17"/>
        <v>1</v>
      </c>
      <c r="C265" t="b">
        <f t="shared" si="18"/>
        <v>1</v>
      </c>
      <c r="D265" t="b">
        <f t="shared" si="19"/>
        <v>1</v>
      </c>
    </row>
    <row r="266" spans="2:4" x14ac:dyDescent="0.4">
      <c r="B266" t="b">
        <f t="shared" si="17"/>
        <v>1</v>
      </c>
      <c r="C266" t="b">
        <f t="shared" si="18"/>
        <v>1</v>
      </c>
      <c r="D266" t="b">
        <f t="shared" si="19"/>
        <v>1</v>
      </c>
    </row>
    <row r="267" spans="2:4" x14ac:dyDescent="0.4">
      <c r="B267" t="b">
        <f t="shared" si="17"/>
        <v>1</v>
      </c>
      <c r="C267" t="b">
        <f t="shared" si="18"/>
        <v>1</v>
      </c>
      <c r="D267" t="b">
        <f t="shared" si="19"/>
        <v>1</v>
      </c>
    </row>
    <row r="268" spans="2:4" x14ac:dyDescent="0.4">
      <c r="B268" t="b">
        <f t="shared" si="17"/>
        <v>1</v>
      </c>
      <c r="C268" t="b">
        <f t="shared" si="18"/>
        <v>1</v>
      </c>
      <c r="D268" t="b">
        <f t="shared" si="19"/>
        <v>1</v>
      </c>
    </row>
    <row r="269" spans="2:4" x14ac:dyDescent="0.4">
      <c r="B269" t="b">
        <f t="shared" si="17"/>
        <v>1</v>
      </c>
      <c r="C269" t="b">
        <f t="shared" si="18"/>
        <v>1</v>
      </c>
      <c r="D269" t="b">
        <f t="shared" si="19"/>
        <v>1</v>
      </c>
    </row>
    <row r="270" spans="2:4" x14ac:dyDescent="0.4">
      <c r="B270" t="b">
        <f t="shared" si="17"/>
        <v>1</v>
      </c>
      <c r="C270" t="b">
        <f t="shared" si="18"/>
        <v>1</v>
      </c>
      <c r="D270" t="b">
        <f t="shared" si="19"/>
        <v>1</v>
      </c>
    </row>
    <row r="271" spans="2:4" x14ac:dyDescent="0.4">
      <c r="B271" t="b">
        <f t="shared" si="17"/>
        <v>1</v>
      </c>
      <c r="C271" t="b">
        <f t="shared" si="18"/>
        <v>1</v>
      </c>
      <c r="D271" t="b">
        <f t="shared" si="19"/>
        <v>1</v>
      </c>
    </row>
    <row r="272" spans="2:4" x14ac:dyDescent="0.4">
      <c r="B272" t="b">
        <f t="shared" si="17"/>
        <v>1</v>
      </c>
      <c r="C272" t="b">
        <f t="shared" si="18"/>
        <v>1</v>
      </c>
      <c r="D272" t="b">
        <f t="shared" si="19"/>
        <v>1</v>
      </c>
    </row>
    <row r="273" spans="2:4" x14ac:dyDescent="0.4">
      <c r="B273" t="b">
        <f t="shared" si="17"/>
        <v>1</v>
      </c>
      <c r="C273" t="b">
        <f t="shared" si="18"/>
        <v>1</v>
      </c>
      <c r="D273" t="b">
        <f t="shared" si="19"/>
        <v>1</v>
      </c>
    </row>
    <row r="274" spans="2:4" x14ac:dyDescent="0.4">
      <c r="B274" t="b">
        <f t="shared" si="17"/>
        <v>1</v>
      </c>
      <c r="C274" t="b">
        <f t="shared" si="18"/>
        <v>1</v>
      </c>
      <c r="D274" t="b">
        <f t="shared" si="19"/>
        <v>1</v>
      </c>
    </row>
    <row r="275" spans="2:4" x14ac:dyDescent="0.4">
      <c r="B275" t="b">
        <f t="shared" si="17"/>
        <v>1</v>
      </c>
      <c r="C275" t="b">
        <f t="shared" si="18"/>
        <v>1</v>
      </c>
      <c r="D275" t="b">
        <f t="shared" si="19"/>
        <v>1</v>
      </c>
    </row>
    <row r="276" spans="2:4" x14ac:dyDescent="0.4">
      <c r="B276" t="b">
        <f t="shared" si="17"/>
        <v>1</v>
      </c>
      <c r="C276" t="b">
        <f t="shared" si="18"/>
        <v>1</v>
      </c>
      <c r="D276" t="b">
        <f t="shared" si="19"/>
        <v>1</v>
      </c>
    </row>
    <row r="277" spans="2:4" x14ac:dyDescent="0.4">
      <c r="B277" t="b">
        <f t="shared" si="17"/>
        <v>1</v>
      </c>
      <c r="C277" t="b">
        <f t="shared" si="18"/>
        <v>1</v>
      </c>
      <c r="D277" t="b">
        <f t="shared" si="19"/>
        <v>1</v>
      </c>
    </row>
    <row r="278" spans="2:4" x14ac:dyDescent="0.4">
      <c r="B278" t="b">
        <f t="shared" si="17"/>
        <v>1</v>
      </c>
      <c r="C278" t="b">
        <f t="shared" si="18"/>
        <v>1</v>
      </c>
      <c r="D278" t="b">
        <f t="shared" si="19"/>
        <v>1</v>
      </c>
    </row>
    <row r="279" spans="2:4" x14ac:dyDescent="0.4">
      <c r="B279" t="b">
        <f t="shared" si="17"/>
        <v>1</v>
      </c>
      <c r="C279" t="b">
        <f t="shared" si="18"/>
        <v>1</v>
      </c>
      <c r="D279" t="b">
        <f t="shared" si="19"/>
        <v>1</v>
      </c>
    </row>
    <row r="280" spans="2:4" x14ac:dyDescent="0.4">
      <c r="B280" t="b">
        <f t="shared" si="17"/>
        <v>1</v>
      </c>
      <c r="C280" t="b">
        <f t="shared" si="18"/>
        <v>1</v>
      </c>
      <c r="D280" t="b">
        <f t="shared" si="19"/>
        <v>1</v>
      </c>
    </row>
    <row r="281" spans="2:4" x14ac:dyDescent="0.4">
      <c r="B281" t="b">
        <f t="shared" si="17"/>
        <v>1</v>
      </c>
      <c r="C281" t="b">
        <f t="shared" si="18"/>
        <v>1</v>
      </c>
      <c r="D281" t="b">
        <f t="shared" si="19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25Pivot</vt:lpstr>
      <vt:lpstr>26년 databook(취합)</vt:lpstr>
      <vt:lpstr>Sheet1</vt:lpstr>
      <vt:lpstr>수주리스트</vt:lpstr>
      <vt:lpstr>영업대표별</vt:lpstr>
      <vt:lpstr>팀연간</vt:lpstr>
      <vt:lpstr>HSM비교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신우섭</cp:lastModifiedBy>
  <dcterms:created xsi:type="dcterms:W3CDTF">2024-10-29T06:57:50Z</dcterms:created>
  <dcterms:modified xsi:type="dcterms:W3CDTF">2026-05-04T00:14:11Z</dcterms:modified>
</cp:coreProperties>
</file>