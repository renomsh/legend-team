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I:\◆ downloads\"/>
    </mc:Choice>
  </mc:AlternateContent>
  <bookViews>
    <workbookView xWindow="0" yWindow="0" windowWidth="23040" windowHeight="8592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databook(취합)'!$A$23:$BF$729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29"/>
    <pivotCache cacheId="1" r:id="rId30"/>
    <pivotCache cacheId="2" r:id="rId3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729" i="15" l="1"/>
  <c r="AE729" i="15" s="1"/>
  <c r="AC728" i="15"/>
  <c r="AE728" i="15" s="1"/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C180" i="15"/>
  <c r="AC181" i="15"/>
  <c r="AC182" i="15"/>
  <c r="AC183" i="15"/>
  <c r="AC184" i="15"/>
  <c r="AC185" i="15"/>
  <c r="AC186" i="15"/>
  <c r="AC187" i="15"/>
  <c r="AC188" i="15"/>
  <c r="AC189" i="15"/>
  <c r="AC190" i="15"/>
  <c r="AC191" i="15"/>
  <c r="AC192" i="15"/>
  <c r="AC193" i="15"/>
  <c r="AC194" i="15"/>
  <c r="AC195" i="15"/>
  <c r="AC196" i="15"/>
  <c r="AC197" i="15"/>
  <c r="AC198" i="15"/>
  <c r="AC199" i="15"/>
  <c r="AC200" i="15"/>
  <c r="AC201" i="15"/>
  <c r="AC202" i="15"/>
  <c r="AC203" i="15"/>
  <c r="AC204" i="15"/>
  <c r="AC205" i="15"/>
  <c r="AC206" i="15"/>
  <c r="AC207" i="15"/>
  <c r="AC208" i="15"/>
  <c r="AC209" i="15"/>
  <c r="AC210" i="15"/>
  <c r="AC211" i="15"/>
  <c r="AC212" i="15"/>
  <c r="AC213" i="15"/>
  <c r="AC214" i="15"/>
  <c r="AC215" i="15"/>
  <c r="AC216" i="15"/>
  <c r="AC217" i="15"/>
  <c r="AC218" i="15"/>
  <c r="AC219" i="15"/>
  <c r="AC220" i="15"/>
  <c r="AC221" i="15"/>
  <c r="AC222" i="15"/>
  <c r="AC223" i="15"/>
  <c r="AC224" i="15"/>
  <c r="AC225" i="15"/>
  <c r="AC226" i="15"/>
  <c r="AC227" i="15"/>
  <c r="AC228" i="15"/>
  <c r="AC229" i="15"/>
  <c r="AC230" i="15"/>
  <c r="AC231" i="15"/>
  <c r="AC232" i="15"/>
  <c r="AC233" i="15"/>
  <c r="AC234" i="15"/>
  <c r="AC235" i="15"/>
  <c r="AC236" i="15"/>
  <c r="AC237" i="15"/>
  <c r="AC238" i="15"/>
  <c r="AC239" i="15"/>
  <c r="AC240" i="15"/>
  <c r="AC241" i="15"/>
  <c r="AC242" i="15"/>
  <c r="AC243" i="15"/>
  <c r="AC244" i="15"/>
  <c r="AC245" i="15"/>
  <c r="AC246" i="15"/>
  <c r="AC247" i="15"/>
  <c r="AC248" i="15"/>
  <c r="AC249" i="15"/>
  <c r="AC250" i="15"/>
  <c r="AC251" i="15"/>
  <c r="AC252" i="15"/>
  <c r="AC253" i="15"/>
  <c r="AC254" i="15"/>
  <c r="AC255" i="15"/>
  <c r="AC256" i="15"/>
  <c r="AC257" i="15"/>
  <c r="AC258" i="15"/>
  <c r="AC259" i="15"/>
  <c r="AC260" i="15"/>
  <c r="AC261" i="15"/>
  <c r="AC262" i="15"/>
  <c r="AC263" i="15"/>
  <c r="AC264" i="15"/>
  <c r="AC265" i="15"/>
  <c r="AC266" i="15"/>
  <c r="AC267" i="15"/>
  <c r="AC268" i="15"/>
  <c r="AC269" i="15"/>
  <c r="AC270" i="15"/>
  <c r="AC271" i="15"/>
  <c r="AC272" i="15"/>
  <c r="AC273" i="15"/>
  <c r="AC274" i="15"/>
  <c r="AC275" i="15"/>
  <c r="AC276" i="15"/>
  <c r="AC277" i="15"/>
  <c r="AC278" i="15"/>
  <c r="AC279" i="15"/>
  <c r="AC280" i="15"/>
  <c r="AC281" i="15"/>
  <c r="AC282" i="15"/>
  <c r="AC283" i="15"/>
  <c r="AC284" i="15"/>
  <c r="AC285" i="15"/>
  <c r="AC286" i="15"/>
  <c r="AC287" i="15"/>
  <c r="AC288" i="15"/>
  <c r="AC289" i="15"/>
  <c r="AC290" i="15"/>
  <c r="AC291" i="15"/>
  <c r="AC292" i="15"/>
  <c r="AC293" i="15"/>
  <c r="AC294" i="15"/>
  <c r="AC295" i="15"/>
  <c r="AC296" i="15"/>
  <c r="AC297" i="15"/>
  <c r="AC298" i="15"/>
  <c r="AC299" i="15"/>
  <c r="AC300" i="15"/>
  <c r="AC301" i="15"/>
  <c r="AC302" i="15"/>
  <c r="AC303" i="15"/>
  <c r="AC304" i="15"/>
  <c r="AC305" i="15"/>
  <c r="AC306" i="15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E282" i="15" l="1"/>
  <c r="AE297" i="15"/>
  <c r="AE281" i="15"/>
  <c r="AE265" i="15"/>
  <c r="AE249" i="15"/>
  <c r="AE233" i="15"/>
  <c r="AE217" i="15"/>
  <c r="AE201" i="15"/>
  <c r="AE185" i="15"/>
  <c r="AE280" i="15"/>
  <c r="AE296" i="15"/>
  <c r="AE264" i="15"/>
  <c r="AE248" i="15"/>
  <c r="AE232" i="15"/>
  <c r="AE216" i="15"/>
  <c r="AE200" i="15"/>
  <c r="AE184" i="15"/>
  <c r="AE295" i="15"/>
  <c r="AE279" i="15"/>
  <c r="AE263" i="15"/>
  <c r="AE247" i="15"/>
  <c r="AE231" i="15"/>
  <c r="AE215" i="15"/>
  <c r="AE199" i="15"/>
  <c r="AE183" i="15"/>
  <c r="AE294" i="15"/>
  <c r="AE278" i="15"/>
  <c r="AE262" i="15"/>
  <c r="AE246" i="15"/>
  <c r="AE230" i="15"/>
  <c r="AE214" i="15"/>
  <c r="AE198" i="15"/>
  <c r="AE182" i="15"/>
  <c r="AE266" i="15"/>
  <c r="AE202" i="15"/>
  <c r="AE291" i="15"/>
  <c r="AE275" i="15"/>
  <c r="AE259" i="15"/>
  <c r="AE243" i="15"/>
  <c r="AE227" i="15"/>
  <c r="AE211" i="15"/>
  <c r="AE195" i="15"/>
  <c r="AE179" i="15"/>
  <c r="AE292" i="15"/>
  <c r="AE276" i="15"/>
  <c r="AE260" i="15"/>
  <c r="AE244" i="15"/>
  <c r="AE228" i="15"/>
  <c r="AE212" i="15"/>
  <c r="AE196" i="15"/>
  <c r="AE180" i="15"/>
  <c r="AE306" i="15"/>
  <c r="AE290" i="15"/>
  <c r="AE274" i="15"/>
  <c r="AE258" i="15"/>
  <c r="AE242" i="15"/>
  <c r="AE226" i="15"/>
  <c r="AE210" i="15"/>
  <c r="AE194" i="15"/>
  <c r="AE245" i="15"/>
  <c r="AE229" i="15"/>
  <c r="AE213" i="15"/>
  <c r="AE197" i="15"/>
  <c r="AE181" i="15"/>
  <c r="AE218" i="15"/>
  <c r="AE305" i="15"/>
  <c r="AE289" i="15"/>
  <c r="AE273" i="15"/>
  <c r="AE257" i="15"/>
  <c r="AE241" i="15"/>
  <c r="AE225" i="15"/>
  <c r="AE209" i="15"/>
  <c r="AE193" i="15"/>
  <c r="AE304" i="15"/>
  <c r="AE288" i="15"/>
  <c r="AE272" i="15"/>
  <c r="AE256" i="15"/>
  <c r="AE240" i="15"/>
  <c r="AE224" i="15"/>
  <c r="AE208" i="15"/>
  <c r="AE192" i="15"/>
  <c r="AE303" i="15"/>
  <c r="AE287" i="15"/>
  <c r="AE271" i="15"/>
  <c r="AE255" i="15"/>
  <c r="AE239" i="15"/>
  <c r="AE223" i="15"/>
  <c r="AE207" i="15"/>
  <c r="AE191" i="15"/>
  <c r="AE250" i="15"/>
  <c r="AE293" i="15"/>
  <c r="AE277" i="15"/>
  <c r="AE261" i="15"/>
  <c r="AE302" i="15"/>
  <c r="AE286" i="15"/>
  <c r="AE270" i="15"/>
  <c r="AE254" i="15"/>
  <c r="AE238" i="15"/>
  <c r="AE222" i="15"/>
  <c r="AE206" i="15"/>
  <c r="AE190" i="15"/>
  <c r="AE298" i="15"/>
  <c r="AE186" i="15"/>
  <c r="AE301" i="15"/>
  <c r="AE285" i="15"/>
  <c r="AE269" i="15"/>
  <c r="AE253" i="15"/>
  <c r="AE237" i="15"/>
  <c r="AE221" i="15"/>
  <c r="AE205" i="15"/>
  <c r="AE189" i="15"/>
  <c r="AE234" i="15"/>
  <c r="AE300" i="15"/>
  <c r="AE284" i="15"/>
  <c r="AE268" i="15"/>
  <c r="AE252" i="15"/>
  <c r="AE236" i="15"/>
  <c r="AE220" i="15"/>
  <c r="AE204" i="15"/>
  <c r="AE188" i="15"/>
  <c r="AE299" i="15"/>
  <c r="AE283" i="15"/>
  <c r="AE267" i="15"/>
  <c r="AE251" i="15"/>
  <c r="AE235" i="15"/>
  <c r="AE219" i="15"/>
  <c r="AE203" i="15"/>
  <c r="AE187" i="15"/>
  <c r="AM22" i="15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<sst xmlns="http://schemas.openxmlformats.org/spreadsheetml/2006/main" count="9744" uniqueCount="878">
  <si>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</si>
  <si>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</si>
  <si>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</si>
  <si>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</si>
  <si>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</si>
  <si>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</si>
  <si>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</si>
  <si>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</si>
  <si>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</si>
  <si>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</si>
  <si>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</si>
  <si>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</si>
  <si>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</si>
  <si>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</si>
  <si>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</si>
  <si>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</si>
  <si>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</si>
  <si>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</si>
  <si>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</si>
  <si>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</si>
  <si>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</si>
  <si>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</si>
  <si>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</si>
  <si>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</si>
  <si>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</si>
  <si>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</si>
  <si>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</si>
  <si>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</si>
  <si>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</si>
  <si>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</si>
  <si>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</si>
  <si>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</si>
  <si>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</si>
  <si>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</si>
  <si>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</si>
  <si>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</si>
  <si>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</si>
  <si>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</si>
  <si>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</si>
  <si>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</si>
  <si>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</si>
  <si>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</si>
  <si>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</si>
  <si>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</si>
  <si>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</si>
  <si>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</si>
  <si>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</si>
  <si>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</si>
  <si>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</si>
  <si>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</si>
  <si>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</si>
  <si>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</si>
  <si>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</si>
  <si>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</si>
  <si>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</si>
  <si>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</si>
  <si>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</si>
  <si>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</si>
  <si>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</si>
  <si>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</si>
  <si>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</si>
  <si>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</si>
  <si>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</si>
  <si>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</si>
  <si>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</si>
  <si>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</si>
  <si>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</si>
  <si>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</si>
  <si>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</si>
  <si>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</si>
  <si>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</si>
  <si>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</si>
  <si>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</si>
  <si>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</si>
  <si>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</si>
  <si>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</si>
  <si>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</si>
  <si>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</si>
  <si>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</si>
  <si>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</si>
  <si>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</si>
  <si>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</si>
  <si>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</si>
  <si>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</si>
  <si>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</si>
  <si>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</si>
  <si>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</si>
  <si>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</si>
  <si>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</si>
  <si>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</si>
  <si>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</si>
  <si>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</si>
  <si>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</si>
  <si>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</si>
  <si>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</si>
  <si>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</si>
  <si>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</si>
  <si>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</si>
  <si>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</si>
  <si>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</si>
  <si>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</si>
  <si>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</si>
  <si>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</si>
  <si>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</si>
  <si>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</si>
  <si>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</si>
  <si>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</si>
  <si>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</si>
  <si>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</si>
  <si>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</si>
  <si>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</si>
  <si>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</si>
  <si>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</si>
  <si>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</si>
  <si>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</si>
  <si>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</si>
  <si>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</si>
  <si>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</si>
  <si>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</si>
  <si>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</si>
  <si>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</si>
  <si>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</si>
  <si>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</si>
  <si>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</si>
  <si>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</si>
  <si>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</si>
  <si>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</si>
  <si>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</si>
  <si>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</si>
  <si>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</si>
  <si>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</si>
  <si>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</si>
  <si>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</si>
  <si>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</si>
  <si>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</si>
  <si>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</si>
  <si>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</si>
  <si>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</si>
  <si>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</si>
  <si>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</si>
  <si>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</si>
  <si>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</si>
  <si>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</si>
  <si>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</si>
  <si>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</si>
  <si>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</si>
  <si>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</si>
  <si>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</si>
  <si>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</si>
  <si>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</si>
  <si>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</si>
  <si>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</si>
  <si>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</si>
  <si>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</si>
  <si>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</si>
  <si>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</si>
  <si>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</si>
  <si>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</si>
  <si>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</si>
  <si>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</si>
  <si>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</si>
  <si>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</si>
  <si>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</si>
  <si>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</si>
  <si>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</si>
  <si>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</si>
  <si>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</si>
  <si>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</si>
  <si>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</si>
  <si>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</si>
  <si>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</si>
  <si>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</si>
  <si>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</si>
  <si>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</si>
  <si>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</si>
  <si>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</si>
  <si>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</si>
  <si>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</si>
  <si>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</si>
  <si>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</si>
  <si>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</si>
  <si>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</si>
  <si>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</si>
  <si>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</si>
  <si>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</si>
  <si>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</si>
  <si>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</si>
  <si>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</si>
  <si>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</si>
  <si>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</si>
  <si>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</si>
  <si>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</si>
  <si>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</si>
  <si>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</si>
  <si>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</si>
  <si>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</si>
  <si>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</si>
  <si>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</si>
  <si>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</si>
  <si>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</si>
  <si>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</si>
  <si>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</si>
  <si>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</si>
  <si>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</si>
  <si>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</si>
  <si>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</si>
  <si>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</si>
  <si>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</si>
  <si>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</si>
  <si>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</si>
  <si>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</si>
  <si>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</si>
  <si>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</si>
  <si>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</si>
  <si>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</si>
  <si>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</si>
  <si>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</si>
  <si>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</si>
  <si>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</si>
  <si>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</si>
  <si>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</si>
  <si>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</si>
  <si>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</si>
  <si>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</si>
  <si>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</si>
  <si>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</si>
  <si>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</si>
  <si>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</si>
  <si>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</si>
  <si>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</si>
  <si>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</si>
  <si>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</si>
  <si>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</si>
  <si>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</si>
  <si>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</si>
  <si>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</si>
  <si>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</si>
  <si>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</si>
  <si>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</si>
  <si>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</si>
  <si>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</si>
  <si>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</si>
  <si>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</si>
  <si>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</si>
  <si>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</si>
  <si>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</si>
  <si>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</si>
  <si>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</si>
  <si>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</si>
  <si>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</si>
  <si>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</si>
  <si>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</si>
  <si>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</si>
  <si>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</si>
  <si>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</si>
  <si>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</si>
  <si>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</si>
  <si>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</si>
  <si>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</si>
  <si>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</si>
  <si>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</si>
  <si>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</si>
  <si>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</si>
  <si>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</si>
  <si>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</si>
  <si>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</si>
  <si>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</si>
  <si>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</si>
  <si>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</si>
  <si>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</si>
  <si>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</si>
  <si>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</si>
  <si>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</si>
  <si>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</si>
  <si>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</si>
  <si>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</si>
  <si>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</si>
  <si>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</si>
  <si>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</si>
  <si>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</si>
  <si>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</si>
  <si>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</si>
  <si>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</si>
  <si>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</si>
  <si>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</si>
  <si>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</si>
  <si>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</si>
  <si>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</si>
  <si>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</si>
  <si>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</si>
  <si>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</si>
  <si>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</si>
  <si>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</si>
  <si>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</si>
  <si>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</si>
  <si>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</si>
  <si>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</si>
  <si>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</si>
  <si>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</si>
  <si>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</si>
  <si>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</si>
  <si>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</si>
  <si>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</si>
  <si>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</si>
  <si>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</si>
  <si>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</si>
  <si>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</si>
  <si>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</si>
  <si>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</si>
  <si>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</si>
  <si>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</si>
  <si>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</si>
  <si>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</si>
  <si>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</si>
  <si>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</si>
  <si>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</si>
  <si>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</si>
  <si>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</si>
  <si>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</si>
  <si>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</si>
  <si>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</si>
  <si>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</si>
  <si>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</si>
  <si>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</si>
  <si>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</si>
  <si>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</si>
  <si>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</si>
  <si>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</si>
  <si>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</si>
  <si>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</si>
  <si>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</si>
  <si>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</si>
  <si>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</si>
  <si>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</si>
  <si>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</si>
  <si>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</si>
  <si>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</si>
  <si>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</si>
  <si>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</si>
  <si>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</si>
  <si>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</si>
  <si>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</si>
  <si>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</si>
  <si>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</si>
  <si>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</si>
  <si>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</si>
  <si>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</si>
  <si>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</si>
  <si>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</si>
  <si>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</si>
  <si>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</si>
  <si>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</si>
  <si>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</si>
  <si>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</si>
  <si>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</si>
  <si>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</si>
  <si>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</si>
  <si>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</si>
  <si>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</si>
  <si>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</si>
  <si>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</si>
  <si>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</si>
  <si>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</si>
  <si>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</si>
  <si>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</si>
  <si>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</si>
  <si>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</si>
  <si>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</si>
  <si>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</si>
  <si>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</si>
  <si>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</si>
  <si>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</si>
  <si>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</si>
  <si>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</si>
  <si>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</si>
  <si>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</si>
  <si>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</si>
  <si>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</si>
  <si>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</si>
  <si>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</si>
  <si>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</si>
  <si>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</si>
  <si>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</si>
  <si>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</si>
  <si>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</si>
  <si>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</si>
  <si>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</si>
  <si>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</si>
  <si>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</si>
  <si>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</si>
  <si>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</si>
  <si>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</si>
  <si>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</si>
  <si>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</si>
  <si>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</si>
  <si>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</si>
  <si>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</si>
  <si>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</si>
  <si>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</si>
  <si>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</si>
  <si>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</si>
  <si>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</si>
  <si>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</si>
  <si>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</si>
  <si>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</si>
  <si>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</si>
  <si>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</si>
  <si>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</si>
  <si>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</si>
  <si>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</si>
  <si>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</si>
  <si>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</si>
  <si>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</si>
  <si>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</si>
  <si>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</si>
  <si>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</si>
  <si>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</si>
  <si>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</si>
  <si>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</si>
  <si>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</si>
  <si>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</si>
  <si>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</si>
  <si>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</si>
  <si>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</si>
  <si>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</si>
  <si>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</si>
  <si>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</si>
  <si>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</si>
  <si>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</si>
  <si>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</si>
  <si>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</si>
  <si>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</si>
  <si>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</si>
  <si>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</si>
  <si>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</si>
  <si>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</si>
  <si>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</si>
  <si>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</si>
  <si>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</si>
  <si>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</si>
  <si>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</si>
  <si>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</si>
  <si>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</si>
  <si>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</si>
  <si>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</si>
  <si>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</si>
  <si>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</si>
  <si>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</si>
  <si>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</si>
  <si>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</si>
  <si>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</si>
  <si>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</si>
  <si>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</si>
  <si>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</si>
  <si>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</si>
  <si>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</si>
  <si>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</si>
  <si>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</si>
  <si>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</si>
  <si>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</si>
  <si>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</si>
  <si>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</si>
  <si>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</si>
  <si>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</si>
  <si>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</si>
  <si>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</si>
  <si>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</si>
  <si>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</si>
  <si>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</si>
  <si>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</si>
  <si>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</si>
  <si>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</si>
  <si>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</si>
  <si>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</si>
  <si>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</si>
  <si>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</si>
  <si>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</si>
  <si>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</si>
  <si>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</si>
  <si>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</si>
  <si>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</si>
  <si>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</si>
  <si>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</si>
  <si>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</si>
  <si>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</si>
  <si>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</si>
  <si>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</si>
  <si>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</si>
  <si>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</si>
  <si>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</si>
  <si>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</si>
  <si>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</si>
  <si>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</si>
  <si>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</si>
  <si>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</si>
  <si>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</si>
  <si>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</si>
  <si>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</si>
  <si>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</si>
  <si>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</si>
  <si>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</si>
  <si>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</si>
  <si>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</si>
  <si>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</si>
  <si>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</si>
  <si>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</si>
  <si>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</si>
  <si>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</si>
  <si>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</si>
  <si>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</si>
  <si>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</si>
  <si>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</si>
  <si>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</si>
  <si>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</si>
  <si>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</si>
  <si>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</si>
  <si>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</si>
  <si>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</si>
  <si>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</si>
  <si>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</si>
  <si>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</si>
  <si>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</si>
  <si>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</si>
  <si>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</si>
  <si>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</si>
  <si>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</si>
  <si>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</si>
  <si>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</si>
  <si>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</si>
  <si>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</si>
  <si>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</si>
  <si>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</si>
  <si>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</si>
  <si>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</si>
  <si>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</si>
  <si>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</si>
  <si>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</si>
  <si>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</si>
  <si>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</si>
  <si>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</si>
  <si>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</si>
  <si>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</si>
  <si>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</si>
  <si>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</si>
  <si>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</si>
  <si>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</si>
  <si>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</si>
  <si>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</si>
  <si>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</si>
  <si>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</si>
  <si>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</si>
  <si>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</si>
  <si>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</si>
  <si>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</si>
  <si>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</si>
  <si>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</si>
  <si>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</si>
  <si>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</si>
  <si>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</si>
  <si>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</si>
  <si>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</si>
  <si>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</si>
  <si>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</si>
  <si>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</si>
  <si>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</si>
  <si>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</si>
  <si>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</si>
  <si>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</si>
  <si>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</si>
  <si>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</si>
  <si>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</si>
  <si>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</si>
  <si>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</si>
  <si>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</si>
  <si>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</si>
  <si>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</si>
  <si>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</si>
  <si>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</si>
  <si>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</si>
  <si>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</si>
  <si>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</si>
  <si>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</si>
  <si>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</si>
  <si>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</si>
  <si>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</si>
  <si>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</si>
  <si>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</si>
  <si>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</si>
  <si>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</si>
  <si>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</si>
  <si>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</si>
  <si>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</si>
  <si>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</si>
  <si>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</si>
  <si>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</si>
  <si>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</si>
  <si>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</si>
  <si>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</si>
  <si>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</si>
  <si>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</si>
  <si>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</si>
  <si>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</si>
  <si>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</si>
  <si>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</si>
  <si>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</si>
  <si>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</si>
  <si>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</si>
  <si>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</si>
  <si>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</si>
  <si>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</si>
  <si>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</si>
  <si>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</si>
  <si>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</si>
  <si>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</si>
  <si>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</si>
  <si>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</si>
  <si>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</si>
  <si>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</si>
  <si>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</si>
  <si>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</si>
  <si>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</si>
  <si>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</si>
  <si>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</si>
  <si>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</si>
  <si>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</si>
  <si>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</si>
  <si>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</si>
  <si>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</si>
  <si>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</si>
  <si>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</si>
  <si>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</si>
  <si>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</si>
  <si>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</si>
  <si>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</si>
  <si>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</si>
  <si>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</si>
  <si>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</si>
  <si>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</si>
  <si>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</si>
  <si>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</si>
  <si>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</si>
  <si>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</si>
  <si>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</si>
  <si>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</si>
  <si>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</si>
  <si>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</si>
  <si>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</si>
  <si>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</si>
  <si>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</si>
  <si>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</si>
  <si>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</si>
  <si>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</si>
  <si>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</si>
  <si>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</si>
  <si>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</si>
  <si>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</si>
  <si>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</si>
  <si>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</si>
  <si>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</si>
  <si>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</si>
  <si>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</si>
  <si>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</si>
  <si>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</si>
  <si>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</si>
  <si>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</si>
  <si>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</si>
  <si>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</si>
  <si>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</si>
  <si>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</si>
  <si>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</si>
  <si>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</si>
  <si>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</si>
  <si>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</si>
  <si>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</si>
  <si>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</si>
  <si>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</si>
  <si>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</si>
  <si>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</si>
  <si>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</si>
  <si>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</si>
  <si>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</si>
  <si>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</si>
  <si>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</si>
  <si>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</si>
  <si>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</si>
  <si>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</si>
  <si>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</si>
  <si>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</si>
  <si>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</si>
  <si>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</si>
  <si>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</si>
  <si>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</si>
  <si>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</si>
  <si>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</si>
  <si>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</si>
  <si>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</si>
  <si>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</si>
  <si>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</si>
  <si>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</si>
  <si>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</si>
  <si>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</si>
  <si>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</si>
  <si>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</si>
  <si>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</si>
  <si>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</si>
  <si>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</si>
  <si>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</si>
  <si>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</si>
  <si>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</si>
  <si>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</si>
  <si>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</si>
  <si>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</si>
  <si>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</si>
  <si>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</si>
  <si>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</si>
  <si>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</si>
  <si>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</si>
  <si>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</si>
  <si>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</si>
  <si>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</si>
  <si>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</si>
  <si>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</si>
  <si>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</si>
  <si>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</si>
  <si>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</si>
  <si>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</si>
  <si>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</si>
  <si>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</si>
  <si>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</si>
  <si>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</si>
  <si>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</si>
  <si>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</si>
  <si>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</si>
  <si>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</si>
  <si>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</si>
  <si>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</si>
  <si>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</si>
  <si>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</si>
  <si>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</si>
  <si>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</si>
  <si>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</si>
  <si>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</si>
  <si>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</si>
  <si>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</si>
  <si>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</si>
  <si>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</si>
  <si>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</si>
  <si>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</si>
  <si>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</si>
  <si>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</si>
  <si>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</si>
  <si>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</si>
  <si>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</si>
  <si>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</si>
  <si>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</si>
  <si>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</si>
  <si>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</si>
  <si>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</si>
  <si>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</si>
  <si>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</si>
  <si>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</si>
  <si>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</si>
  <si>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</si>
  <si>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</si>
  <si>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</si>
  <si>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</si>
  <si>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</si>
  <si>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</si>
  <si>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</si>
  <si>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</si>
  <si>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</si>
  <si>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</si>
  <si>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</si>
  <si>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</si>
  <si>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</si>
  <si>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</si>
  <si>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</si>
  <si>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</si>
  <si>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</si>
  <si>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</si>
  <si>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</si>
  <si>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</si>
  <si>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</si>
  <si>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</si>
  <si>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</si>
  <si>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</si>
  <si>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</si>
  <si>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</si>
  <si>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</si>
  <si>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</si>
  <si>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</si>
  <si>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</si>
  <si>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</si>
  <si>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</si>
  <si>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</si>
  <si>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</si>
  <si>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</si>
  <si>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</si>
  <si>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</si>
  <si>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</si>
  <si>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</si>
  <si>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</si>
  <si>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</si>
  <si>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</si>
  <si>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</si>
  <si>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</si>
  <si>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</si>
  <si>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</si>
  <si>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</si>
  <si>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</si>
  <si>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</si>
  <si>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</si>
  <si>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</si>
  <si>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</si>
  <si>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</si>
  <si>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</si>
  <si>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</si>
  <si>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</si>
  <si>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</si>
  <si>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</si>
  <si>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</si>
  <si>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</si>
  <si>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</si>
  <si>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</si>
  <si>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</si>
  <si>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</si>
  <si>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</si>
  <si>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</si>
  <si>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</si>
  <si>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</si>
  <si>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</si>
  <si>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</si>
  <si>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</si>
  <si>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</si>
  <si>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</si>
  <si>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</si>
  <si>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</si>
  <si>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</si>
  <si>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</si>
  <si>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</si>
  <si>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</si>
  <si>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</si>
  <si>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</si>
  <si>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</si>
  <si>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</si>
  <si>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</si>
  <si>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</si>
  <si>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</si>
  <si>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</si>
  <si>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</si>
  <si>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</si>
  <si>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</si>
  <si>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</si>
  <si>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</si>
  <si>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</si>
  <si>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</si>
  <si>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</si>
  <si>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</si>
  <si>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</si>
  <si>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</si>
  <si>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</si>
  <si>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</si>
  <si>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</si>
  <si>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</si>
  <si>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</si>
  <si>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</si>
  <si>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</si>
  <si>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</si>
  <si>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</si>
  <si>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</si>
  <si>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</si>
  <si>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코오롱베니트 주식회사</t>
    <phoneticPr fontId="2" type="noConversion"/>
  </si>
  <si>
    <t>삼성증권_포럼 운영</t>
    <phoneticPr fontId="2" type="noConversion"/>
  </si>
  <si>
    <t>안혜연</t>
    <phoneticPr fontId="2" type="noConversion"/>
  </si>
  <si>
    <t>3월 교육비(4월 반영) 53,919,000 + 4월 교육비 76,211,000</t>
    <phoneticPr fontId="2" type="noConversion"/>
  </si>
  <si>
    <t>최상근</t>
    <phoneticPr fontId="2" type="noConversion"/>
  </si>
  <si>
    <t>최상근</t>
    <phoneticPr fontId="2" type="noConversion"/>
  </si>
  <si>
    <t>안혜연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</si>
</sst>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0" formatCode="[$-F800]dddd\,\ mmmm\ dd\,\ yyyy"/>
    <numFmt numFmtId="180" formatCode="#,##0,,"/>
    <numFmt numFmtId="181" formatCode="#,##0,,;[Red]\▲#,##0,,"/>
    <numFmt numFmtId="182" formatCode="#,##0;[Red]\▲#,##0"/>
  </numFmts>
  <fonts count="4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0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 applyProtection="1">
      <alignment horizontal="center" vertical="center"/>
      <protection locked="0"/>
    </xf>
    <xf numFmtId="0" fontId="11" fillId="13" borderId="3" xfId="0" applyFont="1" applyFill="1" applyBorder="1" applyAlignment="1" applyProtection="1">
      <alignment horizontal="center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pivotCacheDefinition" Target="pivotCache/pivotCacheDefinition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9733;2026&#45380;_databook_FS2&#54016;_260507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1" type="button" dataOnly="0" labelOnly="1" outline="0"/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1" type="button" dataOnly="0" labelOnly="1" outline="0" axis="axisRow" fieldPosition="0"/>
    </format>
    <format dxfId="23">
      <pivotArea dataOnly="0" labelOnly="1" fieldPosition="0">
        <references count="1">
          <reference field="11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34">
      <pivotArea outline="0" collapsedLevelsAreSubtotals="1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1" type="button" dataOnly="0" labelOnly="1" outline="0" axis="axisCol" fieldPosition="0"/>
    </format>
    <format dxfId="30">
      <pivotArea dataOnly="0" labelOnly="1" fieldPosition="0">
        <references count="1">
          <reference field="11" count="0"/>
        </references>
      </pivotArea>
    </format>
    <format dxfId="2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11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10">
      <pivotArea collapsedLevelsAreSubtotals="1" fieldPosition="0">
        <references count="1">
          <reference field="25" count="0"/>
        </references>
      </pivotArea>
    </format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13">
      <pivotArea outline="0" collapsedLevelsAreSubtotals="1" fieldPosition="0"/>
    </format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.399999999999999" x14ac:dyDescent="0.4"/>
  <cols>
    <col min="1" max="1" width="35.69921875" style="50" customWidth="1"/>
    <col min="2" max="10" width="13.699218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69921875" style="49" bestFit="1" customWidth="1"/>
  </cols>
  <sheetData>
    <row r="3" spans="1:14" x14ac:dyDescent="0.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 x14ac:dyDescent="0.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 x14ac:dyDescent="0.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 x14ac:dyDescent="0.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 x14ac:dyDescent="0.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 x14ac:dyDescent="0.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 x14ac:dyDescent="0.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 x14ac:dyDescent="0.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 x14ac:dyDescent="0.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 x14ac:dyDescent="0.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 x14ac:dyDescent="0.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 x14ac:dyDescent="0.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 x14ac:dyDescent="0.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 x14ac:dyDescent="0.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 x14ac:dyDescent="0.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 x14ac:dyDescent="0.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 x14ac:dyDescent="0.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 x14ac:dyDescent="0.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 x14ac:dyDescent="0.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 x14ac:dyDescent="0.4">
      <c r="A25"/>
      <c r="B25"/>
      <c r="C25"/>
      <c r="D25"/>
      <c r="E25"/>
    </row>
    <row r="28" spans="1:14" x14ac:dyDescent="0.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 x14ac:dyDescent="0.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 x14ac:dyDescent="0.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 x14ac:dyDescent="0.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 x14ac:dyDescent="0.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 x14ac:dyDescent="0.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 x14ac:dyDescent="0.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 x14ac:dyDescent="0.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 x14ac:dyDescent="0.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 x14ac:dyDescent="0.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 x14ac:dyDescent="0.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 x14ac:dyDescent="0.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 x14ac:dyDescent="0.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 x14ac:dyDescent="0.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 x14ac:dyDescent="0.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 x14ac:dyDescent="0.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 x14ac:dyDescent="0.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 x14ac:dyDescent="0.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 x14ac:dyDescent="0.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 x14ac:dyDescent="0.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 x14ac:dyDescent="0.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 x14ac:dyDescent="0.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 x14ac:dyDescent="0.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9"/>
  <sheetViews>
    <sheetView showGridLines="0" tabSelected="1" topLeftCell="A18" zoomScale="70" zoomScaleNormal="70" workbookViewId="0">
      <selection activeCell="I730" sqref="I730"/>
    </sheetView>
  </sheetViews>
  <sheetFormatPr defaultColWidth="4.3984375" defaultRowHeight="17.399999999999999" outlineLevelRow="1" outlineLevelCol="1" x14ac:dyDescent="0.4"/>
  <cols>
    <col min="1" max="1" width="8.898437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customWidth="1" outlineLevel="1"/>
    <col min="9" max="9" width="11.69921875" style="6" customWidth="1"/>
    <col min="10" max="10" width="28.69921875" style="184" customWidth="1"/>
    <col min="11" max="12" width="9.69921875" style="184" hidden="1" customWidth="1" outlineLevel="1"/>
    <col min="13" max="13" width="9.69921875" style="184" customWidth="1" collapsed="1"/>
    <col min="14" max="14" width="19" style="184" hidden="1" customWidth="1" outlineLevel="1"/>
    <col min="15" max="16" width="8.8984375" style="183" hidden="1" customWidth="1" outlineLevel="1"/>
    <col min="17" max="17" width="31.19921875" style="183" hidden="1" customWidth="1" outlineLevel="1"/>
    <col min="18" max="18" width="24.5" style="183" hidden="1" customWidth="1" outlineLevel="1"/>
    <col min="19" max="19" width="31.19921875" style="183" customWidth="1" collapsed="1"/>
    <col min="20" max="20" width="17.69921875" style="183" hidden="1" customWidth="1" outlineLevel="1"/>
    <col min="21" max="22" width="18.09765625" style="185" hidden="1" customWidth="1" outlineLevel="1"/>
    <col min="23" max="23" width="18.09765625" style="185" customWidth="1" collapsed="1"/>
    <col min="24" max="24" width="18.09765625" style="185" hidden="1" customWidth="1" outlineLevel="1"/>
    <col min="25" max="25" width="14.69921875" style="183" hidden="1" customWidth="1" outlineLevel="1"/>
    <col min="26" max="26" width="15.69921875" style="2" customWidth="1" collapsed="1"/>
    <col min="27" max="28" width="15.69921875" style="2" hidden="1" customWidth="1" outlineLevel="1"/>
    <col min="29" max="29" width="14.69921875" style="14" customWidth="1" collapsed="1"/>
    <col min="30" max="30" width="14.69921875" style="14" hidden="1" customWidth="1"/>
    <col min="31" max="31" width="14.19921875" style="14" hidden="1" customWidth="1"/>
    <col min="32" max="32" width="16.8984375" style="4" hidden="1" customWidth="1" outlineLevel="1"/>
    <col min="33" max="33" width="16.8984375" style="4" hidden="1" customWidth="1" collapsed="1"/>
    <col min="34" max="35" width="16.8984375" style="4" hidden="1" customWidth="1" outlineLevel="1"/>
    <col min="36" max="36" width="16.8984375" style="4" hidden="1" customWidth="1" collapsed="1"/>
    <col min="37" max="37" width="16.8984375" style="4" hidden="1" customWidth="1" outlineLevel="1"/>
    <col min="38" max="38" width="15" style="4" hidden="1" customWidth="1" outlineLevel="1"/>
    <col min="39" max="39" width="15" style="4" hidden="1" customWidth="1" collapsed="1"/>
    <col min="40" max="40" width="16.8984375" style="4" hidden="1" customWidth="1" outlineLevel="1"/>
    <col min="41" max="41" width="15" style="4" customWidth="1" collapsed="1"/>
    <col min="42" max="42" width="16.8984375" style="4" customWidth="1"/>
    <col min="43" max="43" width="15" style="4" customWidth="1"/>
    <col min="44" max="44" width="16.8984375" style="4" customWidth="1"/>
    <col min="45" max="45" width="15.09765625" style="4" customWidth="1"/>
    <col min="46" max="46" width="16.8984375" style="4" customWidth="1"/>
    <col min="47" max="47" width="15" style="4" customWidth="1"/>
    <col min="48" max="48" width="16.8984375" style="4" customWidth="1"/>
    <col min="49" max="49" width="15" style="4" customWidth="1"/>
    <col min="50" max="50" width="16.8984375" style="4" customWidth="1"/>
    <col min="51" max="51" width="15" style="4" customWidth="1"/>
    <col min="52" max="52" width="16.8984375" style="4" customWidth="1"/>
    <col min="53" max="53" width="15" style="4" customWidth="1"/>
    <col min="54" max="54" width="16.8984375" style="4" customWidth="1"/>
    <col min="55" max="57" width="15" style="4" customWidth="1"/>
    <col min="58" max="58" width="16.8984375" style="4" customWidth="1"/>
    <col min="59" max="59" width="8.69921875" style="195" customWidth="1"/>
    <col min="60" max="16384" width="4.3984375" style="195"/>
  </cols>
  <sheetData>
    <row r="1" spans="1:58" ht="40.799999999999997" customHeight="1" x14ac:dyDescent="0.4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7.6" outlineLevel="1" x14ac:dyDescent="0.4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customHeight="1" outlineLevel="1" x14ac:dyDescent="0.4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22.2" hidden="1" outlineLevel="1" x14ac:dyDescent="0.4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>SUMIFS($AC$23:$AC$6815,$Z$23:$Z$6815,"01 확정",$G$23:$G$6815,W4)</f>
        <v>2873559730</v>
      </c>
      <c r="AD4" s="42">
        <f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22.2" hidden="1" outlineLevel="1" x14ac:dyDescent="0.4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>SUMIFS($AC$23:$AC$6815,$Z$23:$Z$6815,"01 확정",$G$23:$G$6815,W5)</f>
        <v>3081839442</v>
      </c>
      <c r="AD5" s="42">
        <f>AC5-Z5</f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22.2" outlineLevel="1" x14ac:dyDescent="0.4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>SUMIFS($AC$23:$AC$6815,$Z$23:$Z$6815,"01 확정",$G$23:$G$6815,W6)</f>
        <v>2074042350</v>
      </c>
      <c r="AD6" s="42">
        <f>AC6-Z6</f>
        <v>449011550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22.2" hidden="1" outlineLevel="1" x14ac:dyDescent="0.4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>SUMIFS($AC$23:$AC$6815,$Z$23:$Z$6815,"01 확정",$G$23:$G$6815,W7)</f>
        <v>2441965819</v>
      </c>
      <c r="AD7" s="42">
        <f>AC7-Z7</f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22.2" hidden="1" outlineLevel="1" x14ac:dyDescent="0.4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>SUMIFS($AC$23:$AC$6815,$Z$23:$Z$6815,"01 확정",$G$23:$G$6815,W8)</f>
        <v>1847980836</v>
      </c>
      <c r="AD8" s="42">
        <f>AC8-Z8</f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22.2" hidden="1" outlineLevel="1" x14ac:dyDescent="0.4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>SUMIFS($AC$23:$AC$6815,$Z$23:$Z$6815,"01 확정",$G$23:$G$6815,W9)</f>
        <v>909105673</v>
      </c>
      <c r="AD9" s="42">
        <f>AC9-Z9</f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22.2" hidden="1" outlineLevel="1" x14ac:dyDescent="0.4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>SUMIFS($AC$23:$AC$6815,$Z$23:$Z$6815,"01 확정",$G$23:$G$6815,W10)</f>
        <v>230427986</v>
      </c>
      <c r="AD10" s="42">
        <f>AC10-Z10</f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22.2" hidden="1" outlineLevel="1" x14ac:dyDescent="0.4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>SUMIFS($AC$23:$AC$6815,$Z$23:$Z$6815,"01 확정",$G$23:$G$6815,W11)</f>
        <v>1497080925</v>
      </c>
      <c r="AD11" s="42">
        <f>AC11-Z11</f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22.2" hidden="1" outlineLevel="1" x14ac:dyDescent="0.4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>SUMIFS($AC$23:$AC$6815,$Z$23:$Z$6815,"01 확정",$G$23:$G$6815,W12)</f>
        <v>2018840642</v>
      </c>
      <c r="AD12" s="42">
        <f>AC12-Z12</f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22.2" hidden="1" outlineLevel="1" x14ac:dyDescent="0.4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>SUMIFS($AC$23:$AC$6815,$Z$23:$Z$6815,"01 확정",$G$23:$G$6815,W13)</f>
        <v>0</v>
      </c>
      <c r="AD13" s="42">
        <f>AC13-Z13</f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0.399999999999999" hidden="1" customHeight="1" outlineLevel="1" x14ac:dyDescent="0.4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>SUMIFS($AC$23:$AC$6815,$Z$23:$Z$6815,"01 확정",$G$23:$G$6815,W14)</f>
        <v>0</v>
      </c>
      <c r="AD14" s="42">
        <f>AC14-Z14</f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18.600000000000001" hidden="1" customHeight="1" outlineLevel="1" x14ac:dyDescent="0.4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>SUMIFS($AC$23:$AC$6815,$Z$23:$Z$6815,"01 확정",$G$23:$G$6815,W15)</f>
        <v>0</v>
      </c>
      <c r="AD15" s="228">
        <f>AC15-Z15</f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t="23.4" hidden="1" customHeight="1" outlineLevel="1" x14ac:dyDescent="0.4">
      <c r="W16" s="189" t="s">
        <v>317</v>
      </c>
      <c r="Z16" s="243">
        <v>16525831853</v>
      </c>
      <c r="AA16" s="243"/>
      <c r="AB16" s="243"/>
      <c r="AC16" s="243">
        <f>SUM(AC4:AC15)</f>
        <v>16974843403</v>
      </c>
      <c r="AD16" s="43">
        <f>AC16-Z16</f>
        <v>449011550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t="21" hidden="1" customHeight="1" outlineLevel="1" x14ac:dyDescent="0.4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 x14ac:dyDescent="0.4">
      <c r="U18" s="236"/>
      <c r="V18" s="236"/>
      <c r="W18" s="236"/>
      <c r="X18" s="236"/>
    </row>
    <row r="19" spans="1:60" x14ac:dyDescent="0.4">
      <c r="U19" s="235"/>
      <c r="V19" s="235"/>
      <c r="W19" s="235"/>
      <c r="X19" s="235"/>
      <c r="AD19" s="14" t="s">
        <v>730</v>
      </c>
    </row>
    <row r="20" spans="1:60" x14ac:dyDescent="0.4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9.2" x14ac:dyDescent="0.4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399999999999999" customHeight="1" thickBot="1" x14ac:dyDescent="0.45">
      <c r="A22" s="6">
        <f>SUBTOTAL(3,A24:A2002)</f>
        <v>32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1537321595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>SUBTOTAL(9,AC24:AC1048576)</f>
        <v>2074042350</v>
      </c>
      <c r="AD22" s="8">
        <f>SUBTOTAL(9,AD24:AD1048576)</f>
        <v>2045030800</v>
      </c>
      <c r="AE22" s="8">
        <f>SUBTOTAL(9,AE24:AE1048576)</f>
        <v>29011550</v>
      </c>
      <c r="AF22" s="7">
        <f>SUBTOTAL(9,AF24:AF1048576)</f>
        <v>91245501</v>
      </c>
      <c r="AG22" s="269">
        <f>SUBTOTAL(9,AG24:AG1048576)</f>
        <v>95303011</v>
      </c>
      <c r="AH22" s="7">
        <f>SUBTOTAL(9,AH24:AH1048576)</f>
        <v>0</v>
      </c>
      <c r="AI22" s="7">
        <f>SUBTOTAL(9,AI24:AI1048576)</f>
        <v>50716447</v>
      </c>
      <c r="AJ22" s="269">
        <f>SUBTOTAL(9,AJ24:AJ1048576)</f>
        <v>53031407</v>
      </c>
      <c r="AK22" s="7">
        <f>SUBTOTAL(9,AK24:AK1048576)</f>
        <v>0</v>
      </c>
      <c r="AL22" s="7">
        <f>SUBTOTAL(9,AL24:AL1048576)</f>
        <v>159774641</v>
      </c>
      <c r="AM22" s="269">
        <f>SUBTOTAL(9,AM24:AM1048576)</f>
        <v>94837301</v>
      </c>
      <c r="AN22" s="7">
        <f>SUBTOTAL(9,AN24:AN1048576)</f>
        <v>0</v>
      </c>
      <c r="AO22" s="7">
        <v>3264582830</v>
      </c>
      <c r="AP22" s="7">
        <f t="shared" ref="AP22:BE22" si="0">SUBTOTAL(9,AP24:AP1048576)</f>
        <v>0</v>
      </c>
      <c r="AQ22" s="7">
        <f t="shared" si="0"/>
        <v>108150000</v>
      </c>
      <c r="AR22" s="7">
        <f t="shared" si="0"/>
        <v>0</v>
      </c>
      <c r="AS22" s="7">
        <f t="shared" si="0"/>
        <v>201520000</v>
      </c>
      <c r="AT22" s="7">
        <f t="shared" si="0"/>
        <v>0</v>
      </c>
      <c r="AU22" s="7">
        <f t="shared" si="0"/>
        <v>110500000</v>
      </c>
      <c r="AV22" s="7">
        <f t="shared" si="0"/>
        <v>0</v>
      </c>
      <c r="AW22" s="7">
        <f t="shared" si="0"/>
        <v>165450000</v>
      </c>
      <c r="AX22" s="7">
        <f t="shared" si="0"/>
        <v>0</v>
      </c>
      <c r="AY22" s="7">
        <f t="shared" si="0"/>
        <v>106250000</v>
      </c>
      <c r="AZ22" s="7">
        <f t="shared" si="0"/>
        <v>0</v>
      </c>
      <c r="BA22" s="7">
        <f t="shared" si="0"/>
        <v>54500000</v>
      </c>
      <c r="BB22" s="7">
        <f t="shared" si="0"/>
        <v>0</v>
      </c>
      <c r="BC22" s="7">
        <f t="shared" si="0"/>
        <v>91500000</v>
      </c>
      <c r="BD22" s="7">
        <f t="shared" si="0"/>
        <v>0</v>
      </c>
      <c r="BE22" s="7">
        <f t="shared" si="0"/>
        <v>704710000</v>
      </c>
      <c r="BF22" s="7"/>
    </row>
    <row r="23" spans="1:60" s="204" customFormat="1" ht="42" customHeight="1" x14ac:dyDescent="0.4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 x14ac:dyDescent="0.4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>AG24+AJ24+AM24+AO24+AQ24+AS24+AU24+AW24+AY24+BA24+BC24+BE24</f>
        <v>529656400</v>
      </c>
      <c r="AD24" s="298">
        <v>529656400</v>
      </c>
      <c r="AE24" s="298">
        <f t="shared" ref="AE24:AE87" si="1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 x14ac:dyDescent="0.4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>AG25+AJ25+AM25+AO25+AQ25+AS25+AU25+AW25+AY25+BA25+BC25+BE25</f>
        <v>0</v>
      </c>
      <c r="AD25" s="298">
        <v>0</v>
      </c>
      <c r="AE25" s="298">
        <f t="shared" si="1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 x14ac:dyDescent="0.4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>AG26+AJ26+AM26+AO26+AQ26+AS26+AU26+AW26+AY26+BA26+BC26+BE26</f>
        <v>10000000</v>
      </c>
      <c r="AD26" s="298">
        <v>10000000</v>
      </c>
      <c r="AE26" s="298">
        <f t="shared" si="1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 x14ac:dyDescent="0.4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>AG27+AJ27+AM27+AO27+AQ27+AS27+AU27+AW27+AY27+BA27+BC27+BE27</f>
        <v>127000000</v>
      </c>
      <c r="AD27" s="298">
        <v>127000000</v>
      </c>
      <c r="AE27" s="298">
        <f t="shared" si="1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 x14ac:dyDescent="0.4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>AG28+AJ28+AM28+AO28+AQ28+AS28+AU28+AW28+AY28+BA28+BC28+BE28</f>
        <v>480000000</v>
      </c>
      <c r="AD28" s="298">
        <v>480000000</v>
      </c>
      <c r="AE28" s="298">
        <f t="shared" si="1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 x14ac:dyDescent="0.4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>AG29+AJ29+AM29+AO29+AQ29+AS29+AU29+AW29+AY29+BA29+BC29+BE29</f>
        <v>992000</v>
      </c>
      <c r="AD29" s="298">
        <v>992000</v>
      </c>
      <c r="AE29" s="298">
        <f t="shared" si="1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 x14ac:dyDescent="0.4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>AG30+AJ30+AM30+AO30+AQ30+AS30+AU30+AW30+AY30+BA30+BC30+BE30</f>
        <v>100000000</v>
      </c>
      <c r="AD30" s="298">
        <v>100000000</v>
      </c>
      <c r="AE30" s="298">
        <f t="shared" si="1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 x14ac:dyDescent="0.4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>AG31+AJ31+AM31+AO31+AQ31+AS31+AU31+AW31+AY31+BA31+BC31+BE31</f>
        <v>10000000</v>
      </c>
      <c r="AD31" s="298">
        <v>10000000</v>
      </c>
      <c r="AE31" s="298">
        <f t="shared" si="1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 x14ac:dyDescent="0.4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>AG32+AJ32+AM32+AO32+AQ32+AS32+AU32+AW32+AY32+BA32+BC32+BE32</f>
        <v>10000000</v>
      </c>
      <c r="AD32" s="298">
        <v>10000000</v>
      </c>
      <c r="AE32" s="298">
        <f t="shared" si="1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 x14ac:dyDescent="0.4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>AG33+AJ33+AM33+AO33+AQ33+AS33+AU33+AW33+AY33+BA33+BC33+BE33</f>
        <v>100000000</v>
      </c>
      <c r="AD33" s="298">
        <v>100000000</v>
      </c>
      <c r="AE33" s="298">
        <f t="shared" si="1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 x14ac:dyDescent="0.4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>AG34+AJ34+AM34+AO34+AQ34+AS34+AU34+AW34+AY34+BA34+BC34+BE34</f>
        <v>55970800</v>
      </c>
      <c r="AD34" s="298">
        <v>55970800</v>
      </c>
      <c r="AE34" s="298">
        <f t="shared" si="1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 x14ac:dyDescent="0.4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>AG35+AJ35+AM35+AO35+AQ35+AS35+AU35+AW35+AY35+BA35+BC35+BE35</f>
        <v>10000000</v>
      </c>
      <c r="AD35" s="298">
        <v>10000000</v>
      </c>
      <c r="AE35" s="298">
        <f t="shared" si="1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 x14ac:dyDescent="0.4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>AG36+AJ36+AM36+AO36+AQ36+AS36+AU36+AW36+AY36+BA36+BC36+BE36</f>
        <v>8000000</v>
      </c>
      <c r="AD36" s="298">
        <v>8000000</v>
      </c>
      <c r="AE36" s="298">
        <f t="shared" si="1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 x14ac:dyDescent="0.4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>AG37+AJ37+AM37+AO37+AQ37+AS37+AU37+AW37+AY37+BA37+BC37+BE37</f>
        <v>100000000</v>
      </c>
      <c r="AD37" s="298">
        <v>100000000</v>
      </c>
      <c r="AE37" s="298">
        <f t="shared" si="1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 x14ac:dyDescent="0.4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>AG38+AJ38+AM38+AO38+AQ38+AS38+AU38+AW38+AY38+BA38+BC38+BE38</f>
        <v>109872100</v>
      </c>
      <c r="AD38" s="298">
        <v>109872100</v>
      </c>
      <c r="AE38" s="298">
        <f t="shared" si="1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 x14ac:dyDescent="0.4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>AG39+AJ39+AM39+AO39+AQ39+AS39+AU39+AW39+AY39+BA39+BC39+BE39</f>
        <v>10000000</v>
      </c>
      <c r="AD39" s="298">
        <v>10000000</v>
      </c>
      <c r="AE39" s="298">
        <f t="shared" si="1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 x14ac:dyDescent="0.4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>AG40+AJ40+AM40+AO40+AQ40+AS40+AU40+AW40+AY40+BA40+BC40+BE40</f>
        <v>1000000</v>
      </c>
      <c r="AD40" s="298">
        <v>1000000</v>
      </c>
      <c r="AE40" s="298">
        <f t="shared" si="1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 x14ac:dyDescent="0.4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>AG41+AJ41+AM41+AO41+AQ41+AS41+AU41+AW41+AY41+BA41+BC41+BE41</f>
        <v>972392320</v>
      </c>
      <c r="AD41" s="298">
        <v>972392320</v>
      </c>
      <c r="AE41" s="298">
        <f t="shared" si="1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 x14ac:dyDescent="0.4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>AG42+AJ42+AM42+AO42+AQ42+AS42+AU42+AW42+AY42+BA42+BC42+BE42</f>
        <v>480000000</v>
      </c>
      <c r="AD42" s="298">
        <v>480000000</v>
      </c>
      <c r="AE42" s="298">
        <f t="shared" si="1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 x14ac:dyDescent="0.4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>AG43+AJ43+AM43+AO43+AQ43+AS43+AU43+AW43+AY43+BA43+BC43+BE43</f>
        <v>30000000</v>
      </c>
      <c r="AD43" s="298">
        <v>30000000</v>
      </c>
      <c r="AE43" s="298">
        <f t="shared" si="1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 x14ac:dyDescent="0.4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871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>AG44+AJ44+AM44+AO44+AQ44+AS44+AU44+AW44+AY44+BA44+BC44+BE44</f>
        <v>10000000</v>
      </c>
      <c r="AD44" s="298">
        <v>10000000</v>
      </c>
      <c r="AE44" s="298">
        <f t="shared" si="1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 x14ac:dyDescent="0.4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>AG45+AJ45+AM45+AO45+AQ45+AS45+AU45+AW45+AY45+BA45+BC45+BE45</f>
        <v>270000000</v>
      </c>
      <c r="AD45" s="298">
        <v>270000000</v>
      </c>
      <c r="AE45" s="298">
        <f t="shared" si="1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 x14ac:dyDescent="0.4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>AG46+AJ46+AM46+AO46+AQ46+AS46+AU46+AW46+AY46+BA46+BC46+BE46</f>
        <v>300000000</v>
      </c>
      <c r="AD46" s="298">
        <v>300000000</v>
      </c>
      <c r="AE46" s="298">
        <f t="shared" si="1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 x14ac:dyDescent="0.4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>AG47+AJ47+AM47+AO47+AQ47+AS47+AU47+AW47+AY47+BA47+BC47+BE47</f>
        <v>77542920</v>
      </c>
      <c r="AD47" s="298">
        <v>77542920</v>
      </c>
      <c r="AE47" s="298">
        <f t="shared" si="1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 x14ac:dyDescent="0.4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>AG48+AJ48+AM48+AO48+AQ48+AS48+AU48+AW48+AY48+BA48+BC48+BE48</f>
        <v>8000000</v>
      </c>
      <c r="AD48" s="298">
        <v>8000000</v>
      </c>
      <c r="AE48" s="298">
        <f t="shared" si="1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 x14ac:dyDescent="0.4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>AG49+AJ49+AM49+AO49+AQ49+AS49+AU49+AW49+AY49+BA49+BC49+BE49</f>
        <v>45086610</v>
      </c>
      <c r="AD49" s="298">
        <v>45086610</v>
      </c>
      <c r="AE49" s="298">
        <f t="shared" si="1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 x14ac:dyDescent="0.4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>AG50+AJ50+AM50+AO50+AQ50+AS50+AU50+AW50+AY50+BA50+BC50+BE50</f>
        <v>55000000</v>
      </c>
      <c r="AD50" s="298">
        <v>55000000</v>
      </c>
      <c r="AE50" s="298">
        <f t="shared" si="1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 x14ac:dyDescent="0.4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>AG51+AJ51+AM51+AO51+AQ51+AS51+AU51+AW51+AY51+BA51+BC51+BE51</f>
        <v>510000000</v>
      </c>
      <c r="AD51" s="298">
        <v>510000000</v>
      </c>
      <c r="AE51" s="298">
        <f t="shared" si="1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 x14ac:dyDescent="0.4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>AG52+AJ52+AM52+AO52+AQ52+AS52+AU52+AW52+AY52+BA52+BC52+BE52</f>
        <v>15000000</v>
      </c>
      <c r="AD52" s="298">
        <v>15000000</v>
      </c>
      <c r="AE52" s="298">
        <f t="shared" si="1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 x14ac:dyDescent="0.4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>AG53+AJ53+AM53+AO53+AQ53+AS53+AU53+AW53+AY53+BA53+BC53+BE53</f>
        <v>0</v>
      </c>
      <c r="AD53" s="298">
        <v>0</v>
      </c>
      <c r="AE53" s="298">
        <f t="shared" si="1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 x14ac:dyDescent="0.4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>AG54+AJ54+AM54+AO54+AQ54+AS54+AU54+AW54+AY54+BA54+BC54+BE54</f>
        <v>5000000</v>
      </c>
      <c r="AD54" s="298">
        <v>5000000</v>
      </c>
      <c r="AE54" s="298">
        <f t="shared" si="1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 x14ac:dyDescent="0.4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>AG55+AJ55+AM55+AO55+AQ55+AS55+AU55+AW55+AY55+BA55+BC55+BE55</f>
        <v>200000000</v>
      </c>
      <c r="AD55" s="298">
        <v>200000000</v>
      </c>
      <c r="AE55" s="298">
        <f t="shared" si="1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 x14ac:dyDescent="0.4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>AG56+AJ56+AM56+AO56+AQ56+AS56+AU56+AW56+AY56+BA56+BC56+BE56</f>
        <v>28111200</v>
      </c>
      <c r="AD56" s="298">
        <v>28111200</v>
      </c>
      <c r="AE56" s="298">
        <f t="shared" si="1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 x14ac:dyDescent="0.4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>AG57+AJ57+AM57+AO57+AQ57+AS57+AU57+AW57+AY57+BA57+BC57+BE57</f>
        <v>214000000</v>
      </c>
      <c r="AD57" s="298">
        <v>214000000</v>
      </c>
      <c r="AE57" s="298">
        <f t="shared" si="1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 x14ac:dyDescent="0.4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>AG58+AJ58+AM58+AO58+AQ58+AS58+AU58+AW58+AY58+BA58+BC58+BE58</f>
        <v>0</v>
      </c>
      <c r="AD58" s="298">
        <v>0</v>
      </c>
      <c r="AE58" s="298">
        <f t="shared" si="1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 x14ac:dyDescent="0.4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>AG59+AJ59+AM59+AO59+AQ59+AS59+AU59+AW59+AY59+BA59+BC59+BE59</f>
        <v>4000000</v>
      </c>
      <c r="AD59" s="298">
        <v>4000000</v>
      </c>
      <c r="AE59" s="298">
        <f t="shared" si="1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 x14ac:dyDescent="0.4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>AG60+AJ60+AM60+AO60+AQ60+AS60+AU60+AW60+AY60+BA60+BC60+BE60</f>
        <v>8521250</v>
      </c>
      <c r="AD60" s="298">
        <v>8521250</v>
      </c>
      <c r="AE60" s="298">
        <f t="shared" si="1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 x14ac:dyDescent="0.4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>AG61+AJ61+AM61+AO61+AQ61+AS61+AU61+AW61+AY61+BA61+BC61+BE61</f>
        <v>50000000</v>
      </c>
      <c r="AD61" s="298">
        <v>50000000</v>
      </c>
      <c r="AE61" s="298">
        <f t="shared" si="1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 x14ac:dyDescent="0.4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>AG62+AJ62+AM62+AO62+AQ62+AS62+AU62+AW62+AY62+BA62+BC62+BE62</f>
        <v>0</v>
      </c>
      <c r="AD62" s="298">
        <v>0</v>
      </c>
      <c r="AE62" s="298">
        <f t="shared" si="1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 x14ac:dyDescent="0.4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>AG63+AJ63+AM63+AO63+AQ63+AS63+AU63+AW63+AY63+BA63+BC63+BE63</f>
        <v>500000000</v>
      </c>
      <c r="AD63" s="298">
        <v>500000000</v>
      </c>
      <c r="AE63" s="298">
        <f t="shared" si="1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 x14ac:dyDescent="0.4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>AG64+AJ64+AM64+AO64+AQ64+AS64+AU64+AW64+AY64+BA64+BC64+BE64</f>
        <v>700000000</v>
      </c>
      <c r="AD64" s="298">
        <v>700000000</v>
      </c>
      <c r="AE64" s="298">
        <f t="shared" si="1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 x14ac:dyDescent="0.4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>AG65+AJ65+AM65+AO65+AQ65+AS65+AU65+AW65+AY65+BA65+BC65+BE65</f>
        <v>0</v>
      </c>
      <c r="AD65" s="298">
        <v>0</v>
      </c>
      <c r="AE65" s="298">
        <f t="shared" si="1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 x14ac:dyDescent="0.4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>AG66+AJ66+AM66+AO66+AQ66+AS66+AU66+AW66+AY66+BA66+BC66+BE66</f>
        <v>20000000</v>
      </c>
      <c r="AD66" s="298">
        <v>20000000</v>
      </c>
      <c r="AE66" s="298">
        <f t="shared" si="1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 x14ac:dyDescent="0.4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>AG67+AJ67+AM67+AO67+AQ67+AS67+AU67+AW67+AY67+BA67+BC67+BE67</f>
        <v>0</v>
      </c>
      <c r="AD67" s="298">
        <v>0</v>
      </c>
      <c r="AE67" s="298">
        <f t="shared" si="1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 x14ac:dyDescent="0.4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>AG68+AJ68+AM68+AO68+AQ68+AS68+AU68+AW68+AY68+BA68+BC68+BE68</f>
        <v>0</v>
      </c>
      <c r="AD68" s="298">
        <v>0</v>
      </c>
      <c r="AE68" s="298">
        <f t="shared" si="1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 x14ac:dyDescent="0.4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>AG69+AJ69+AM69+AO69+AQ69+AS69+AU69+AW69+AY69+BA69+BC69+BE69</f>
        <v>3000000</v>
      </c>
      <c r="AD69" s="298">
        <v>3000000</v>
      </c>
      <c r="AE69" s="298">
        <f t="shared" si="1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 x14ac:dyDescent="0.4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>AG70+AJ70+AM70+AO70+AQ70+AS70+AU70+AW70+AY70+BA70+BC70+BE70</f>
        <v>10000000</v>
      </c>
      <c r="AD70" s="298">
        <v>10000000</v>
      </c>
      <c r="AE70" s="298">
        <f t="shared" si="1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 x14ac:dyDescent="0.4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>AG71+AJ71+AM71+AO71+AQ71+AS71+AU71+AW71+AY71+BA71+BC71+BE71</f>
        <v>358323420</v>
      </c>
      <c r="AD71" s="298">
        <v>358323420</v>
      </c>
      <c r="AE71" s="298">
        <f t="shared" si="1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 x14ac:dyDescent="0.4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>AG72+AJ72+AM72+AO72+AQ72+AS72+AU72+AW72+AY72+BA72+BC72+BE72</f>
        <v>0</v>
      </c>
      <c r="AD72" s="298">
        <v>0</v>
      </c>
      <c r="AE72" s="298">
        <f t="shared" si="1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 x14ac:dyDescent="0.4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>AG73+AJ73+AM73+AO73+AQ73+AS73+AU73+AW73+AY73+BA73+BC73+BE73</f>
        <v>0</v>
      </c>
      <c r="AD73" s="298">
        <v>0</v>
      </c>
      <c r="AE73" s="298">
        <f t="shared" si="1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 x14ac:dyDescent="0.4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>AG74+AJ74+AM74+AO74+AQ74+AS74+AU74+AW74+AY74+BA74+BC74+BE74</f>
        <v>20100000</v>
      </c>
      <c r="AD74" s="298">
        <v>20100000</v>
      </c>
      <c r="AE74" s="298">
        <f t="shared" si="1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 x14ac:dyDescent="0.4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>AG75+AJ75+AM75+AO75+AQ75+AS75+AU75+AW75+AY75+BA75+BC75+BE75</f>
        <v>30000000</v>
      </c>
      <c r="AD75" s="298">
        <v>30000000</v>
      </c>
      <c r="AE75" s="298">
        <f t="shared" si="1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 x14ac:dyDescent="0.4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>AG76+AJ76+AM76+AO76+AQ76+AS76+AU76+AW76+AY76+BA76+BC76+BE76</f>
        <v>0</v>
      </c>
      <c r="AD76" s="298">
        <v>0</v>
      </c>
      <c r="AE76" s="298">
        <f t="shared" si="1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 x14ac:dyDescent="0.4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>AG77+AJ77+AM77+AO77+AQ77+AS77+AU77+AW77+AY77+BA77+BC77+BE77</f>
        <v>120990710</v>
      </c>
      <c r="AD77" s="298">
        <v>120990710</v>
      </c>
      <c r="AE77" s="298">
        <f t="shared" si="1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 x14ac:dyDescent="0.4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>AG78+AJ78+AM78+AO78+AQ78+AS78+AU78+AW78+AY78+BA78+BC78+BE78</f>
        <v>1000000</v>
      </c>
      <c r="AD78" s="298">
        <v>1000000</v>
      </c>
      <c r="AE78" s="298">
        <f t="shared" si="1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 x14ac:dyDescent="0.4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>AG79+AJ79+AM79+AO79+AQ79+AS79+AU79+AW79+AY79+BA79+BC79+BE79</f>
        <v>1000000</v>
      </c>
      <c r="AD79" s="298">
        <v>1000000</v>
      </c>
      <c r="AE79" s="298">
        <f t="shared" si="1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 x14ac:dyDescent="0.4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>AG80+AJ80+AM80+AO80+AQ80+AS80+AU80+AW80+AY80+BA80+BC80+BE80</f>
        <v>425568574</v>
      </c>
      <c r="AD80" s="298">
        <v>425568574</v>
      </c>
      <c r="AE80" s="298">
        <f t="shared" si="1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 x14ac:dyDescent="0.4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>AG81+AJ81+AM81+AO81+AQ81+AS81+AU81+AW81+AY81+BA81+BC81+BE81</f>
        <v>20000000</v>
      </c>
      <c r="AD81" s="298">
        <v>20000000</v>
      </c>
      <c r="AE81" s="298">
        <f t="shared" si="1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 x14ac:dyDescent="0.4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>AG82+AJ82+AM82+AO82+AQ82+AS82+AU82+AW82+AY82+BA82+BC82+BE82</f>
        <v>10000000</v>
      </c>
      <c r="AD82" s="298">
        <v>10000000</v>
      </c>
      <c r="AE82" s="298">
        <f t="shared" si="1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 x14ac:dyDescent="0.4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>AG83+AJ83+AM83+AO83+AQ83+AS83+AU83+AW83+AY83+BA83+BC83+BE83</f>
        <v>20000000</v>
      </c>
      <c r="AD83" s="298">
        <v>20000000</v>
      </c>
      <c r="AE83" s="298">
        <f t="shared" si="1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 x14ac:dyDescent="0.4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>AG84+AJ84+AM84+AO84+AQ84+AS84+AU84+AW84+AY84+BA84+BC84+BE84</f>
        <v>0</v>
      </c>
      <c r="AD84" s="298">
        <v>0</v>
      </c>
      <c r="AE84" s="298">
        <f t="shared" si="1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 x14ac:dyDescent="0.4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>AG85+AJ85+AM85+AO85+AQ85+AS85+AU85+AW85+AY85+BA85+BC85+BE85</f>
        <v>230000000</v>
      </c>
      <c r="AD85" s="298">
        <v>230000000</v>
      </c>
      <c r="AE85" s="298">
        <f t="shared" si="1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 x14ac:dyDescent="0.4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>AG86+AJ86+AM86+AO86+AQ86+AS86+AU86+AW86+AY86+BA86+BC86+BE86</f>
        <v>30000000</v>
      </c>
      <c r="AD86" s="298">
        <v>30000000</v>
      </c>
      <c r="AE86" s="298">
        <f t="shared" si="1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 x14ac:dyDescent="0.4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>AG87+AJ87+AM87+AO87+AQ87+AS87+AU87+AW87+AY87+BA87+BC87+BE87</f>
        <v>20000000</v>
      </c>
      <c r="AD87" s="298">
        <v>20000000</v>
      </c>
      <c r="AE87" s="298">
        <f t="shared" si="1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 x14ac:dyDescent="0.4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>AG88+AJ88+AM88+AO88+AQ88+AS88+AU88+AW88+AY88+BA88+BC88+BE88</f>
        <v>0</v>
      </c>
      <c r="AD88" s="298">
        <v>0</v>
      </c>
      <c r="AE88" s="298">
        <f t="shared" ref="AE88:AE151" si="2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 x14ac:dyDescent="0.4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>AG89+AJ89+AM89+AO89+AQ89+AS89+AU89+AW89+AY89+BA89+BC89+BE89</f>
        <v>18000000</v>
      </c>
      <c r="AD89" s="298">
        <v>18000000</v>
      </c>
      <c r="AE89" s="298">
        <f t="shared" si="2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 x14ac:dyDescent="0.4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>AG90+AJ90+AM90+AO90+AQ90+AS90+AU90+AW90+AY90+BA90+BC90+BE90</f>
        <v>0</v>
      </c>
      <c r="AD90" s="298">
        <v>0</v>
      </c>
      <c r="AE90" s="298">
        <f t="shared" si="2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 x14ac:dyDescent="0.4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>AG91+AJ91+AM91+AO91+AQ91+AS91+AU91+AW91+AY91+BA91+BC91+BE91</f>
        <v>80000000</v>
      </c>
      <c r="AD91" s="298">
        <v>80000000</v>
      </c>
      <c r="AE91" s="298">
        <f t="shared" si="2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 x14ac:dyDescent="0.4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>AG92+AJ92+AM92+AO92+AQ92+AS92+AU92+AW92+AY92+BA92+BC92+BE92</f>
        <v>250000000</v>
      </c>
      <c r="AD92" s="298">
        <v>250000000</v>
      </c>
      <c r="AE92" s="298">
        <f t="shared" si="2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 x14ac:dyDescent="0.4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>AG93+AJ93+AM93+AO93+AQ93+AS93+AU93+AW93+AY93+BA93+BC93+BE93</f>
        <v>400000000</v>
      </c>
      <c r="AD93" s="298">
        <v>400000000</v>
      </c>
      <c r="AE93" s="298">
        <f t="shared" si="2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 x14ac:dyDescent="0.4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>AG94+AJ94+AM94+AO94+AQ94+AS94+AU94+AW94+AY94+BA94+BC94+BE94</f>
        <v>74000000</v>
      </c>
      <c r="AD94" s="298">
        <v>74000000</v>
      </c>
      <c r="AE94" s="298">
        <f t="shared" si="2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 x14ac:dyDescent="0.4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>AG95+AJ95+AM95+AO95+AQ95+AS95+AU95+AW95+AY95+BA95+BC95+BE95</f>
        <v>40000000</v>
      </c>
      <c r="AD95" s="298">
        <v>40000000</v>
      </c>
      <c r="AE95" s="298">
        <f t="shared" si="2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 x14ac:dyDescent="0.4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>AG96+AJ96+AM96+AO96+AQ96+AS96+AU96+AW96+AY96+BA96+BC96+BE96</f>
        <v>0</v>
      </c>
      <c r="AD96" s="298">
        <v>0</v>
      </c>
      <c r="AE96" s="298">
        <f t="shared" si="2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 x14ac:dyDescent="0.4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>AG97+AJ97+AM97+AO97+AQ97+AS97+AU97+AW97+AY97+BA97+BC97+BE97</f>
        <v>0</v>
      </c>
      <c r="AD97" s="298">
        <v>0</v>
      </c>
      <c r="AE97" s="298">
        <f t="shared" si="2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 x14ac:dyDescent="0.4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>AG98+AJ98+AM98+AO98+AQ98+AS98+AU98+AW98+AY98+BA98+BC98+BE98</f>
        <v>40000000</v>
      </c>
      <c r="AD98" s="298">
        <v>40000000</v>
      </c>
      <c r="AE98" s="298">
        <f t="shared" si="2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 x14ac:dyDescent="0.4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>AG99+AJ99+AM99+AO99+AQ99+AS99+AU99+AW99+AY99+BA99+BC99+BE99</f>
        <v>10000000</v>
      </c>
      <c r="AD99" s="298">
        <v>10000000</v>
      </c>
      <c r="AE99" s="298">
        <f t="shared" si="2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 x14ac:dyDescent="0.4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>AG100+AJ100+AM100+AO100+AQ100+AS100+AU100+AW100+AY100+BA100+BC100+BE100</f>
        <v>10000000</v>
      </c>
      <c r="AD100" s="298">
        <v>10000000</v>
      </c>
      <c r="AE100" s="298">
        <f t="shared" si="2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 x14ac:dyDescent="0.4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>AG101+AJ101+AM101+AO101+AQ101+AS101+AU101+AW101+AY101+BA101+BC101+BE101</f>
        <v>15000000</v>
      </c>
      <c r="AD101" s="298">
        <v>15000000</v>
      </c>
      <c r="AE101" s="298">
        <f t="shared" si="2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 x14ac:dyDescent="0.4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>AG102+AJ102+AM102+AO102+AQ102+AS102+AU102+AW102+AY102+BA102+BC102+BE102</f>
        <v>18000000</v>
      </c>
      <c r="AD102" s="298">
        <v>18000000</v>
      </c>
      <c r="AE102" s="298">
        <f t="shared" si="2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 x14ac:dyDescent="0.4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>AG103+AJ103+AM103+AO103+AQ103+AS103+AU103+AW103+AY103+BA103+BC103+BE103</f>
        <v>600000000</v>
      </c>
      <c r="AD103" s="298">
        <v>600000000</v>
      </c>
      <c r="AE103" s="298">
        <f t="shared" si="2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 x14ac:dyDescent="0.4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>AG104+AJ104+AM104+AO104+AQ104+AS104+AU104+AW104+AY104+BA104+BC104+BE104</f>
        <v>0</v>
      </c>
      <c r="AD104" s="298">
        <v>0</v>
      </c>
      <c r="AE104" s="298">
        <f t="shared" si="2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 x14ac:dyDescent="0.4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>AG105+AJ105+AM105+AO105+AQ105+AS105+AU105+AW105+AY105+BA105+BC105+BE105</f>
        <v>55000000</v>
      </c>
      <c r="AD105" s="298">
        <v>55000000</v>
      </c>
      <c r="AE105" s="298">
        <f t="shared" si="2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 x14ac:dyDescent="0.4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>AG106+AJ106+AM106+AO106+AQ106+AS106+AU106+AW106+AY106+BA106+BC106+BE106</f>
        <v>110000000</v>
      </c>
      <c r="AD106" s="298">
        <v>110000000</v>
      </c>
      <c r="AE106" s="298">
        <f t="shared" si="2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 x14ac:dyDescent="0.4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>AG107+AJ107+AM107+AO107+AQ107+AS107+AU107+AW107+AY107+BA107+BC107+BE107</f>
        <v>110000000</v>
      </c>
      <c r="AD107" s="298">
        <v>110000000</v>
      </c>
      <c r="AE107" s="298">
        <f t="shared" si="2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 x14ac:dyDescent="0.4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>AG108+AJ108+AM108+AO108+AQ108+AS108+AU108+AW108+AY108+BA108+BC108+BE108</f>
        <v>190000000</v>
      </c>
      <c r="AD108" s="298">
        <v>190000000</v>
      </c>
      <c r="AE108" s="298">
        <f t="shared" si="2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 x14ac:dyDescent="0.4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>AG109+AJ109+AM109+AO109+AQ109+AS109+AU109+AW109+AY109+BA109+BC109+BE109</f>
        <v>0</v>
      </c>
      <c r="AD109" s="298">
        <v>0</v>
      </c>
      <c r="AE109" s="298">
        <f t="shared" si="2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 x14ac:dyDescent="0.4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>AG110+AJ110+AM110+AO110+AQ110+AS110+AU110+AW110+AY110+BA110+BC110+BE110</f>
        <v>5000000</v>
      </c>
      <c r="AD110" s="298">
        <v>5000000</v>
      </c>
      <c r="AE110" s="298">
        <f t="shared" si="2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 x14ac:dyDescent="0.4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>AG111+AJ111+AM111+AO111+AQ111+AS111+AU111+AW111+AY111+BA111+BC111+BE111</f>
        <v>60000000</v>
      </c>
      <c r="AD111" s="298">
        <v>60000000</v>
      </c>
      <c r="AE111" s="298">
        <f t="shared" si="2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 x14ac:dyDescent="0.4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>AG112+AJ112+AM112+AO112+AQ112+AS112+AU112+AW112+AY112+BA112+BC112+BE112</f>
        <v>20885500</v>
      </c>
      <c r="AD112" s="298">
        <v>20885500</v>
      </c>
      <c r="AE112" s="298">
        <f t="shared" si="2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 x14ac:dyDescent="0.4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>AG113+AJ113+AM113+AO113+AQ113+AS113+AU113+AW113+AY113+BA113+BC113+BE113</f>
        <v>59615910</v>
      </c>
      <c r="AD113" s="298">
        <v>59615910</v>
      </c>
      <c r="AE113" s="298">
        <f t="shared" si="2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 x14ac:dyDescent="0.4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>AG114+AJ114+AM114+AO114+AQ114+AS114+AU114+AW114+AY114+BA114+BC114+BE114</f>
        <v>15000000</v>
      </c>
      <c r="AD114" s="298">
        <v>15000000</v>
      </c>
      <c r="AE114" s="298">
        <f t="shared" si="2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 x14ac:dyDescent="0.4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>AG115+AJ115+AM115+AO115+AQ115+AS115+AU115+AW115+AY115+BA115+BC115+BE115</f>
        <v>142680000</v>
      </c>
      <c r="AD115" s="298">
        <v>142680000</v>
      </c>
      <c r="AE115" s="298">
        <f t="shared" si="2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 x14ac:dyDescent="0.4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>AG116+AJ116+AM116+AO116+AQ116+AS116+AU116+AW116+AY116+BA116+BC116+BE116</f>
        <v>5320000</v>
      </c>
      <c r="AD116" s="298">
        <v>5320000</v>
      </c>
      <c r="AE116" s="298">
        <f t="shared" si="2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 x14ac:dyDescent="0.4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>AG117+AJ117+AM117+AO117+AQ117+AS117+AU117+AW117+AY117+BA117+BC117+BE117</f>
        <v>10000000</v>
      </c>
      <c r="AD117" s="298">
        <v>10000000</v>
      </c>
      <c r="AE117" s="298">
        <f t="shared" si="2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 x14ac:dyDescent="0.4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>AG118+AJ118+AM118+AO118+AQ118+AS118+AU118+AW118+AY118+BA118+BC118+BE118</f>
        <v>15000000</v>
      </c>
      <c r="AD118" s="298">
        <v>15000000</v>
      </c>
      <c r="AE118" s="298">
        <f t="shared" si="2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 x14ac:dyDescent="0.4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>AG119+AJ119+AM119+AO119+AQ119+AS119+AU119+AW119+AY119+BA119+BC119+BE119</f>
        <v>200000000</v>
      </c>
      <c r="AD119" s="298">
        <v>200000000</v>
      </c>
      <c r="AE119" s="298">
        <f t="shared" si="2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 x14ac:dyDescent="0.4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>AG120+AJ120+AM120+AO120+AQ120+AS120+AU120+AW120+AY120+BA120+BC120+BE120</f>
        <v>2000000</v>
      </c>
      <c r="AD120" s="298">
        <v>2000000</v>
      </c>
      <c r="AE120" s="298">
        <f t="shared" si="2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 x14ac:dyDescent="0.4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>AG121+AJ121+AM121+AO121+AQ121+AS121+AU121+AW121+AY121+BA121+BC121+BE121</f>
        <v>30000000</v>
      </c>
      <c r="AD121" s="298">
        <v>30000000</v>
      </c>
      <c r="AE121" s="298">
        <f t="shared" si="2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 x14ac:dyDescent="0.4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>AG122+AJ122+AM122+AO122+AQ122+AS122+AU122+AW122+AY122+BA122+BC122+BE122</f>
        <v>200000000</v>
      </c>
      <c r="AD122" s="298">
        <v>200000000</v>
      </c>
      <c r="AE122" s="298">
        <f t="shared" si="2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 x14ac:dyDescent="0.4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>AG123+AJ123+AM123+AO123+AQ123+AS123+AU123+AW123+AY123+BA123+BC123+BE123</f>
        <v>50000000</v>
      </c>
      <c r="AD123" s="298">
        <v>50000000</v>
      </c>
      <c r="AE123" s="298">
        <f t="shared" si="2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 x14ac:dyDescent="0.4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>AG124+AJ124+AM124+AO124+AQ124+AS124+AU124+AW124+AY124+BA124+BC124+BE124</f>
        <v>265205820</v>
      </c>
      <c r="AD124" s="298">
        <v>265205820</v>
      </c>
      <c r="AE124" s="298">
        <f t="shared" si="2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 x14ac:dyDescent="0.4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>AG125+AJ125+AM125+AO125+AQ125+AS125+AU125+AW125+AY125+BA125+BC125+BE125</f>
        <v>6000000</v>
      </c>
      <c r="AD125" s="298">
        <v>6000000</v>
      </c>
      <c r="AE125" s="298">
        <f t="shared" si="2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 x14ac:dyDescent="0.4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>AG126+AJ126+AM126+AO126+AQ126+AS126+AU126+AW126+AY126+BA126+BC126+BE126</f>
        <v>0</v>
      </c>
      <c r="AD126" s="298">
        <v>0</v>
      </c>
      <c r="AE126" s="298">
        <f t="shared" si="2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 x14ac:dyDescent="0.4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>AG127+AJ127+AM127+AO127+AQ127+AS127+AU127+AW127+AY127+BA127+BC127+BE127</f>
        <v>150000000</v>
      </c>
      <c r="AD127" s="298">
        <v>150000000</v>
      </c>
      <c r="AE127" s="298">
        <f t="shared" si="2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 x14ac:dyDescent="0.4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>AG128+AJ128+AM128+AO128+AQ128+AS128+AU128+AW128+AY128+BA128+BC128+BE128</f>
        <v>50000000</v>
      </c>
      <c r="AD128" s="298">
        <v>50000000</v>
      </c>
      <c r="AE128" s="298">
        <f t="shared" si="2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 x14ac:dyDescent="0.4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>AG129+AJ129+AM129+AO129+AQ129+AS129+AU129+AW129+AY129+BA129+BC129+BE129</f>
        <v>10000000</v>
      </c>
      <c r="AD129" s="298">
        <v>10000000</v>
      </c>
      <c r="AE129" s="298">
        <f t="shared" si="2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 x14ac:dyDescent="0.4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>AG130+AJ130+AM130+AO130+AQ130+AS130+AU130+AW130+AY130+BA130+BC130+BE130</f>
        <v>10000000</v>
      </c>
      <c r="AD130" s="298">
        <v>10000000</v>
      </c>
      <c r="AE130" s="298">
        <f t="shared" si="2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 x14ac:dyDescent="0.4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>AG131+AJ131+AM131+AO131+AQ131+AS131+AU131+AW131+AY131+BA131+BC131+BE131</f>
        <v>30000000</v>
      </c>
      <c r="AD131" s="298">
        <v>30000000</v>
      </c>
      <c r="AE131" s="298">
        <f t="shared" si="2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 x14ac:dyDescent="0.4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>AG132+AJ132+AM132+AO132+AQ132+AS132+AU132+AW132+AY132+BA132+BC132+BE132</f>
        <v>0</v>
      </c>
      <c r="AD132" s="298">
        <v>0</v>
      </c>
      <c r="AE132" s="298">
        <f t="shared" si="2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 x14ac:dyDescent="0.4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>AG133+AJ133+AM133+AO133+AQ133+AS133+AU133+AW133+AY133+BA133+BC133+BE133</f>
        <v>110000000</v>
      </c>
      <c r="AD133" s="298">
        <v>110000000</v>
      </c>
      <c r="AE133" s="298">
        <f t="shared" si="2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 x14ac:dyDescent="0.4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>AG134+AJ134+AM134+AO134+AQ134+AS134+AU134+AW134+AY134+BA134+BC134+BE134</f>
        <v>0</v>
      </c>
      <c r="AD134" s="298">
        <v>0</v>
      </c>
      <c r="AE134" s="298">
        <f t="shared" si="2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 x14ac:dyDescent="0.4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>AG135+AJ135+AM135+AO135+AQ135+AS135+AU135+AW135+AY135+BA135+BC135+BE135</f>
        <v>280000000</v>
      </c>
      <c r="AD135" s="298">
        <v>280000000</v>
      </c>
      <c r="AE135" s="298">
        <f t="shared" si="2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 x14ac:dyDescent="0.4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>AG136+AJ136+AM136+AO136+AQ136+AS136+AU136+AW136+AY136+BA136+BC136+BE136</f>
        <v>200000000</v>
      </c>
      <c r="AD136" s="298">
        <v>200000000</v>
      </c>
      <c r="AE136" s="298">
        <f t="shared" si="2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 x14ac:dyDescent="0.4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>AG137+AJ137+AM137+AO137+AQ137+AS137+AU137+AW137+AY137+BA137+BC137+BE137</f>
        <v>37090910</v>
      </c>
      <c r="AD137" s="298">
        <v>37090910</v>
      </c>
      <c r="AE137" s="298">
        <f t="shared" si="2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 x14ac:dyDescent="0.4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>AG138+AJ138+AM138+AO138+AQ138+AS138+AU138+AW138+AY138+BA138+BC138+BE138</f>
        <v>507272727.63636363</v>
      </c>
      <c r="AD138" s="298">
        <v>507272727.63636363</v>
      </c>
      <c r="AE138" s="298">
        <f t="shared" si="2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 x14ac:dyDescent="0.4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>AG139+AJ139+AM139+AO139+AQ139+AS139+AU139+AW139+AY139+BA139+BC139+BE139</f>
        <v>240000000</v>
      </c>
      <c r="AD139" s="298">
        <v>240000000</v>
      </c>
      <c r="AE139" s="298">
        <f t="shared" si="2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 x14ac:dyDescent="0.4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>AG140+AJ140+AM140+AO140+AQ140+AS140+AU140+AW140+AY140+BA140+BC140+BE140</f>
        <v>0</v>
      </c>
      <c r="AD140" s="298">
        <v>0</v>
      </c>
      <c r="AE140" s="298">
        <f t="shared" si="2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 x14ac:dyDescent="0.4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>AG141+AJ141+AM141+AO141+AQ141+AS141+AU141+AW141+AY141+BA141+BC141+BE141</f>
        <v>15000000</v>
      </c>
      <c r="AD141" s="298">
        <v>15000000</v>
      </c>
      <c r="AE141" s="298">
        <f t="shared" si="2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 x14ac:dyDescent="0.4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>AG142+AJ142+AM142+AO142+AQ142+AS142+AU142+AW142+AY142+BA142+BC142+BE142</f>
        <v>19800000</v>
      </c>
      <c r="AD142" s="298">
        <v>19800000</v>
      </c>
      <c r="AE142" s="298">
        <f t="shared" si="2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 x14ac:dyDescent="0.4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>AG143+AJ143+AM143+AO143+AQ143+AS143+AU143+AW143+AY143+BA143+BC143+BE143</f>
        <v>132000000</v>
      </c>
      <c r="AD143" s="298">
        <v>132000000</v>
      </c>
      <c r="AE143" s="298">
        <f t="shared" si="2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 x14ac:dyDescent="0.4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>AG144+AJ144+AM144+AO144+AQ144+AS144+AU144+AW144+AY144+BA144+BC144+BE144</f>
        <v>430000000</v>
      </c>
      <c r="AD144" s="298">
        <v>430000000</v>
      </c>
      <c r="AE144" s="298">
        <f t="shared" si="2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 x14ac:dyDescent="0.4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>AG145+AJ145+AM145+AO145+AQ145+AS145+AU145+AW145+AY145+BA145+BC145+BE145</f>
        <v>450000000</v>
      </c>
      <c r="AD145" s="298">
        <v>450000000</v>
      </c>
      <c r="AE145" s="298">
        <f t="shared" si="2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 x14ac:dyDescent="0.4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>AG146+AJ146+AM146+AO146+AQ146+AS146+AU146+AW146+AY146+BA146+BC146+BE146</f>
        <v>1400000</v>
      </c>
      <c r="AD146" s="298">
        <v>1400000</v>
      </c>
      <c r="AE146" s="298">
        <f t="shared" si="2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 x14ac:dyDescent="0.4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>AG147+AJ147+AM147+AO147+AQ147+AS147+AU147+AW147+AY147+BA147+BC147+BE147</f>
        <v>0</v>
      </c>
      <c r="AD147" s="298">
        <v>0</v>
      </c>
      <c r="AE147" s="298">
        <f t="shared" si="2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 x14ac:dyDescent="0.4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>AG148+AJ148+AM148+AO148+AQ148+AS148+AU148+AW148+AY148+BA148+BC148+BE148</f>
        <v>0</v>
      </c>
      <c r="AD148" s="298">
        <v>0</v>
      </c>
      <c r="AE148" s="298">
        <f t="shared" si="2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 x14ac:dyDescent="0.4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>AG149+AJ149+AM149+AO149+AQ149+AS149+AU149+AW149+AY149+BA149+BC149+BE149</f>
        <v>0</v>
      </c>
      <c r="AD149" s="298">
        <v>0</v>
      </c>
      <c r="AE149" s="298">
        <f t="shared" si="2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 x14ac:dyDescent="0.4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>AG150+AJ150+AM150+AO150+AQ150+AS150+AU150+AW150+AY150+BA150+BC150+BE150</f>
        <v>12000000</v>
      </c>
      <c r="AD150" s="298">
        <v>12000000</v>
      </c>
      <c r="AE150" s="298">
        <f t="shared" si="2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 x14ac:dyDescent="0.4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>AG151+AJ151+AM151+AO151+AQ151+AS151+AU151+AW151+AY151+BA151+BC151+BE151</f>
        <v>10000000</v>
      </c>
      <c r="AD151" s="298">
        <v>10000000</v>
      </c>
      <c r="AE151" s="298">
        <f t="shared" si="2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 x14ac:dyDescent="0.4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>AG152+AJ152+AM152+AO152+AQ152+AS152+AU152+AW152+AY152+BA152+BC152+BE152</f>
        <v>10000000</v>
      </c>
      <c r="AD152" s="298">
        <v>10000000</v>
      </c>
      <c r="AE152" s="298">
        <f t="shared" ref="AE152:AE215" si="3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 x14ac:dyDescent="0.4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>AG153+AJ153+AM153+AO153+AQ153+AS153+AU153+AW153+AY153+BA153+BC153+BE153</f>
        <v>10000000</v>
      </c>
      <c r="AD153" s="298">
        <v>10000000</v>
      </c>
      <c r="AE153" s="298">
        <f t="shared" si="3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 x14ac:dyDescent="0.4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>AG154+AJ154+AM154+AO154+AQ154+AS154+AU154+AW154+AY154+BA154+BC154+BE154</f>
        <v>275000000</v>
      </c>
      <c r="AD154" s="298">
        <v>275000000</v>
      </c>
      <c r="AE154" s="298">
        <f t="shared" si="3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 x14ac:dyDescent="0.4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>AG155+AJ155+AM155+AO155+AQ155+AS155+AU155+AW155+AY155+BA155+BC155+BE155</f>
        <v>0</v>
      </c>
      <c r="AD155" s="298">
        <v>0</v>
      </c>
      <c r="AE155" s="298">
        <f t="shared" si="3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 x14ac:dyDescent="0.4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>AG156+AJ156+AM156+AO156+AQ156+AS156+AU156+AW156+AY156+BA156+BC156+BE156</f>
        <v>0</v>
      </c>
      <c r="AD156" s="298">
        <v>0</v>
      </c>
      <c r="AE156" s="298">
        <f t="shared" si="3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 x14ac:dyDescent="0.4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>AG157+AJ157+AM157+AO157+AQ157+AS157+AU157+AW157+AY157+BA157+BC157+BE157</f>
        <v>6000000</v>
      </c>
      <c r="AD157" s="298">
        <v>6000000</v>
      </c>
      <c r="AE157" s="298">
        <f t="shared" si="3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 x14ac:dyDescent="0.4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>AG158+AJ158+AM158+AO158+AQ158+AS158+AU158+AW158+AY158+BA158+BC158+BE158</f>
        <v>10000000</v>
      </c>
      <c r="AD158" s="298">
        <v>10000000</v>
      </c>
      <c r="AE158" s="298">
        <f t="shared" si="3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 x14ac:dyDescent="0.4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>AG159+AJ159+AM159+AO159+AQ159+AS159+AU159+AW159+AY159+BA159+BC159+BE159</f>
        <v>98000000</v>
      </c>
      <c r="AD159" s="298">
        <v>98000000</v>
      </c>
      <c r="AE159" s="298">
        <f t="shared" si="3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 x14ac:dyDescent="0.4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>AG160+AJ160+AM160+AO160+AQ160+AS160+AU160+AW160+AY160+BA160+BC160+BE160</f>
        <v>0</v>
      </c>
      <c r="AD160" s="298">
        <v>0</v>
      </c>
      <c r="AE160" s="298">
        <f t="shared" si="3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 x14ac:dyDescent="0.4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>AG161+AJ161+AM161+AO161+AQ161+AS161+AU161+AW161+AY161+BA161+BC161+BE161</f>
        <v>0</v>
      </c>
      <c r="AD161" s="298">
        <v>0</v>
      </c>
      <c r="AE161" s="298">
        <f t="shared" si="3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 x14ac:dyDescent="0.4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>AG162+AJ162+AM162+AO162+AQ162+AS162+AU162+AW162+AY162+BA162+BC162+BE162</f>
        <v>30000000</v>
      </c>
      <c r="AD162" s="298">
        <v>30000000</v>
      </c>
      <c r="AE162" s="298">
        <f t="shared" si="3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 x14ac:dyDescent="0.4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>AG163+AJ163+AM163+AO163+AQ163+AS163+AU163+AW163+AY163+BA163+BC163+BE163</f>
        <v>20000000</v>
      </c>
      <c r="AD163" s="298">
        <v>20000000</v>
      </c>
      <c r="AE163" s="298">
        <f t="shared" si="3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 x14ac:dyDescent="0.4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>AG164+AJ164+AM164+AO164+AQ164+AS164+AU164+AW164+AY164+BA164+BC164+BE164</f>
        <v>10000000</v>
      </c>
      <c r="AD164" s="298">
        <v>10000000</v>
      </c>
      <c r="AE164" s="298">
        <f t="shared" si="3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 x14ac:dyDescent="0.4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>AG165+AJ165+AM165+AO165+AQ165+AS165+AU165+AW165+AY165+BA165+BC165+BE165</f>
        <v>10000000</v>
      </c>
      <c r="AD165" s="298">
        <v>10000000</v>
      </c>
      <c r="AE165" s="298">
        <f t="shared" si="3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 x14ac:dyDescent="0.4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>AG166+AJ166+AM166+AO166+AQ166+AS166+AU166+AW166+AY166+BA166+BC166+BE166</f>
        <v>10000000</v>
      </c>
      <c r="AD166" s="298">
        <v>10000000</v>
      </c>
      <c r="AE166" s="298">
        <f t="shared" si="3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 x14ac:dyDescent="0.4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>AG167+AJ167+AM167+AO167+AQ167+AS167+AU167+AW167+AY167+BA167+BC167+BE167</f>
        <v>0</v>
      </c>
      <c r="AD167" s="298">
        <v>0</v>
      </c>
      <c r="AE167" s="298">
        <f t="shared" si="3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 x14ac:dyDescent="0.4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>AG168+AJ168+AM168+AO168+AQ168+AS168+AU168+AW168+AY168+BA168+BC168+BE168</f>
        <v>0</v>
      </c>
      <c r="AD168" s="298">
        <v>0</v>
      </c>
      <c r="AE168" s="298">
        <f t="shared" si="3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 x14ac:dyDescent="0.4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>AG169+AJ169+AM169+AO169+AQ169+AS169+AU169+AW169+AY169+BA169+BC169+BE169</f>
        <v>10000000</v>
      </c>
      <c r="AD169" s="298">
        <v>10000000</v>
      </c>
      <c r="AE169" s="298">
        <f t="shared" si="3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 x14ac:dyDescent="0.4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>AG170+AJ170+AM170+AO170+AQ170+AS170+AU170+AW170+AY170+BA170+BC170+BE170</f>
        <v>109000000</v>
      </c>
      <c r="AD170" s="298">
        <v>109000000</v>
      </c>
      <c r="AE170" s="298">
        <f t="shared" si="3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 x14ac:dyDescent="0.4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>AG171+AJ171+AM171+AO171+AQ171+AS171+AU171+AW171+AY171+BA171+BC171+BE171</f>
        <v>150000000</v>
      </c>
      <c r="AD171" s="298">
        <v>150000000</v>
      </c>
      <c r="AE171" s="298">
        <f t="shared" si="3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 x14ac:dyDescent="0.4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>AG172+AJ172+AM172+AO172+AQ172+AS172+AU172+AW172+AY172+BA172+BC172+BE172</f>
        <v>10000000</v>
      </c>
      <c r="AD172" s="298">
        <v>10000000</v>
      </c>
      <c r="AE172" s="298">
        <f t="shared" si="3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 x14ac:dyDescent="0.4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>AG173+AJ173+AM173+AO173+AQ173+AS173+AU173+AW173+AY173+BA173+BC173+BE173</f>
        <v>0</v>
      </c>
      <c r="AD173" s="298">
        <v>0</v>
      </c>
      <c r="AE173" s="298">
        <f t="shared" si="3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 x14ac:dyDescent="0.4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>AG174+AJ174+AM174+AO174+AQ174+AS174+AU174+AW174+AY174+BA174+BC174+BE174</f>
        <v>3000000</v>
      </c>
      <c r="AD174" s="298">
        <v>3000000</v>
      </c>
      <c r="AE174" s="298">
        <f t="shared" si="3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 x14ac:dyDescent="0.4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>AG175+AJ175+AM175+AO175+AQ175+AS175+AU175+AW175+AY175+BA175+BC175+BE175</f>
        <v>8000000</v>
      </c>
      <c r="AD175" s="298">
        <v>8000000</v>
      </c>
      <c r="AE175" s="298">
        <f t="shared" si="3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 x14ac:dyDescent="0.4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>AG176+AJ176+AM176+AO176+AQ176+AS176+AU176+AW176+AY176+BA176+BC176+BE176</f>
        <v>10000000</v>
      </c>
      <c r="AD176" s="298">
        <v>10000000</v>
      </c>
      <c r="AE176" s="298">
        <f t="shared" si="3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 x14ac:dyDescent="0.4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>AG177+AJ177+AM177+AO177+AQ177+AS177+AU177+AW177+AY177+BA177+BC177+BE177</f>
        <v>10000000</v>
      </c>
      <c r="AD177" s="298">
        <v>10000000</v>
      </c>
      <c r="AE177" s="298">
        <f t="shared" si="3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 x14ac:dyDescent="0.4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>AG178+AJ178+AM178+AO178+AQ178+AS178+AU178+AW178+AY178+BA178+BC178+BE178</f>
        <v>176000000.36363637</v>
      </c>
      <c r="AD178" s="298">
        <v>176000000.36363637</v>
      </c>
      <c r="AE178" s="298">
        <f t="shared" si="3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 x14ac:dyDescent="0.4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>AG179+AJ179+AM179+AO179+AQ179+AS179+AU179+AW179+AY179+BA179+BC179+BE179</f>
        <v>15000000</v>
      </c>
      <c r="AD179" s="298">
        <v>15000000</v>
      </c>
      <c r="AE179" s="298">
        <f t="shared" si="3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 x14ac:dyDescent="0.4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>AG180+AJ180+AM180+AO180+AQ180+AS180+AU180+AW180+AY180+BA180+BC180+BE180</f>
        <v>0</v>
      </c>
      <c r="AD180" s="298">
        <v>0</v>
      </c>
      <c r="AE180" s="298">
        <f t="shared" si="3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customHeight="1" x14ac:dyDescent="0.4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>AG181+AJ181+AM181+AO181+AQ181+AS181+AU181+AW181+AY181+BA181+BC181+BE181</f>
        <v>1440000</v>
      </c>
      <c r="AD181" s="298">
        <v>1440000</v>
      </c>
      <c r="AE181" s="298">
        <f t="shared" si="3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 x14ac:dyDescent="0.4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>AG182+AJ182+AM182+AO182+AQ182+AS182+AU182+AW182+AY182+BA182+BC182+BE182</f>
        <v>10560000</v>
      </c>
      <c r="AD182" s="298">
        <v>10560000</v>
      </c>
      <c r="AE182" s="298">
        <f t="shared" si="3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 x14ac:dyDescent="0.4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>AG183+AJ183+AM183+AO183+AQ183+AS183+AU183+AW183+AY183+BA183+BC183+BE183</f>
        <v>0</v>
      </c>
      <c r="AD183" s="298">
        <v>0</v>
      </c>
      <c r="AE183" s="298">
        <f t="shared" si="3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 x14ac:dyDescent="0.4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>AG184+AJ184+AM184+AO184+AQ184+AS184+AU184+AW184+AY184+BA184+BC184+BE184</f>
        <v>100000000</v>
      </c>
      <c r="AD184" s="298">
        <v>100000000</v>
      </c>
      <c r="AE184" s="298">
        <f t="shared" si="3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 x14ac:dyDescent="0.4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>AG185+AJ185+AM185+AO185+AQ185+AS185+AU185+AW185+AY185+BA185+BC185+BE185</f>
        <v>4500000</v>
      </c>
      <c r="AD185" s="298">
        <v>4500000</v>
      </c>
      <c r="AE185" s="298">
        <f t="shared" si="3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 x14ac:dyDescent="0.4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>AG186+AJ186+AM186+AO186+AQ186+AS186+AU186+AW186+AY186+BA186+BC186+BE186</f>
        <v>32000000</v>
      </c>
      <c r="AD186" s="298">
        <v>32000000</v>
      </c>
      <c r="AE186" s="298">
        <f t="shared" si="3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 x14ac:dyDescent="0.4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>AG187+AJ187+AM187+AO187+AQ187+AS187+AU187+AW187+AY187+BA187+BC187+BE187</f>
        <v>0</v>
      </c>
      <c r="AD187" s="298">
        <v>0</v>
      </c>
      <c r="AE187" s="298">
        <f t="shared" si="3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customHeight="1" x14ac:dyDescent="0.4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>AG188+AJ188+AM188+AO188+AQ188+AS188+AU188+AW188+AY188+BA188+BC188+BE188</f>
        <v>400340066</v>
      </c>
      <c r="AD188" s="298">
        <v>393657636</v>
      </c>
      <c r="AE188" s="298">
        <f t="shared" si="3"/>
        <v>6682430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38682430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customHeight="1" x14ac:dyDescent="0.4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28</v>
      </c>
      <c r="AA189" s="313"/>
      <c r="AB189" s="313"/>
      <c r="AC189" s="298">
        <f>AG189+AJ189+AM189+AO189+AQ189+AS189+AU189+AW189+AY189+BA189+BC189+BE189</f>
        <v>16678500</v>
      </c>
      <c r="AD189" s="298">
        <v>0</v>
      </c>
      <c r="AE189" s="298">
        <f t="shared" si="3"/>
        <v>16678500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>
        <v>16678500</v>
      </c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 x14ac:dyDescent="0.4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>AG190+AJ190+AM190+AO190+AQ190+AS190+AU190+AW190+AY190+BA190+BC190+BE190</f>
        <v>0</v>
      </c>
      <c r="AD190" s="298">
        <v>0</v>
      </c>
      <c r="AE190" s="298">
        <f t="shared" si="3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 x14ac:dyDescent="0.4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>AG191+AJ191+AM191+AO191+AQ191+AS191+AU191+AW191+AY191+BA191+BC191+BE191</f>
        <v>20000000</v>
      </c>
      <c r="AD191" s="298">
        <v>20000000</v>
      </c>
      <c r="AE191" s="298">
        <f t="shared" si="3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 x14ac:dyDescent="0.4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>AG192+AJ192+AM192+AO192+AQ192+AS192+AU192+AW192+AY192+BA192+BC192+BE192</f>
        <v>0</v>
      </c>
      <c r="AD192" s="298">
        <v>0</v>
      </c>
      <c r="AE192" s="298">
        <f t="shared" si="3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 x14ac:dyDescent="0.4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>AG193+AJ193+AM193+AO193+AQ193+AS193+AU193+AW193+AY193+BA193+BC193+BE193</f>
        <v>0</v>
      </c>
      <c r="AD193" s="298">
        <v>0</v>
      </c>
      <c r="AE193" s="298">
        <f t="shared" si="3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 x14ac:dyDescent="0.4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>AG194+AJ194+AM194+AO194+AQ194+AS194+AU194+AW194+AY194+BA194+BC194+BE194</f>
        <v>5000000</v>
      </c>
      <c r="AD194" s="298">
        <v>5000000</v>
      </c>
      <c r="AE194" s="298">
        <f t="shared" si="3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customHeight="1" x14ac:dyDescent="0.4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>AG195+AJ195+AM195+AO195+AQ195+AS195+AU195+AW195+AY195+BA195+BC195+BE195</f>
        <v>936800</v>
      </c>
      <c r="AD195" s="298">
        <v>793600</v>
      </c>
      <c r="AE195" s="298">
        <f t="shared" si="3"/>
        <v>143200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>
        <v>143200</v>
      </c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 x14ac:dyDescent="0.4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>AG196+AJ196+AM196+AO196+AQ196+AS196+AU196+AW196+AY196+BA196+BC196+BE196</f>
        <v>0</v>
      </c>
      <c r="AD196" s="298">
        <v>0</v>
      </c>
      <c r="AE196" s="298">
        <f t="shared" si="3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 x14ac:dyDescent="0.4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>AG197+AJ197+AM197+AO197+AQ197+AS197+AU197+AW197+AY197+BA197+BC197+BE197</f>
        <v>0</v>
      </c>
      <c r="AD197" s="298">
        <v>0</v>
      </c>
      <c r="AE197" s="298">
        <f t="shared" si="3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customHeight="1" x14ac:dyDescent="0.4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>AG198+AJ198+AM198+AO198+AQ198+AS198+AU198+AW198+AY198+BA198+BC198+BE198</f>
        <v>16416720</v>
      </c>
      <c r="AD198" s="298">
        <v>12688660</v>
      </c>
      <c r="AE198" s="298">
        <f t="shared" si="3"/>
        <v>3728060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>
        <v>3728060</v>
      </c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 x14ac:dyDescent="0.4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>AG199+AJ199+AM199+AO199+AQ199+AS199+AU199+AW199+AY199+BA199+BC199+BE199</f>
        <v>2000000</v>
      </c>
      <c r="AD199" s="298">
        <v>2000000</v>
      </c>
      <c r="AE199" s="298">
        <f t="shared" si="3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 x14ac:dyDescent="0.4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>AG200+AJ200+AM200+AO200+AQ200+AS200+AU200+AW200+AY200+BA200+BC200+BE200</f>
        <v>1000000</v>
      </c>
      <c r="AD200" s="298">
        <v>1000000</v>
      </c>
      <c r="AE200" s="298">
        <f t="shared" si="3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customHeight="1" x14ac:dyDescent="0.4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>AG201+AJ201+AM201+AO201+AQ201+AS201+AU201+AW201+AY201+BA201+BC201+BE201</f>
        <v>15574500</v>
      </c>
      <c r="AD201" s="298">
        <v>15052500</v>
      </c>
      <c r="AE201" s="298">
        <f t="shared" si="3"/>
        <v>522000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1522000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 x14ac:dyDescent="0.4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>AG202+AJ202+AM202+AO202+AQ202+AS202+AU202+AW202+AY202+BA202+BC202+BE202</f>
        <v>0</v>
      </c>
      <c r="AD202" s="298">
        <v>0</v>
      </c>
      <c r="AE202" s="298">
        <f t="shared" si="3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 x14ac:dyDescent="0.4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>AG203+AJ203+AM203+AO203+AQ203+AS203+AU203+AW203+AY203+BA203+BC203+BE203</f>
        <v>0</v>
      </c>
      <c r="AD203" s="298">
        <v>0</v>
      </c>
      <c r="AE203" s="298">
        <f t="shared" si="3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 x14ac:dyDescent="0.4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>AG204+AJ204+AM204+AO204+AQ204+AS204+AU204+AW204+AY204+BA204+BC204+BE204</f>
        <v>5000000</v>
      </c>
      <c r="AD204" s="298">
        <v>5000000</v>
      </c>
      <c r="AE204" s="298">
        <f t="shared" si="3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customHeight="1" x14ac:dyDescent="0.4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>AG205+AJ205+AM205+AO205+AQ205+AS205+AU205+AW205+AY205+BA205+BC205+BE205</f>
        <v>2000000</v>
      </c>
      <c r="AD205" s="298">
        <v>2000000</v>
      </c>
      <c r="AE205" s="298">
        <f t="shared" si="3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 x14ac:dyDescent="0.4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>AG206+AJ206+AM206+AO206+AQ206+AS206+AU206+AW206+AY206+BA206+BC206+BE206</f>
        <v>3000000</v>
      </c>
      <c r="AD206" s="298">
        <v>3000000</v>
      </c>
      <c r="AE206" s="298">
        <f t="shared" si="3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 x14ac:dyDescent="0.4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>AG207+AJ207+AM207+AO207+AQ207+AS207+AU207+AW207+AY207+BA207+BC207+BE207</f>
        <v>90000000</v>
      </c>
      <c r="AD207" s="298">
        <v>90000000</v>
      </c>
      <c r="AE207" s="298">
        <f t="shared" si="3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 x14ac:dyDescent="0.4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>AG208+AJ208+AM208+AO208+AQ208+AS208+AU208+AW208+AY208+BA208+BC208+BE208</f>
        <v>21000000</v>
      </c>
      <c r="AD208" s="298">
        <v>21000000</v>
      </c>
      <c r="AE208" s="298">
        <f t="shared" si="3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customHeight="1" x14ac:dyDescent="0.4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>AG209+AJ209+AM209+AO209+AQ209+AS209+AU209+AW209+AY209+BA209+BC209+BE209</f>
        <v>23000000</v>
      </c>
      <c r="AD209" s="298">
        <v>23000000</v>
      </c>
      <c r="AE209" s="298">
        <f t="shared" si="3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/>
      <c r="AP209" s="301"/>
      <c r="AQ209" s="302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>
        <v>23000000</v>
      </c>
      <c r="BD209" s="301"/>
      <c r="BE209" s="301"/>
      <c r="BF209" s="301"/>
      <c r="BG209" s="303"/>
      <c r="BH209" s="304"/>
    </row>
    <row r="210" spans="1:60" s="305" customFormat="1" ht="16.5" customHeight="1" x14ac:dyDescent="0.4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>AG210+AJ210+AM210+AO210+AQ210+AS210+AU210+AW210+AY210+BA210+BC210+BE210</f>
        <v>6000000</v>
      </c>
      <c r="AD210" s="298">
        <v>6000000</v>
      </c>
      <c r="AE210" s="298">
        <f t="shared" si="3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/>
      <c r="AP210" s="301"/>
      <c r="AQ210" s="302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>
        <v>6000000</v>
      </c>
      <c r="BD210" s="301"/>
      <c r="BE210" s="301"/>
      <c r="BF210" s="301"/>
      <c r="BG210" s="303"/>
      <c r="BH210" s="304"/>
    </row>
    <row r="211" spans="1:60" s="305" customFormat="1" ht="16.5" hidden="1" customHeight="1" x14ac:dyDescent="0.4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>AG211+AJ211+AM211+AO211+AQ211+AS211+AU211+AW211+AY211+BA211+BC211+BE211</f>
        <v>10000000</v>
      </c>
      <c r="AD211" s="298">
        <v>10000000</v>
      </c>
      <c r="AE211" s="298">
        <f t="shared" si="3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 x14ac:dyDescent="0.4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>AG212+AJ212+AM212+AO212+AQ212+AS212+AU212+AW212+AY212+BA212+BC212+BE212</f>
        <v>60000000</v>
      </c>
      <c r="AD212" s="298">
        <v>60000000</v>
      </c>
      <c r="AE212" s="298">
        <f t="shared" si="3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 x14ac:dyDescent="0.4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>AG213+AJ213+AM213+AO213+AQ213+AS213+AU213+AW213+AY213+BA213+BC213+BE213</f>
        <v>20000000</v>
      </c>
      <c r="AD213" s="298">
        <v>20000000</v>
      </c>
      <c r="AE213" s="298">
        <f t="shared" si="3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 x14ac:dyDescent="0.4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>AG214+AJ214+AM214+AO214+AQ214+AS214+AU214+AW214+AY214+BA214+BC214+BE214</f>
        <v>0</v>
      </c>
      <c r="AD214" s="298">
        <v>0</v>
      </c>
      <c r="AE214" s="298">
        <f t="shared" si="3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 x14ac:dyDescent="0.4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>AG215+AJ215+AM215+AO215+AQ215+AS215+AU215+AW215+AY215+BA215+BC215+BE215</f>
        <v>100000000</v>
      </c>
      <c r="AD215" s="298">
        <v>100000000</v>
      </c>
      <c r="AE215" s="298">
        <f t="shared" si="3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 x14ac:dyDescent="0.4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>AG216+AJ216+AM216+AO216+AQ216+AS216+AU216+AW216+AY216+BA216+BC216+BE216</f>
        <v>5000000</v>
      </c>
      <c r="AD216" s="298">
        <v>5000000</v>
      </c>
      <c r="AE216" s="298">
        <f t="shared" ref="AE216:AE279" si="4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customHeight="1" x14ac:dyDescent="0.4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>AG217+AJ217+AM217+AO217+AQ217+AS217+AU217+AW217+AY217+BA217+BC217+BE217</f>
        <v>13000000</v>
      </c>
      <c r="AD217" s="298">
        <v>13000000</v>
      </c>
      <c r="AE217" s="298">
        <f t="shared" si="4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 x14ac:dyDescent="0.4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>AG218+AJ218+AM218+AO218+AQ218+AS218+AU218+AW218+AY218+BA218+BC218+BE218</f>
        <v>7000000</v>
      </c>
      <c r="AD218" s="298">
        <v>7000000</v>
      </c>
      <c r="AE218" s="298">
        <f t="shared" si="4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customHeight="1" x14ac:dyDescent="0.4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>AG219+AJ219+AM219+AO219+AQ219+AS219+AU219+AW219+AY219+BA219+BC219+BE219</f>
        <v>350130000</v>
      </c>
      <c r="AD219" s="298">
        <v>350130000</v>
      </c>
      <c r="AE219" s="298">
        <f t="shared" si="4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874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customHeight="1" x14ac:dyDescent="0.4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>AG220+AJ220+AM220+AO220+AQ220+AS220+AU220+AW220+AY220+BA220+BC220+BE220</f>
        <v>58000000</v>
      </c>
      <c r="AD220" s="298">
        <v>58000000</v>
      </c>
      <c r="AE220" s="298">
        <f t="shared" si="4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 x14ac:dyDescent="0.4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>AG221+AJ221+AM221+AO221+AQ221+AS221+AU221+AW221+AY221+BA221+BC221+BE221</f>
        <v>49000000</v>
      </c>
      <c r="AD221" s="298">
        <v>49000000</v>
      </c>
      <c r="AE221" s="298">
        <f t="shared" si="4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customHeight="1" x14ac:dyDescent="0.4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>AG222+AJ222+AM222+AO222+AQ222+AS222+AU222+AW222+AY222+BA222+BC222+BE222</f>
        <v>3990000</v>
      </c>
      <c r="AD222" s="298">
        <v>3990000</v>
      </c>
      <c r="AE222" s="298">
        <f t="shared" si="4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 x14ac:dyDescent="0.4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>AG223+AJ223+AM223+AO223+AQ223+AS223+AU223+AW223+AY223+BA223+BC223+BE223</f>
        <v>0</v>
      </c>
      <c r="AD223" s="298">
        <v>0</v>
      </c>
      <c r="AE223" s="298">
        <f t="shared" si="4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customHeight="1" x14ac:dyDescent="0.4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>AG224+AJ224+AM224+AO224+AQ224+AS224+AU224+AW224+AY224+BA224+BC224+BE224</f>
        <v>4916000</v>
      </c>
      <c r="AD224" s="298">
        <v>4916000</v>
      </c>
      <c r="AE224" s="298">
        <f t="shared" si="4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 x14ac:dyDescent="0.4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>AG225+AJ225+AM225+AO225+AQ225+AS225+AU225+AW225+AY225+BA225+BC225+BE225</f>
        <v>1600000000</v>
      </c>
      <c r="AD225" s="298">
        <v>1600000000</v>
      </c>
      <c r="AE225" s="298">
        <f t="shared" si="4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 x14ac:dyDescent="0.4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>AG226+AJ226+AM226+AO226+AQ226+AS226+AU226+AW226+AY226+BA226+BC226+BE226</f>
        <v>50000000</v>
      </c>
      <c r="AD226" s="298">
        <v>50000000</v>
      </c>
      <c r="AE226" s="298">
        <f t="shared" si="4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 x14ac:dyDescent="0.4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>AG227+AJ227+AM227+AO227+AQ227+AS227+AU227+AW227+AY227+BA227+BC227+BE227</f>
        <v>100000000</v>
      </c>
      <c r="AD227" s="298">
        <v>100000000</v>
      </c>
      <c r="AE227" s="298">
        <f t="shared" si="4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 x14ac:dyDescent="0.4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>AG228+AJ228+AM228+AO228+AQ228+AS228+AU228+AW228+AY228+BA228+BC228+BE228</f>
        <v>0</v>
      </c>
      <c r="AD228" s="298">
        <v>0</v>
      </c>
      <c r="AE228" s="298">
        <f t="shared" si="4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 x14ac:dyDescent="0.4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>AG229+AJ229+AM229+AO229+AQ229+AS229+AU229+AW229+AY229+BA229+BC229+BE229</f>
        <v>20000000</v>
      </c>
      <c r="AD229" s="298">
        <v>20000000</v>
      </c>
      <c r="AE229" s="298">
        <f t="shared" si="4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 x14ac:dyDescent="0.4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>AG230+AJ230+AM230+AO230+AQ230+AS230+AU230+AW230+AY230+BA230+BC230+BE230</f>
        <v>54000000</v>
      </c>
      <c r="AD230" s="298">
        <v>54000000</v>
      </c>
      <c r="AE230" s="298">
        <f t="shared" si="4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 x14ac:dyDescent="0.4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>AG231+AJ231+AM231+AO231+AQ231+AS231+AU231+AW231+AY231+BA231+BC231+BE231</f>
        <v>0</v>
      </c>
      <c r="AD231" s="298">
        <v>0</v>
      </c>
      <c r="AE231" s="298">
        <f t="shared" si="4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 x14ac:dyDescent="0.4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>AG232+AJ232+AM232+AO232+AQ232+AS232+AU232+AW232+AY232+BA232+BC232+BE232</f>
        <v>450000000</v>
      </c>
      <c r="AD232" s="298">
        <v>450000000</v>
      </c>
      <c r="AE232" s="298">
        <f t="shared" si="4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/>
      <c r="AP232" s="301"/>
      <c r="AQ232" s="301">
        <v>100000000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 x14ac:dyDescent="0.4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>AG233+AJ233+AM233+AO233+AQ233+AS233+AU233+AW233+AY233+BA233+BC233+BE233</f>
        <v>3000000</v>
      </c>
      <c r="AD233" s="298">
        <v>3000000</v>
      </c>
      <c r="AE233" s="298">
        <f t="shared" si="4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 x14ac:dyDescent="0.4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>AG234+AJ234+AM234+AO234+AQ234+AS234+AU234+AW234+AY234+BA234+BC234+BE234</f>
        <v>1000000</v>
      </c>
      <c r="AD234" s="298">
        <v>1000000</v>
      </c>
      <c r="AE234" s="298">
        <f t="shared" si="4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customHeight="1" x14ac:dyDescent="0.4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>AG235+AJ235+AM235+AO235+AQ235+AS235+AU235+AW235+AY235+BA235+BC235+BE235</f>
        <v>263130000</v>
      </c>
      <c r="AD235" s="298">
        <v>263130000</v>
      </c>
      <c r="AE235" s="298">
        <f t="shared" si="4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 x14ac:dyDescent="0.4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>AG236+AJ236+AM236+AO236+AQ236+AS236+AU236+AW236+AY236+BA236+BC236+BE236</f>
        <v>120000000</v>
      </c>
      <c r="AD236" s="298">
        <v>120000000</v>
      </c>
      <c r="AE236" s="298">
        <f t="shared" si="4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 x14ac:dyDescent="0.4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>AG237+AJ237+AM237+AO237+AQ237+AS237+AU237+AW237+AY237+BA237+BC237+BE237</f>
        <v>0</v>
      </c>
      <c r="AD237" s="298">
        <v>0</v>
      </c>
      <c r="AE237" s="298">
        <f t="shared" si="4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customHeight="1" x14ac:dyDescent="0.4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>AG238+AJ238+AM238+AO238+AQ238+AS238+AU238+AW238+AY238+BA238+BC238+BE238</f>
        <v>1200000</v>
      </c>
      <c r="AD238" s="298">
        <v>1200000</v>
      </c>
      <c r="AE238" s="298">
        <f t="shared" si="4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 x14ac:dyDescent="0.4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>AG239+AJ239+AM239+AO239+AQ239+AS239+AU239+AW239+AY239+BA239+BC239+BE239</f>
        <v>13800000</v>
      </c>
      <c r="AD239" s="298">
        <v>13800000</v>
      </c>
      <c r="AE239" s="298">
        <f t="shared" si="4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 x14ac:dyDescent="0.4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>AG240+AJ240+AM240+AO240+AQ240+AS240+AU240+AW240+AY240+BA240+BC240+BE240</f>
        <v>0</v>
      </c>
      <c r="AD240" s="298">
        <v>0</v>
      </c>
      <c r="AE240" s="298">
        <f t="shared" si="4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 x14ac:dyDescent="0.4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>AG241+AJ241+AM241+AO241+AQ241+AS241+AU241+AW241+AY241+BA241+BC241+BE241</f>
        <v>31000000</v>
      </c>
      <c r="AD241" s="298">
        <v>31000000</v>
      </c>
      <c r="AE241" s="298">
        <f t="shared" si="4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 x14ac:dyDescent="0.4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>AG242+AJ242+AM242+AO242+AQ242+AS242+AU242+AW242+AY242+BA242+BC242+BE242</f>
        <v>0</v>
      </c>
      <c r="AD242" s="298">
        <v>0</v>
      </c>
      <c r="AE242" s="298">
        <f t="shared" si="4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 x14ac:dyDescent="0.4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>AG243+AJ243+AM243+AO243+AQ243+AS243+AU243+AW243+AY243+BA243+BC243+BE243</f>
        <v>0</v>
      </c>
      <c r="AD243" s="298">
        <v>0</v>
      </c>
      <c r="AE243" s="298">
        <f t="shared" si="4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 x14ac:dyDescent="0.4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>AG244+AJ244+AM244+AO244+AQ244+AS244+AU244+AW244+AY244+BA244+BC244+BE244</f>
        <v>0</v>
      </c>
      <c r="AD244" s="298">
        <v>0</v>
      </c>
      <c r="AE244" s="298">
        <f t="shared" si="4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 x14ac:dyDescent="0.4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>AG245+AJ245+AM245+AO245+AQ245+AS245+AU245+AW245+AY245+BA245+BC245+BE245</f>
        <v>10000000</v>
      </c>
      <c r="AD245" s="298">
        <v>10000000</v>
      </c>
      <c r="AE245" s="298">
        <f t="shared" si="4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 x14ac:dyDescent="0.4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>AG246+AJ246+AM246+AO246+AQ246+AS246+AU246+AW246+AY246+BA246+BC246+BE246</f>
        <v>0</v>
      </c>
      <c r="AD246" s="298">
        <v>0</v>
      </c>
      <c r="AE246" s="298">
        <f t="shared" si="4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customHeight="1" x14ac:dyDescent="0.4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>AG247+AJ247+AM247+AO247+AQ247+AS247+AU247+AW247+AY247+BA247+BC247+BE247</f>
        <v>7200000</v>
      </c>
      <c r="AD247" s="298">
        <v>7200000</v>
      </c>
      <c r="AE247" s="298">
        <f t="shared" si="4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 x14ac:dyDescent="0.4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>AG248+AJ248+AM248+AO248+AQ248+AS248+AU248+AW248+AY248+BA248+BC248+BE248</f>
        <v>0</v>
      </c>
      <c r="AD248" s="298">
        <v>0</v>
      </c>
      <c r="AE248" s="298">
        <f t="shared" si="4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 x14ac:dyDescent="0.4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>AG249+AJ249+AM249+AO249+AQ249+AS249+AU249+AW249+AY249+BA249+BC249+BE249</f>
        <v>100000000</v>
      </c>
      <c r="AD249" s="298">
        <v>100000000</v>
      </c>
      <c r="AE249" s="298">
        <f t="shared" si="4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customHeight="1" x14ac:dyDescent="0.4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>AG250+AJ250+AM250+AO250+AQ250+AS250+AU250+AW250+AY250+BA250+BC250+BE250</f>
        <v>12096000</v>
      </c>
      <c r="AD250" s="298">
        <v>12096000</v>
      </c>
      <c r="AE250" s="298">
        <f t="shared" si="4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customHeight="1" x14ac:dyDescent="0.4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>AG251+AJ251+AM251+AO251+AQ251+AS251+AU251+AW251+AY251+BA251+BC251+BE251</f>
        <v>100000000</v>
      </c>
      <c r="AD251" s="298">
        <v>100000000</v>
      </c>
      <c r="AE251" s="298">
        <f t="shared" si="4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 x14ac:dyDescent="0.4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>AG252+AJ252+AM252+AO252+AQ252+AS252+AU252+AW252+AY252+BA252+BC252+BE252</f>
        <v>0</v>
      </c>
      <c r="AD252" s="298">
        <v>0</v>
      </c>
      <c r="AE252" s="298">
        <f t="shared" si="4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 x14ac:dyDescent="0.4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>AG253+AJ253+AM253+AO253+AQ253+AS253+AU253+AW253+AY253+BA253+BC253+BE253</f>
        <v>10000000</v>
      </c>
      <c r="AD253" s="298">
        <v>10000000</v>
      </c>
      <c r="AE253" s="298">
        <f t="shared" si="4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 x14ac:dyDescent="0.4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>AG254+AJ254+AM254+AO254+AQ254+AS254+AU254+AW254+AY254+BA254+BC254+BE254</f>
        <v>0</v>
      </c>
      <c r="AD254" s="298">
        <v>0</v>
      </c>
      <c r="AE254" s="298">
        <f t="shared" si="4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customHeight="1" x14ac:dyDescent="0.4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>AG255+AJ255+AM255+AO255+AQ255+AS255+AU255+AW255+AY255+BA255+BC255+BE255</f>
        <v>91276000</v>
      </c>
      <c r="AD255" s="298">
        <v>91276000</v>
      </c>
      <c r="AE255" s="298">
        <f t="shared" si="4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 x14ac:dyDescent="0.4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>AG256+AJ256+AM256+AO256+AQ256+AS256+AU256+AW256+AY256+BA256+BC256+BE256</f>
        <v>0</v>
      </c>
      <c r="AD256" s="298">
        <v>0</v>
      </c>
      <c r="AE256" s="298">
        <f t="shared" si="4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 x14ac:dyDescent="0.4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>AG257+AJ257+AM257+AO257+AQ257+AS257+AU257+AW257+AY257+BA257+BC257+BE257</f>
        <v>0</v>
      </c>
      <c r="AD257" s="298">
        <v>0</v>
      </c>
      <c r="AE257" s="298">
        <f t="shared" si="4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customHeight="1" x14ac:dyDescent="0.4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>AG258+AJ258+AM258+AO258+AQ258+AS258+AU258+AW258+AY258+BA258+BC258+BE258</f>
        <v>120000000</v>
      </c>
      <c r="AD258" s="298">
        <v>120000000</v>
      </c>
      <c r="AE258" s="298">
        <f t="shared" si="4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customHeight="1" x14ac:dyDescent="0.4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>AG259+AJ259+AM259+AO259+AQ259+AS259+AU259+AW259+AY259+BA259+BC259+BE259</f>
        <v>15554300</v>
      </c>
      <c r="AD259" s="298">
        <v>20566300</v>
      </c>
      <c r="AE259" s="298">
        <f t="shared" si="4"/>
        <v>-5012000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3912860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customHeight="1" x14ac:dyDescent="0.4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>AG260+AJ260+AM260+AO260+AQ260+AS260+AU260+AW260+AY260+BA260+BC260+BE260</f>
        <v>6012000</v>
      </c>
      <c r="AD260" s="298">
        <v>1000000</v>
      </c>
      <c r="AE260" s="298">
        <f t="shared" si="4"/>
        <v>5012000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>
        <v>5012000</v>
      </c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 x14ac:dyDescent="0.4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>AG261+AJ261+AM261+AO261+AQ261+AS261+AU261+AW261+AY261+BA261+BC261+BE261</f>
        <v>165000000</v>
      </c>
      <c r="AD261" s="298">
        <v>165000000</v>
      </c>
      <c r="AE261" s="298">
        <f t="shared" si="4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/>
      <c r="AP261" s="301"/>
      <c r="AQ261" s="301">
        <v>5000000</v>
      </c>
      <c r="AR261" s="301"/>
      <c r="AS261" s="301">
        <v>5000000</v>
      </c>
      <c r="AT261" s="301"/>
      <c r="AU261" s="301">
        <v>5000000</v>
      </c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customHeight="1" x14ac:dyDescent="0.4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>AG262+AJ262+AM262+AO262+AQ262+AS262+AU262+AW262+AY262+BA262+BC262+BE262</f>
        <v>5430000</v>
      </c>
      <c r="AD262" s="298">
        <v>5430000</v>
      </c>
      <c r="AE262" s="298">
        <f t="shared" si="4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 x14ac:dyDescent="0.4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>AG263+AJ263+AM263+AO263+AQ263+AS263+AU263+AW263+AY263+BA263+BC263+BE263</f>
        <v>70000000</v>
      </c>
      <c r="AD263" s="298">
        <v>70000000</v>
      </c>
      <c r="AE263" s="298">
        <f t="shared" si="4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 x14ac:dyDescent="0.4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>AG264+AJ264+AM264+AO264+AQ264+AS264+AU264+AW264+AY264+BA264+BC264+BE264</f>
        <v>11000000</v>
      </c>
      <c r="AD264" s="298">
        <v>11000000</v>
      </c>
      <c r="AE264" s="298">
        <f t="shared" si="4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 x14ac:dyDescent="0.4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>AG265+AJ265+AM265+AO265+AQ265+AS265+AU265+AW265+AY265+BA265+BC265+BE265</f>
        <v>0</v>
      </c>
      <c r="AD265" s="298">
        <v>0</v>
      </c>
      <c r="AE265" s="298">
        <f t="shared" si="4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 x14ac:dyDescent="0.4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>AG266+AJ266+AM266+AO266+AQ266+AS266+AU266+AW266+AY266+BA266+BC266+BE266</f>
        <v>12000000</v>
      </c>
      <c r="AD266" s="298">
        <v>12000000</v>
      </c>
      <c r="AE266" s="298">
        <f t="shared" si="4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 x14ac:dyDescent="0.4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>AG267+AJ267+AM267+AO267+AQ267+AS267+AU267+AW267+AY267+BA267+BC267+BE267</f>
        <v>1350000</v>
      </c>
      <c r="AD267" s="298">
        <v>1350000</v>
      </c>
      <c r="AE267" s="298">
        <f t="shared" si="4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customHeight="1" x14ac:dyDescent="0.4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>AG268+AJ268+AM268+AO268+AQ268+AS268+AU268+AW268+AY268+BA268+BC268+BE268</f>
        <v>21729460</v>
      </c>
      <c r="AD268" s="298">
        <v>20472100</v>
      </c>
      <c r="AE268" s="298">
        <f t="shared" si="4"/>
        <v>1257360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13135580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 x14ac:dyDescent="0.4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>AG269+AJ269+AM269+AO269+AQ269+AS269+AU269+AW269+AY269+BA269+BC269+BE269</f>
        <v>83000000</v>
      </c>
      <c r="AD269" s="298">
        <v>83000000</v>
      </c>
      <c r="AE269" s="298">
        <f t="shared" si="4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/>
      <c r="AP269" s="301"/>
      <c r="AQ269" s="301">
        <v>9000000</v>
      </c>
      <c r="AR269" s="301"/>
      <c r="AS269" s="301">
        <v>11000000</v>
      </c>
      <c r="AT269" s="301"/>
      <c r="AU269" s="301">
        <v>11000000</v>
      </c>
      <c r="AV269" s="301"/>
      <c r="AW269" s="301">
        <v>10000000</v>
      </c>
      <c r="AX269" s="301"/>
      <c r="AY269" s="301">
        <v>10000000</v>
      </c>
      <c r="AZ269" s="301"/>
      <c r="BA269" s="301">
        <v>10000000</v>
      </c>
      <c r="BB269" s="301"/>
      <c r="BC269" s="301">
        <v>12000000</v>
      </c>
      <c r="BD269" s="301"/>
      <c r="BE269" s="301">
        <v>10000000</v>
      </c>
      <c r="BF269" s="301"/>
      <c r="BG269" s="303"/>
      <c r="BH269" s="304"/>
    </row>
    <row r="270" spans="1:60" s="305" customFormat="1" ht="16.5" customHeight="1" x14ac:dyDescent="0.4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>AG270+AJ270+AM270+AO270+AQ270+AS270+AU270+AW270+AY270+BA270+BC270+BE270</f>
        <v>10000004</v>
      </c>
      <c r="AD270" s="298">
        <v>10000004</v>
      </c>
      <c r="AE270" s="298">
        <f t="shared" si="4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 x14ac:dyDescent="0.4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>AG271+AJ271+AM271+AO271+AQ271+AS271+AU271+AW271+AY271+BA271+BC271+BE271</f>
        <v>30000000</v>
      </c>
      <c r="AD271" s="298">
        <v>30000000</v>
      </c>
      <c r="AE271" s="298">
        <f t="shared" si="4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 x14ac:dyDescent="0.4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>AG272+AJ272+AM272+AO272+AQ272+AS272+AU272+AW272+AY272+BA272+BC272+BE272</f>
        <v>6000000</v>
      </c>
      <c r="AD272" s="298">
        <v>6000000</v>
      </c>
      <c r="AE272" s="298">
        <f t="shared" si="4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 x14ac:dyDescent="0.4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>AG273+AJ273+AM273+AO273+AQ273+AS273+AU273+AW273+AY273+BA273+BC273+BE273</f>
        <v>2000000</v>
      </c>
      <c r="AD273" s="298">
        <v>2000000</v>
      </c>
      <c r="AE273" s="298">
        <f t="shared" si="4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customHeight="1" x14ac:dyDescent="0.4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>AG274+AJ274+AM274+AO274+AQ274+AS274+AU274+AW274+AY274+BA274+BC274+BE274</f>
        <v>5000000</v>
      </c>
      <c r="AD274" s="298">
        <v>5000000</v>
      </c>
      <c r="AE274" s="298">
        <f t="shared" si="4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customHeight="1" x14ac:dyDescent="0.4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>AG275+AJ275+AM275+AO275+AQ275+AS275+AU275+AW275+AY275+BA275+BC275+BE275</f>
        <v>4000000</v>
      </c>
      <c r="AD275" s="298">
        <v>4000000</v>
      </c>
      <c r="AE275" s="298">
        <f t="shared" si="4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customHeight="1" x14ac:dyDescent="0.4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>AG276+AJ276+AM276+AO276+AQ276+AS276+AU276+AW276+AY276+BA276+BC276+BE276</f>
        <v>23400000</v>
      </c>
      <c r="AD276" s="298">
        <v>23400000</v>
      </c>
      <c r="AE276" s="298">
        <f t="shared" si="4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 x14ac:dyDescent="0.4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>AG277+AJ277+AM277+AO277+AQ277+AS277+AU277+AW277+AY277+BA277+BC277+BE277</f>
        <v>2000000</v>
      </c>
      <c r="AD277" s="298">
        <v>2000000</v>
      </c>
      <c r="AE277" s="298">
        <f t="shared" si="4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customHeight="1" x14ac:dyDescent="0.4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>AG278+AJ278+AM278+AO278+AQ278+AS278+AU278+AW278+AY278+BA278+BC278+BE278</f>
        <v>8000000</v>
      </c>
      <c r="AD278" s="298">
        <v>8000000</v>
      </c>
      <c r="AE278" s="298">
        <f t="shared" si="4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customHeight="1" x14ac:dyDescent="0.4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>AG279+AJ279+AM279+AO279+AQ279+AS279+AU279+AW279+AY279+BA279+BC279+BE279</f>
        <v>47000000</v>
      </c>
      <c r="AD279" s="298">
        <v>47000000</v>
      </c>
      <c r="AE279" s="298">
        <f t="shared" si="4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 x14ac:dyDescent="0.4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>AG280+AJ280+AM280+AO280+AQ280+AS280+AU280+AW280+AY280+BA280+BC280+BE280</f>
        <v>0</v>
      </c>
      <c r="AD280" s="298">
        <v>0</v>
      </c>
      <c r="AE280" s="298">
        <f t="shared" ref="AE280:AE343" si="5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 x14ac:dyDescent="0.4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>AG281+AJ281+AM281+AO281+AQ281+AS281+AU281+AW281+AY281+BA281+BC281+BE281</f>
        <v>100000000</v>
      </c>
      <c r="AD281" s="298">
        <v>100000000</v>
      </c>
      <c r="AE281" s="298">
        <f t="shared" si="5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 x14ac:dyDescent="0.4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>AG282+AJ282+AM282+AO282+AQ282+AS282+AU282+AW282+AY282+BA282+BC282+BE282</f>
        <v>50000000</v>
      </c>
      <c r="AD282" s="298">
        <v>50000000</v>
      </c>
      <c r="AE282" s="298">
        <f t="shared" si="5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 x14ac:dyDescent="0.4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>AG283+AJ283+AM283+AO283+AQ283+AS283+AU283+AW283+AY283+BA283+BC283+BE283</f>
        <v>10000000</v>
      </c>
      <c r="AD283" s="298">
        <v>10000000</v>
      </c>
      <c r="AE283" s="298">
        <f t="shared" si="5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 x14ac:dyDescent="0.4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>AG284+AJ284+AM284+AO284+AQ284+AS284+AU284+AW284+AY284+BA284+BC284+BE284</f>
        <v>6000000</v>
      </c>
      <c r="AD284" s="298">
        <v>6000000</v>
      </c>
      <c r="AE284" s="298">
        <f t="shared" si="5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 x14ac:dyDescent="0.4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>AG285+AJ285+AM285+AO285+AQ285+AS285+AU285+AW285+AY285+BA285+BC285+BE285</f>
        <v>2000000</v>
      </c>
      <c r="AD285" s="298">
        <v>2000000</v>
      </c>
      <c r="AE285" s="298">
        <f t="shared" si="5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 x14ac:dyDescent="0.4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>AG286+AJ286+AM286+AO286+AQ286+AS286+AU286+AW286+AY286+BA286+BC286+BE286</f>
        <v>0</v>
      </c>
      <c r="AD286" s="298">
        <v>0</v>
      </c>
      <c r="AE286" s="298">
        <f t="shared" si="5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 x14ac:dyDescent="0.4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>AG287+AJ287+AM287+AO287+AQ287+AS287+AU287+AW287+AY287+BA287+BC287+BE287</f>
        <v>25000000</v>
      </c>
      <c r="AD287" s="298">
        <v>25000000</v>
      </c>
      <c r="AE287" s="298">
        <f t="shared" si="5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 x14ac:dyDescent="0.4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>AG288+AJ288+AM288+AO288+AQ288+AS288+AU288+AW288+AY288+BA288+BC288+BE288</f>
        <v>20000000</v>
      </c>
      <c r="AD288" s="298">
        <v>20000000</v>
      </c>
      <c r="AE288" s="298">
        <f t="shared" si="5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/>
      <c r="AP288" s="301"/>
      <c r="AQ288" s="301">
        <v>5000000</v>
      </c>
      <c r="AR288" s="301"/>
      <c r="AS288" s="301">
        <v>5000000</v>
      </c>
      <c r="AT288" s="301"/>
      <c r="AU288" s="302">
        <v>10000000</v>
      </c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 x14ac:dyDescent="0.4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>AG289+AJ289+AM289+AO289+AQ289+AS289+AU289+AW289+AY289+BA289+BC289+BE289</f>
        <v>11250000</v>
      </c>
      <c r="AD289" s="298">
        <v>11250000</v>
      </c>
      <c r="AE289" s="298">
        <f t="shared" si="5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 x14ac:dyDescent="0.4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>AG290+AJ290+AM290+AO290+AQ290+AS290+AU290+AW290+AY290+BA290+BC290+BE290</f>
        <v>0</v>
      </c>
      <c r="AD290" s="298">
        <v>0</v>
      </c>
      <c r="AE290" s="298">
        <f t="shared" si="5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 x14ac:dyDescent="0.4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>AG291+AJ291+AM291+AO291+AQ291+AS291+AU291+AW291+AY291+BA291+BC291+BE291</f>
        <v>5000000</v>
      </c>
      <c r="AD291" s="298">
        <v>5000000</v>
      </c>
      <c r="AE291" s="298">
        <f t="shared" si="5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 x14ac:dyDescent="0.4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>AG292+AJ292+AM292+AO292+AQ292+AS292+AU292+AW292+AY292+BA292+BC292+BE292</f>
        <v>0</v>
      </c>
      <c r="AD292" s="298">
        <v>0</v>
      </c>
      <c r="AE292" s="298">
        <f t="shared" si="5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 x14ac:dyDescent="0.4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>AG293+AJ293+AM293+AO293+AQ293+AS293+AU293+AW293+AY293+BA293+BC293+BE293</f>
        <v>0</v>
      </c>
      <c r="AD293" s="298">
        <v>0</v>
      </c>
      <c r="AE293" s="298">
        <f t="shared" si="5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 x14ac:dyDescent="0.4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>AG294+AJ294+AM294+AO294+AQ294+AS294+AU294+AW294+AY294+BA294+BC294+BE294</f>
        <v>0</v>
      </c>
      <c r="AD294" s="298">
        <v>0</v>
      </c>
      <c r="AE294" s="298">
        <f t="shared" si="5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 x14ac:dyDescent="0.4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>AG295+AJ295+AM295+AO295+AQ295+AS295+AU295+AW295+AY295+BA295+BC295+BE295</f>
        <v>0</v>
      </c>
      <c r="AD295" s="298">
        <v>0</v>
      </c>
      <c r="AE295" s="298">
        <f t="shared" si="5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customHeight="1" x14ac:dyDescent="0.4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>AG296+AJ296+AM296+AO296+AQ296+AS296+AU296+AW296+AY296+BA296+BC296+BE296</f>
        <v>592000</v>
      </c>
      <c r="AD296" s="298">
        <v>592000</v>
      </c>
      <c r="AE296" s="298">
        <f t="shared" si="5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 x14ac:dyDescent="0.4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>AG297+AJ297+AM297+AO297+AQ297+AS297+AU297+AW297+AY297+BA297+BC297+BE297</f>
        <v>5000000</v>
      </c>
      <c r="AD297" s="298">
        <v>5000000</v>
      </c>
      <c r="AE297" s="298">
        <f t="shared" si="5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 x14ac:dyDescent="0.4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>AG298+AJ298+AM298+AO298+AQ298+AS298+AU298+AW298+AY298+BA298+BC298+BE298</f>
        <v>0</v>
      </c>
      <c r="AD298" s="298">
        <v>0</v>
      </c>
      <c r="AE298" s="298">
        <f t="shared" si="5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 x14ac:dyDescent="0.4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>AG299+AJ299+AM299+AO299+AQ299+AS299+AU299+AW299+AY299+BA299+BC299+BE299</f>
        <v>0</v>
      </c>
      <c r="AD299" s="298">
        <v>0</v>
      </c>
      <c r="AE299" s="298">
        <f t="shared" si="5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 x14ac:dyDescent="0.4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>AG300+AJ300+AM300+AO300+AQ300+AS300+AU300+AW300+AY300+BA300+BC300+BE300</f>
        <v>0</v>
      </c>
      <c r="AD300" s="298">
        <v>0</v>
      </c>
      <c r="AE300" s="298">
        <f t="shared" si="5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 x14ac:dyDescent="0.4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>AG301+AJ301+AM301+AO301+AQ301+AS301+AU301+AW301+AY301+BA301+BC301+BE301</f>
        <v>0</v>
      </c>
      <c r="AD301" s="298">
        <v>0</v>
      </c>
      <c r="AE301" s="298">
        <f t="shared" si="5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 x14ac:dyDescent="0.4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>AG302+AJ302+AM302+AO302+AQ302+AS302+AU302+AW302+AY302+BA302+BC302+BE302</f>
        <v>0</v>
      </c>
      <c r="AD302" s="298">
        <v>0</v>
      </c>
      <c r="AE302" s="298">
        <f t="shared" si="5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 x14ac:dyDescent="0.4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>AG303+AJ303+AM303+AO303+AQ303+AS303+AU303+AW303+AY303+BA303+BC303+BE303</f>
        <v>0</v>
      </c>
      <c r="AD303" s="298">
        <v>0</v>
      </c>
      <c r="AE303" s="298">
        <f t="shared" si="5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 x14ac:dyDescent="0.4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>AG304+AJ304+AM304+AO304+AQ304+AS304+AU304+AW304+AY304+BA304+BC304+BE304</f>
        <v>1000000</v>
      </c>
      <c r="AD304" s="298">
        <v>1000000</v>
      </c>
      <c r="AE304" s="298">
        <f t="shared" si="5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 x14ac:dyDescent="0.4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>AG305+AJ305+AM305+AO305+AQ305+AS305+AU305+AW305+AY305+BA305+BC305+BE305</f>
        <v>4000000</v>
      </c>
      <c r="AD305" s="298">
        <v>4000000</v>
      </c>
      <c r="AE305" s="298">
        <f t="shared" si="5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 x14ac:dyDescent="0.4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>AG306+AJ306+AM306+AO306+AQ306+AS306+AU306+AW306+AY306+BA306+BC306+BE306</f>
        <v>0</v>
      </c>
      <c r="AD306" s="298">
        <v>0</v>
      </c>
      <c r="AE306" s="298">
        <f t="shared" si="5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 x14ac:dyDescent="0.4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>AG307+AJ307+AM307+AO307+AQ307+AS307+AU307+AW307+AY307+BA307+BC307+BE307</f>
        <v>0</v>
      </c>
      <c r="AD307" s="298">
        <v>0</v>
      </c>
      <c r="AE307" s="298">
        <f t="shared" si="5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 x14ac:dyDescent="0.4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>AG308+AJ308+AM308+AO308+AQ308+AS308+AU308+AW308+AY308+BA308+BC308+BE308</f>
        <v>6200000</v>
      </c>
      <c r="AD308" s="298">
        <v>6200000</v>
      </c>
      <c r="AE308" s="298">
        <f t="shared" si="5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 x14ac:dyDescent="0.4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>AG309+AJ309+AM309+AO309+AQ309+AS309+AU309+AW309+AY309+BA309+BC309+BE309</f>
        <v>49000000</v>
      </c>
      <c r="AD309" s="298">
        <v>49000000</v>
      </c>
      <c r="AE309" s="298">
        <f t="shared" si="5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 x14ac:dyDescent="0.4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>AG310+AJ310+AM310+AO310+AQ310+AS310+AU310+AW310+AY310+BA310+BC310+BE310</f>
        <v>0</v>
      </c>
      <c r="AD310" s="298">
        <v>0</v>
      </c>
      <c r="AE310" s="298">
        <f t="shared" si="5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 x14ac:dyDescent="0.4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>AG311+AJ311+AM311+AO311+AQ311+AS311+AU311+AW311+AY311+BA311+BC311+BE311</f>
        <v>90909092</v>
      </c>
      <c r="AD311" s="298">
        <v>90909092</v>
      </c>
      <c r="AE311" s="298">
        <f t="shared" si="5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 x14ac:dyDescent="0.4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>AG312+AJ312+AM312+AO312+AQ312+AS312+AU312+AW312+AY312+BA312+BC312+BE312</f>
        <v>0</v>
      </c>
      <c r="AD312" s="298">
        <v>0</v>
      </c>
      <c r="AE312" s="298">
        <f t="shared" si="5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 x14ac:dyDescent="0.4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>AG313+AJ313+AM313+AO313+AQ313+AS313+AU313+AW313+AY313+BA313+BC313+BE313</f>
        <v>0</v>
      </c>
      <c r="AD313" s="298">
        <v>0</v>
      </c>
      <c r="AE313" s="298">
        <f t="shared" si="5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 x14ac:dyDescent="0.4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>AG314+AJ314+AM314+AO314+AQ314+AS314+AU314+AW314+AY314+BA314+BC314+BE314</f>
        <v>1000000</v>
      </c>
      <c r="AD314" s="298">
        <v>1000000</v>
      </c>
      <c r="AE314" s="298">
        <f t="shared" si="5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 x14ac:dyDescent="0.4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>AG315+AJ315+AM315+AO315+AQ315+AS315+AU315+AW315+AY315+BA315+BC315+BE315</f>
        <v>0</v>
      </c>
      <c r="AD315" s="298">
        <v>0</v>
      </c>
      <c r="AE315" s="298">
        <f t="shared" si="5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 x14ac:dyDescent="0.4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>AG316+AJ316+AM316+AO316+AQ316+AS316+AU316+AW316+AY316+BA316+BC316+BE316</f>
        <v>0</v>
      </c>
      <c r="AD316" s="298">
        <v>0</v>
      </c>
      <c r="AE316" s="298">
        <f t="shared" si="5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 x14ac:dyDescent="0.4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>AG317+AJ317+AM317+AO317+AQ317+AS317+AU317+AW317+AY317+BA317+BC317+BE317</f>
        <v>100000000</v>
      </c>
      <c r="AD317" s="298">
        <v>100000000</v>
      </c>
      <c r="AE317" s="298">
        <f t="shared" si="5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 x14ac:dyDescent="0.4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>AG318+AJ318+AM318+AO318+AQ318+AS318+AU318+AW318+AY318+BA318+BC318+BE318</f>
        <v>0</v>
      </c>
      <c r="AD318" s="298">
        <v>0</v>
      </c>
      <c r="AE318" s="298">
        <f t="shared" si="5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 x14ac:dyDescent="0.4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>AG319+AJ319+AM319+AO319+AQ319+AS319+AU319+AW319+AY319+BA319+BC319+BE319</f>
        <v>10000000</v>
      </c>
      <c r="AD319" s="298">
        <v>10000000</v>
      </c>
      <c r="AE319" s="298">
        <f t="shared" si="5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 x14ac:dyDescent="0.4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>AG320+AJ320+AM320+AO320+AQ320+AS320+AU320+AW320+AY320+BA320+BC320+BE320</f>
        <v>0</v>
      </c>
      <c r="AD320" s="298">
        <v>0</v>
      </c>
      <c r="AE320" s="298">
        <f t="shared" si="5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 x14ac:dyDescent="0.4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>AG321+AJ321+AM321+AO321+AQ321+AS321+AU321+AW321+AY321+BA321+BC321+BE321</f>
        <v>1000000</v>
      </c>
      <c r="AD321" s="298">
        <v>1000000</v>
      </c>
      <c r="AE321" s="298">
        <f t="shared" si="5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 x14ac:dyDescent="0.4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>AG322+AJ322+AM322+AO322+AQ322+AS322+AU322+AW322+AY322+BA322+BC322+BE322</f>
        <v>0</v>
      </c>
      <c r="AD322" s="298">
        <v>0</v>
      </c>
      <c r="AE322" s="298">
        <f t="shared" si="5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 x14ac:dyDescent="0.4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>AG323+AJ323+AM323+AO323+AQ323+AS323+AU323+AW323+AY323+BA323+BC323+BE323</f>
        <v>3000000</v>
      </c>
      <c r="AD323" s="298">
        <v>3000000</v>
      </c>
      <c r="AE323" s="298">
        <f t="shared" si="5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 x14ac:dyDescent="0.4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>AG324+AJ324+AM324+AO324+AQ324+AS324+AU324+AW324+AY324+BA324+BC324+BE324</f>
        <v>0</v>
      </c>
      <c r="AD324" s="298">
        <v>0</v>
      </c>
      <c r="AE324" s="298">
        <f t="shared" si="5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 x14ac:dyDescent="0.4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>AG325+AJ325+AM325+AO325+AQ325+AS325+AU325+AW325+AY325+BA325+BC325+BE325</f>
        <v>5000000</v>
      </c>
      <c r="AD325" s="298">
        <v>5000000</v>
      </c>
      <c r="AE325" s="298">
        <f t="shared" si="5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 x14ac:dyDescent="0.4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>AG326+AJ326+AM326+AO326+AQ326+AS326+AU326+AW326+AY326+BA326+BC326+BE326</f>
        <v>6000000</v>
      </c>
      <c r="AD326" s="298">
        <v>6000000</v>
      </c>
      <c r="AE326" s="298">
        <f t="shared" si="5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 x14ac:dyDescent="0.4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>AG327+AJ327+AM327+AO327+AQ327+AS327+AU327+AW327+AY327+BA327+BC327+BE327</f>
        <v>0</v>
      </c>
      <c r="AD327" s="298">
        <v>0</v>
      </c>
      <c r="AE327" s="298">
        <f t="shared" si="5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 x14ac:dyDescent="0.4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>AG328+AJ328+AM328+AO328+AQ328+AS328+AU328+AW328+AY328+BA328+BC328+BE328</f>
        <v>0</v>
      </c>
      <c r="AD328" s="298">
        <v>0</v>
      </c>
      <c r="AE328" s="298">
        <f t="shared" si="5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 x14ac:dyDescent="0.4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>AG329+AJ329+AM329+AO329+AQ329+AS329+AU329+AW329+AY329+BA329+BC329+BE329</f>
        <v>0</v>
      </c>
      <c r="AD329" s="298">
        <v>0</v>
      </c>
      <c r="AE329" s="298">
        <f t="shared" si="5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 x14ac:dyDescent="0.4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>AG330+AJ330+AM330+AO330+AQ330+AS330+AU330+AW330+AY330+BA330+BC330+BE330</f>
        <v>2000000</v>
      </c>
      <c r="AD330" s="298">
        <v>2000000</v>
      </c>
      <c r="AE330" s="298">
        <f t="shared" si="5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 x14ac:dyDescent="0.4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>AG331+AJ331+AM331+AO331+AQ331+AS331+AU331+AW331+AY331+BA331+BC331+BE331</f>
        <v>5000000</v>
      </c>
      <c r="AD331" s="298">
        <v>5000000</v>
      </c>
      <c r="AE331" s="298">
        <f t="shared" si="5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 x14ac:dyDescent="0.4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>AG332+AJ332+AM332+AO332+AQ332+AS332+AU332+AW332+AY332+BA332+BC332+BE332</f>
        <v>2000000</v>
      </c>
      <c r="AD332" s="298">
        <v>2000000</v>
      </c>
      <c r="AE332" s="298">
        <f t="shared" si="5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 x14ac:dyDescent="0.4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>AG333+AJ333+AM333+AO333+AQ333+AS333+AU333+AW333+AY333+BA333+BC333+BE333</f>
        <v>72000000</v>
      </c>
      <c r="AD333" s="298">
        <v>72000000</v>
      </c>
      <c r="AE333" s="298">
        <f t="shared" si="5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 x14ac:dyDescent="0.4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>AG334+AJ334+AM334+AO334+AQ334+AS334+AU334+AW334+AY334+BA334+BC334+BE334</f>
        <v>10000000</v>
      </c>
      <c r="AD334" s="298">
        <v>10000000</v>
      </c>
      <c r="AE334" s="298">
        <f t="shared" si="5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 x14ac:dyDescent="0.4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>AG335+AJ335+AM335+AO335+AQ335+AS335+AU335+AW335+AY335+BA335+BC335+BE335</f>
        <v>3000000</v>
      </c>
      <c r="AD335" s="298">
        <v>3000000</v>
      </c>
      <c r="AE335" s="298">
        <f t="shared" si="5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 x14ac:dyDescent="0.4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>AG336+AJ336+AM336+AO336+AQ336+AS336+AU336+AW336+AY336+BA336+BC336+BE336</f>
        <v>5000000</v>
      </c>
      <c r="AD336" s="298">
        <v>5000000</v>
      </c>
      <c r="AE336" s="298">
        <f t="shared" si="5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 x14ac:dyDescent="0.4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>AG337+AJ337+AM337+AO337+AQ337+AS337+AU337+AW337+AY337+BA337+BC337+BE337</f>
        <v>15000000</v>
      </c>
      <c r="AD337" s="298">
        <v>15000000</v>
      </c>
      <c r="AE337" s="298">
        <f t="shared" si="5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 x14ac:dyDescent="0.4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>AG338+AJ338+AM338+AO338+AQ338+AS338+AU338+AW338+AY338+BA338+BC338+BE338</f>
        <v>0</v>
      </c>
      <c r="AD338" s="298">
        <v>0</v>
      </c>
      <c r="AE338" s="298">
        <f t="shared" si="5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 x14ac:dyDescent="0.4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>AG339+AJ339+AM339+AO339+AQ339+AS339+AU339+AW339+AY339+BA339+BC339+BE339</f>
        <v>2000000</v>
      </c>
      <c r="AD339" s="298">
        <v>2000000</v>
      </c>
      <c r="AE339" s="298">
        <f t="shared" si="5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 x14ac:dyDescent="0.4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>AG340+AJ340+AM340+AO340+AQ340+AS340+AU340+AW340+AY340+BA340+BC340+BE340</f>
        <v>14000000</v>
      </c>
      <c r="AD340" s="298">
        <v>14000000</v>
      </c>
      <c r="AE340" s="298">
        <f t="shared" si="5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 x14ac:dyDescent="0.4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>AG341+AJ341+AM341+AO341+AQ341+AS341+AU341+AW341+AY341+BA341+BC341+BE341</f>
        <v>0</v>
      </c>
      <c r="AD341" s="298">
        <v>0</v>
      </c>
      <c r="AE341" s="298">
        <f t="shared" si="5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 x14ac:dyDescent="0.4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>AG342+AJ342+AM342+AO342+AQ342+AS342+AU342+AW342+AY342+BA342+BC342+BE342</f>
        <v>10000000</v>
      </c>
      <c r="AD342" s="298">
        <v>10000000</v>
      </c>
      <c r="AE342" s="298">
        <f t="shared" si="5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 x14ac:dyDescent="0.4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>AG343+AJ343+AM343+AO343+AQ343+AS343+AU343+AW343+AY343+BA343+BC343+BE343</f>
        <v>1000000</v>
      </c>
      <c r="AD343" s="298">
        <v>1000000</v>
      </c>
      <c r="AE343" s="298">
        <f t="shared" si="5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 x14ac:dyDescent="0.4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>AG344+AJ344+AM344+AO344+AQ344+AS344+AU344+AW344+AY344+BA344+BC344+BE344</f>
        <v>4000000</v>
      </c>
      <c r="AD344" s="298">
        <v>4000000</v>
      </c>
      <c r="AE344" s="298">
        <f t="shared" ref="AE344:AE407" si="6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 x14ac:dyDescent="0.4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>AG345+AJ345+AM345+AO345+AQ345+AS345+AU345+AW345+AY345+BA345+BC345+BE345</f>
        <v>0</v>
      </c>
      <c r="AD345" s="298">
        <v>0</v>
      </c>
      <c r="AE345" s="298">
        <f t="shared" si="6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 x14ac:dyDescent="0.4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>AG346+AJ346+AM346+AO346+AQ346+AS346+AU346+AW346+AY346+BA346+BC346+BE346</f>
        <v>0</v>
      </c>
      <c r="AD346" s="298">
        <v>0</v>
      </c>
      <c r="AE346" s="298">
        <f t="shared" si="6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 x14ac:dyDescent="0.4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>AG347+AJ347+AM347+AO347+AQ347+AS347+AU347+AW347+AY347+BA347+BC347+BE347</f>
        <v>60188800</v>
      </c>
      <c r="AD347" s="298">
        <v>60188800</v>
      </c>
      <c r="AE347" s="298">
        <f t="shared" si="6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 x14ac:dyDescent="0.4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>AG348+AJ348+AM348+AO348+AQ348+AS348+AU348+AW348+AY348+BA348+BC348+BE348</f>
        <v>10030000</v>
      </c>
      <c r="AD348" s="298">
        <v>10030000</v>
      </c>
      <c r="AE348" s="298">
        <f t="shared" si="6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 x14ac:dyDescent="0.4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>AG349+AJ349+AM349+AO349+AQ349+AS349+AU349+AW349+AY349+BA349+BC349+BE349</f>
        <v>0</v>
      </c>
      <c r="AD349" s="298">
        <v>0</v>
      </c>
      <c r="AE349" s="298">
        <f t="shared" si="6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 x14ac:dyDescent="0.4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>AG350+AJ350+AM350+AO350+AQ350+AS350+AU350+AW350+AY350+BA350+BC350+BE350</f>
        <v>0</v>
      </c>
      <c r="AD350" s="298">
        <v>0</v>
      </c>
      <c r="AE350" s="298">
        <f t="shared" si="6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 x14ac:dyDescent="0.4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>AG351+AJ351+AM351+AO351+AQ351+AS351+AU351+AW351+AY351+BA351+BC351+BE351</f>
        <v>0</v>
      </c>
      <c r="AD351" s="298">
        <v>0</v>
      </c>
      <c r="AE351" s="298">
        <f t="shared" si="6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 x14ac:dyDescent="0.4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>AG352+AJ352+AM352+AO352+AQ352+AS352+AU352+AW352+AY352+BA352+BC352+BE352</f>
        <v>100000000</v>
      </c>
      <c r="AD352" s="298">
        <v>100000000</v>
      </c>
      <c r="AE352" s="298">
        <f t="shared" si="6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 x14ac:dyDescent="0.4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>AG353+AJ353+AM353+AO353+AQ353+AS353+AU353+AW353+AY353+BA353+BC353+BE353</f>
        <v>40000000</v>
      </c>
      <c r="AD353" s="298">
        <v>40000000</v>
      </c>
      <c r="AE353" s="298">
        <f t="shared" si="6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 x14ac:dyDescent="0.4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>AG354+AJ354+AM354+AO354+AQ354+AS354+AU354+AW354+AY354+BA354+BC354+BE354</f>
        <v>0</v>
      </c>
      <c r="AD354" s="298">
        <v>0</v>
      </c>
      <c r="AE354" s="298">
        <f t="shared" si="6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 x14ac:dyDescent="0.4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>AG355+AJ355+AM355+AO355+AQ355+AS355+AU355+AW355+AY355+BA355+BC355+BE355</f>
        <v>0</v>
      </c>
      <c r="AD355" s="298">
        <v>0</v>
      </c>
      <c r="AE355" s="298">
        <f t="shared" si="6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 x14ac:dyDescent="0.4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>AG356+AJ356+AM356+AO356+AQ356+AS356+AU356+AW356+AY356+BA356+BC356+BE356</f>
        <v>0</v>
      </c>
      <c r="AD356" s="298">
        <v>0</v>
      </c>
      <c r="AE356" s="298">
        <f t="shared" si="6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 x14ac:dyDescent="0.4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>AG357+AJ357+AM357+AO357+AQ357+AS357+AU357+AW357+AY357+BA357+BC357+BE357</f>
        <v>10000000</v>
      </c>
      <c r="AD357" s="298">
        <v>10000000</v>
      </c>
      <c r="AE357" s="298">
        <f t="shared" si="6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 x14ac:dyDescent="0.4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>AG358+AJ358+AM358+AO358+AQ358+AS358+AU358+AW358+AY358+BA358+BC358+BE358</f>
        <v>10000000</v>
      </c>
      <c r="AD358" s="298">
        <v>10000000</v>
      </c>
      <c r="AE358" s="298">
        <f t="shared" si="6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 x14ac:dyDescent="0.4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>AG359+AJ359+AM359+AO359+AQ359+AS359+AU359+AW359+AY359+BA359+BC359+BE359</f>
        <v>5000000</v>
      </c>
      <c r="AD359" s="298">
        <v>5000000</v>
      </c>
      <c r="AE359" s="298">
        <f t="shared" si="6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 x14ac:dyDescent="0.4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>AG360+AJ360+AM360+AO360+AQ360+AS360+AU360+AW360+AY360+BA360+BC360+BE360</f>
        <v>0</v>
      </c>
      <c r="AD360" s="298">
        <v>0</v>
      </c>
      <c r="AE360" s="298">
        <f t="shared" si="6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 x14ac:dyDescent="0.4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>AG361+AJ361+AM361+AO361+AQ361+AS361+AU361+AW361+AY361+BA361+BC361+BE361</f>
        <v>3000000</v>
      </c>
      <c r="AD361" s="298">
        <v>3000000</v>
      </c>
      <c r="AE361" s="298">
        <f t="shared" si="6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 x14ac:dyDescent="0.4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>AG362+AJ362+AM362+AO362+AQ362+AS362+AU362+AW362+AY362+BA362+BC362+BE362</f>
        <v>84031700</v>
      </c>
      <c r="AD362" s="298">
        <v>84031700</v>
      </c>
      <c r="AE362" s="298">
        <f t="shared" si="6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 x14ac:dyDescent="0.4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>AG363+AJ363+AM363+AO363+AQ363+AS363+AU363+AW363+AY363+BA363+BC363+BE363</f>
        <v>3000000</v>
      </c>
      <c r="AD363" s="298">
        <v>3000000</v>
      </c>
      <c r="AE363" s="298">
        <f t="shared" si="6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 x14ac:dyDescent="0.4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>AG364+AJ364+AM364+AO364+AQ364+AS364+AU364+AW364+AY364+BA364+BC364+BE364</f>
        <v>2500000</v>
      </c>
      <c r="AD364" s="298">
        <v>2500000</v>
      </c>
      <c r="AE364" s="298">
        <f t="shared" si="6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 x14ac:dyDescent="0.4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>AG365+AJ365+AM365+AO365+AQ365+AS365+AU365+AW365+AY365+BA365+BC365+BE365</f>
        <v>10000000</v>
      </c>
      <c r="AD365" s="298">
        <v>10000000</v>
      </c>
      <c r="AE365" s="298">
        <f t="shared" si="6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 x14ac:dyDescent="0.4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>AG366+AJ366+AM366+AO366+AQ366+AS366+AU366+AW366+AY366+BA366+BC366+BE366</f>
        <v>104140500</v>
      </c>
      <c r="AD366" s="298">
        <v>104140500</v>
      </c>
      <c r="AE366" s="298">
        <f t="shared" si="6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 x14ac:dyDescent="0.4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>AG367+AJ367+AM367+AO367+AQ367+AS367+AU367+AW367+AY367+BA367+BC367+BE367</f>
        <v>0</v>
      </c>
      <c r="AD367" s="298">
        <v>0</v>
      </c>
      <c r="AE367" s="298">
        <f t="shared" si="6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 x14ac:dyDescent="0.4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>AG368+AJ368+AM368+AO368+AQ368+AS368+AU368+AW368+AY368+BA368+BC368+BE368</f>
        <v>600000000</v>
      </c>
      <c r="AD368" s="298">
        <v>600000000</v>
      </c>
      <c r="AE368" s="298">
        <f t="shared" si="6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 x14ac:dyDescent="0.4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>AG369+AJ369+AM369+AO369+AQ369+AS369+AU369+AW369+AY369+BA369+BC369+BE369</f>
        <v>0</v>
      </c>
      <c r="AD369" s="298">
        <v>0</v>
      </c>
      <c r="AE369" s="298">
        <f t="shared" si="6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 x14ac:dyDescent="0.4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>AG370+AJ370+AM370+AO370+AQ370+AS370+AU370+AW370+AY370+BA370+BC370+BE370</f>
        <v>50000000</v>
      </c>
      <c r="AD370" s="298">
        <v>50000000</v>
      </c>
      <c r="AE370" s="298">
        <f t="shared" si="6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 x14ac:dyDescent="0.4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>AG371+AJ371+AM371+AO371+AQ371+AS371+AU371+AW371+AY371+BA371+BC371+BE371</f>
        <v>22211000</v>
      </c>
      <c r="AD371" s="298">
        <v>22211000</v>
      </c>
      <c r="AE371" s="298">
        <f t="shared" si="6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 x14ac:dyDescent="0.4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>AG372+AJ372+AM372+AO372+AQ372+AS372+AU372+AW372+AY372+BA372+BC372+BE372</f>
        <v>0</v>
      </c>
      <c r="AD372" s="298">
        <v>0</v>
      </c>
      <c r="AE372" s="298">
        <f t="shared" si="6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 x14ac:dyDescent="0.4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>AG373+AJ373+AM373+AO373+AQ373+AS373+AU373+AW373+AY373+BA373+BC373+BE373</f>
        <v>2060000</v>
      </c>
      <c r="AD373" s="298">
        <v>2060000</v>
      </c>
      <c r="AE373" s="298">
        <f t="shared" si="6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 x14ac:dyDescent="0.4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>AG374+AJ374+AM374+AO374+AQ374+AS374+AU374+AW374+AY374+BA374+BC374+BE374</f>
        <v>19000000</v>
      </c>
      <c r="AD374" s="298">
        <v>19000000</v>
      </c>
      <c r="AE374" s="298">
        <f t="shared" si="6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 x14ac:dyDescent="0.4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>AG375+AJ375+AM375+AO375+AQ375+AS375+AU375+AW375+AY375+BA375+BC375+BE375</f>
        <v>71268300</v>
      </c>
      <c r="AD375" s="298">
        <v>71268300</v>
      </c>
      <c r="AE375" s="298">
        <f t="shared" si="6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 x14ac:dyDescent="0.4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>AG376+AJ376+AM376+AO376+AQ376+AS376+AU376+AW376+AY376+BA376+BC376+BE376</f>
        <v>8000000</v>
      </c>
      <c r="AD376" s="298">
        <v>8000000</v>
      </c>
      <c r="AE376" s="298">
        <f t="shared" si="6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 x14ac:dyDescent="0.4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>AG377+AJ377+AM377+AO377+AQ377+AS377+AU377+AW377+AY377+BA377+BC377+BE377</f>
        <v>50000000</v>
      </c>
      <c r="AD377" s="298">
        <v>50000000</v>
      </c>
      <c r="AE377" s="298">
        <f t="shared" si="6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 x14ac:dyDescent="0.4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>AG378+AJ378+AM378+AO378+AQ378+AS378+AU378+AW378+AY378+BA378+BC378+BE378</f>
        <v>10000000</v>
      </c>
      <c r="AD378" s="298">
        <v>10000000</v>
      </c>
      <c r="AE378" s="298">
        <f t="shared" si="6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 x14ac:dyDescent="0.4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>AG379+AJ379+AM379+AO379+AQ379+AS379+AU379+AW379+AY379+BA379+BC379+BE379</f>
        <v>300000000</v>
      </c>
      <c r="AD379" s="298">
        <v>300000000</v>
      </c>
      <c r="AE379" s="298">
        <f t="shared" si="6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 x14ac:dyDescent="0.4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>AG380+AJ380+AM380+AO380+AQ380+AS380+AU380+AW380+AY380+BA380+BC380+BE380</f>
        <v>50000000</v>
      </c>
      <c r="AD380" s="298">
        <v>50000000</v>
      </c>
      <c r="AE380" s="298">
        <f t="shared" si="6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 x14ac:dyDescent="0.4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>AG381+AJ381+AM381+AO381+AQ381+AS381+AU381+AW381+AY381+BA381+BC381+BE381</f>
        <v>0</v>
      </c>
      <c r="AD381" s="298">
        <v>0</v>
      </c>
      <c r="AE381" s="298">
        <f t="shared" si="6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 x14ac:dyDescent="0.4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>AG382+AJ382+AM382+AO382+AQ382+AS382+AU382+AW382+AY382+BA382+BC382+BE382</f>
        <v>1065000</v>
      </c>
      <c r="AD382" s="298">
        <v>1065000</v>
      </c>
      <c r="AE382" s="298">
        <f t="shared" si="6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 x14ac:dyDescent="0.4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>AG383+AJ383+AM383+AO383+AQ383+AS383+AU383+AW383+AY383+BA383+BC383+BE383</f>
        <v>100000000</v>
      </c>
      <c r="AD383" s="298">
        <v>100000000</v>
      </c>
      <c r="AE383" s="298">
        <f t="shared" si="6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 x14ac:dyDescent="0.4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>AG384+AJ384+AM384+AO384+AQ384+AS384+AU384+AW384+AY384+BA384+BC384+BE384</f>
        <v>0</v>
      </c>
      <c r="AD384" s="298">
        <v>0</v>
      </c>
      <c r="AE384" s="298">
        <f t="shared" si="6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 x14ac:dyDescent="0.4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>AG385+AJ385+AM385+AO385+AQ385+AS385+AU385+AW385+AY385+BA385+BC385+BE385</f>
        <v>100000000</v>
      </c>
      <c r="AD385" s="298">
        <v>100000000</v>
      </c>
      <c r="AE385" s="298">
        <f t="shared" si="6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 x14ac:dyDescent="0.4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>AG386+AJ386+AM386+AO386+AQ386+AS386+AU386+AW386+AY386+BA386+BC386+BE386</f>
        <v>10000000</v>
      </c>
      <c r="AD386" s="298">
        <v>10000000</v>
      </c>
      <c r="AE386" s="298">
        <f t="shared" si="6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 x14ac:dyDescent="0.4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>AG387+AJ387+AM387+AO387+AQ387+AS387+AU387+AW387+AY387+BA387+BC387+BE387</f>
        <v>100000000</v>
      </c>
      <c r="AD387" s="298">
        <v>100000000</v>
      </c>
      <c r="AE387" s="298">
        <f t="shared" si="6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 x14ac:dyDescent="0.4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>AG388+AJ388+AM388+AO388+AQ388+AS388+AU388+AW388+AY388+BA388+BC388+BE388</f>
        <v>3000000</v>
      </c>
      <c r="AD388" s="298">
        <v>3000000</v>
      </c>
      <c r="AE388" s="298">
        <f t="shared" si="6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 x14ac:dyDescent="0.4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>AG389+AJ389+AM389+AO389+AQ389+AS389+AU389+AW389+AY389+BA389+BC389+BE389</f>
        <v>80000000</v>
      </c>
      <c r="AD389" s="298">
        <v>80000000</v>
      </c>
      <c r="AE389" s="298">
        <f t="shared" si="6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 x14ac:dyDescent="0.4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>AG390+AJ390+AM390+AO390+AQ390+AS390+AU390+AW390+AY390+BA390+BC390+BE390</f>
        <v>10000000</v>
      </c>
      <c r="AD390" s="298">
        <v>10000000</v>
      </c>
      <c r="AE390" s="298">
        <f t="shared" si="6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 x14ac:dyDescent="0.4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>AG391+AJ391+AM391+AO391+AQ391+AS391+AU391+AW391+AY391+BA391+BC391+BE391</f>
        <v>0</v>
      </c>
      <c r="AD391" s="298">
        <v>0</v>
      </c>
      <c r="AE391" s="298">
        <f t="shared" si="6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 x14ac:dyDescent="0.4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>AG392+AJ392+AM392+AO392+AQ392+AS392+AU392+AW392+AY392+BA392+BC392+BE392</f>
        <v>100000000</v>
      </c>
      <c r="AD392" s="298">
        <v>100000000</v>
      </c>
      <c r="AE392" s="298">
        <f t="shared" si="6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 x14ac:dyDescent="0.4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>AG393+AJ393+AM393+AO393+AQ393+AS393+AU393+AW393+AY393+BA393+BC393+BE393</f>
        <v>270000000</v>
      </c>
      <c r="AD393" s="298">
        <v>270000000</v>
      </c>
      <c r="AE393" s="298">
        <f t="shared" si="6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 x14ac:dyDescent="0.4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>AG394+AJ394+AM394+AO394+AQ394+AS394+AU394+AW394+AY394+BA394+BC394+BE394</f>
        <v>0</v>
      </c>
      <c r="AD394" s="298">
        <v>0</v>
      </c>
      <c r="AE394" s="298">
        <f t="shared" si="6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 x14ac:dyDescent="0.4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>AG395+AJ395+AM395+AO395+AQ395+AS395+AU395+AW395+AY395+BA395+BC395+BE395</f>
        <v>0</v>
      </c>
      <c r="AD395" s="298">
        <v>0</v>
      </c>
      <c r="AE395" s="298">
        <f t="shared" si="6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 x14ac:dyDescent="0.4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>AG396+AJ396+AM396+AO396+AQ396+AS396+AU396+AW396+AY396+BA396+BC396+BE396</f>
        <v>0</v>
      </c>
      <c r="AD396" s="298">
        <v>0</v>
      </c>
      <c r="AE396" s="298">
        <f t="shared" si="6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 x14ac:dyDescent="0.4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>AG397+AJ397+AM397+AO397+AQ397+AS397+AU397+AW397+AY397+BA397+BC397+BE397</f>
        <v>150000000</v>
      </c>
      <c r="AD397" s="298">
        <v>150000000</v>
      </c>
      <c r="AE397" s="298">
        <f t="shared" si="6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 x14ac:dyDescent="0.4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>AG398+AJ398+AM398+AO398+AQ398+AS398+AU398+AW398+AY398+BA398+BC398+BE398</f>
        <v>0</v>
      </c>
      <c r="AD398" s="298">
        <v>0</v>
      </c>
      <c r="AE398" s="298">
        <f t="shared" si="6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 x14ac:dyDescent="0.4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>AG399+AJ399+AM399+AO399+AQ399+AS399+AU399+AW399+AY399+BA399+BC399+BE399</f>
        <v>105000000</v>
      </c>
      <c r="AD399" s="298">
        <v>105000000</v>
      </c>
      <c r="AE399" s="298">
        <f t="shared" si="6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 x14ac:dyDescent="0.4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>AG400+AJ400+AM400+AO400+AQ400+AS400+AU400+AW400+AY400+BA400+BC400+BE400</f>
        <v>17272727</v>
      </c>
      <c r="AD400" s="298">
        <v>17272727</v>
      </c>
      <c r="AE400" s="298">
        <f t="shared" si="6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 x14ac:dyDescent="0.4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>AG401+AJ401+AM401+AO401+AQ401+AS401+AU401+AW401+AY401+BA401+BC401+BE401</f>
        <v>241088700</v>
      </c>
      <c r="AD401" s="298">
        <v>241088700</v>
      </c>
      <c r="AE401" s="298">
        <f t="shared" si="6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 x14ac:dyDescent="0.4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>AG402+AJ402+AM402+AO402+AQ402+AS402+AU402+AW402+AY402+BA402+BC402+BE402</f>
        <v>230000000</v>
      </c>
      <c r="AD402" s="298">
        <v>230000000</v>
      </c>
      <c r="AE402" s="298">
        <f t="shared" si="6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 x14ac:dyDescent="0.4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>AG403+AJ403+AM403+AO403+AQ403+AS403+AU403+AW403+AY403+BA403+BC403+BE403</f>
        <v>120000000</v>
      </c>
      <c r="AD403" s="298">
        <v>120000000</v>
      </c>
      <c r="AE403" s="298">
        <f t="shared" si="6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 x14ac:dyDescent="0.4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>AG404+AJ404+AM404+AO404+AQ404+AS404+AU404+AW404+AY404+BA404+BC404+BE404</f>
        <v>63915500</v>
      </c>
      <c r="AD404" s="298">
        <v>63915500</v>
      </c>
      <c r="AE404" s="298">
        <f t="shared" si="6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 x14ac:dyDescent="0.4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>AG405+AJ405+AM405+AO405+AQ405+AS405+AU405+AW405+AY405+BA405+BC405+BE405</f>
        <v>0</v>
      </c>
      <c r="AD405" s="298">
        <v>0</v>
      </c>
      <c r="AE405" s="298">
        <f t="shared" si="6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 x14ac:dyDescent="0.4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>AG406+AJ406+AM406+AO406+AQ406+AS406+AU406+AW406+AY406+BA406+BC406+BE406</f>
        <v>0</v>
      </c>
      <c r="AD406" s="298">
        <v>0</v>
      </c>
      <c r="AE406" s="298">
        <f t="shared" si="6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 x14ac:dyDescent="0.4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>AG407+AJ407+AM407+AO407+AQ407+AS407+AU407+AW407+AY407+BA407+BC407+BE407</f>
        <v>0</v>
      </c>
      <c r="AD407" s="298">
        <v>0</v>
      </c>
      <c r="AE407" s="298">
        <f t="shared" si="6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 x14ac:dyDescent="0.4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>AG408+AJ408+AM408+AO408+AQ408+AS408+AU408+AW408+AY408+BA408+BC408+BE408</f>
        <v>0</v>
      </c>
      <c r="AD408" s="298">
        <v>0</v>
      </c>
      <c r="AE408" s="298">
        <f t="shared" ref="AE408:AE471" si="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 x14ac:dyDescent="0.4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>AG409+AJ409+AM409+AO409+AQ409+AS409+AU409+AW409+AY409+BA409+BC409+BE409</f>
        <v>0</v>
      </c>
      <c r="AD409" s="298">
        <v>0</v>
      </c>
      <c r="AE409" s="298">
        <f t="shared" si="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 x14ac:dyDescent="0.4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>AG410+AJ410+AM410+AO410+AQ410+AS410+AU410+AW410+AY410+BA410+BC410+BE410</f>
        <v>100000000</v>
      </c>
      <c r="AD410" s="298">
        <v>100000000</v>
      </c>
      <c r="AE410" s="298">
        <f t="shared" si="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 x14ac:dyDescent="0.4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>AG411+AJ411+AM411+AO411+AQ411+AS411+AU411+AW411+AY411+BA411+BC411+BE411</f>
        <v>8000000</v>
      </c>
      <c r="AD411" s="298">
        <v>8000000</v>
      </c>
      <c r="AE411" s="298">
        <f t="shared" si="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 x14ac:dyDescent="0.4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>AG412+AJ412+AM412+AO412+AQ412+AS412+AU412+AW412+AY412+BA412+BC412+BE412</f>
        <v>12640000</v>
      </c>
      <c r="AD412" s="298">
        <v>12640000</v>
      </c>
      <c r="AE412" s="298">
        <f t="shared" si="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 x14ac:dyDescent="0.4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>AG413+AJ413+AM413+AO413+AQ413+AS413+AU413+AW413+AY413+BA413+BC413+BE413</f>
        <v>3000000</v>
      </c>
      <c r="AD413" s="298">
        <v>3000000</v>
      </c>
      <c r="AE413" s="298">
        <f t="shared" si="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 x14ac:dyDescent="0.4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>AG414+AJ414+AM414+AO414+AQ414+AS414+AU414+AW414+AY414+BA414+BC414+BE414</f>
        <v>418775785</v>
      </c>
      <c r="AD414" s="298">
        <v>418775785</v>
      </c>
      <c r="AE414" s="298">
        <f t="shared" si="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 x14ac:dyDescent="0.4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>AG415+AJ415+AM415+AO415+AQ415+AS415+AU415+AW415+AY415+BA415+BC415+BE415</f>
        <v>14860000</v>
      </c>
      <c r="AD415" s="298">
        <v>14860000</v>
      </c>
      <c r="AE415" s="298">
        <f t="shared" si="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 x14ac:dyDescent="0.4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>AG416+AJ416+AM416+AO416+AQ416+AS416+AU416+AW416+AY416+BA416+BC416+BE416</f>
        <v>150000000</v>
      </c>
      <c r="AD416" s="298">
        <v>150000000</v>
      </c>
      <c r="AE416" s="298">
        <f t="shared" si="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 x14ac:dyDescent="0.4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>AG417+AJ417+AM417+AO417+AQ417+AS417+AU417+AW417+AY417+BA417+BC417+BE417</f>
        <v>49317900</v>
      </c>
      <c r="AD417" s="298">
        <v>49317900</v>
      </c>
      <c r="AE417" s="298">
        <f t="shared" si="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 x14ac:dyDescent="0.4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>AG418+AJ418+AM418+AO418+AQ418+AS418+AU418+AW418+AY418+BA418+BC418+BE418</f>
        <v>0</v>
      </c>
      <c r="AD418" s="298">
        <v>0</v>
      </c>
      <c r="AE418" s="298">
        <f t="shared" si="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 x14ac:dyDescent="0.4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>AG419+AJ419+AM419+AO419+AQ419+AS419+AU419+AW419+AY419+BA419+BC419+BE419</f>
        <v>3000000</v>
      </c>
      <c r="AD419" s="298">
        <v>3000000</v>
      </c>
      <c r="AE419" s="298">
        <f t="shared" si="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 x14ac:dyDescent="0.4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>AG420+AJ420+AM420+AO420+AQ420+AS420+AU420+AW420+AY420+BA420+BC420+BE420</f>
        <v>0</v>
      </c>
      <c r="AD420" s="298">
        <v>0</v>
      </c>
      <c r="AE420" s="298">
        <f t="shared" si="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 x14ac:dyDescent="0.4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>AG421+AJ421+AM421+AO421+AQ421+AS421+AU421+AW421+AY421+BA421+BC421+BE421</f>
        <v>0</v>
      </c>
      <c r="AD421" s="298">
        <v>0</v>
      </c>
      <c r="AE421" s="298">
        <f t="shared" si="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 x14ac:dyDescent="0.4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>AG422+AJ422+AM422+AO422+AQ422+AS422+AU422+AW422+AY422+BA422+BC422+BE422</f>
        <v>0</v>
      </c>
      <c r="AD422" s="298">
        <v>0</v>
      </c>
      <c r="AE422" s="298">
        <f t="shared" si="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 x14ac:dyDescent="0.4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>AG423+AJ423+AM423+AO423+AQ423+AS423+AU423+AW423+AY423+BA423+BC423+BE423</f>
        <v>5000000</v>
      </c>
      <c r="AD423" s="298">
        <v>5000000</v>
      </c>
      <c r="AE423" s="298">
        <f t="shared" si="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 x14ac:dyDescent="0.4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>AG424+AJ424+AM424+AO424+AQ424+AS424+AU424+AW424+AY424+BA424+BC424+BE424</f>
        <v>2000000</v>
      </c>
      <c r="AD424" s="298">
        <v>2000000</v>
      </c>
      <c r="AE424" s="298">
        <f t="shared" si="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 x14ac:dyDescent="0.4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>AG425+AJ425+AM425+AO425+AQ425+AS425+AU425+AW425+AY425+BA425+BC425+BE425</f>
        <v>7000000</v>
      </c>
      <c r="AD425" s="298">
        <v>7000000</v>
      </c>
      <c r="AE425" s="298">
        <f t="shared" si="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 x14ac:dyDescent="0.4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>AG426+AJ426+AM426+AO426+AQ426+AS426+AU426+AW426+AY426+BA426+BC426+BE426</f>
        <v>23231000</v>
      </c>
      <c r="AD426" s="298">
        <v>23231000</v>
      </c>
      <c r="AE426" s="298">
        <f t="shared" si="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 x14ac:dyDescent="0.4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>AG427+AJ427+AM427+AO427+AQ427+AS427+AU427+AW427+AY427+BA427+BC427+BE427</f>
        <v>7400000</v>
      </c>
      <c r="AD427" s="298">
        <v>7400000</v>
      </c>
      <c r="AE427" s="298">
        <f t="shared" si="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 x14ac:dyDescent="0.4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>AG428+AJ428+AM428+AO428+AQ428+AS428+AU428+AW428+AY428+BA428+BC428+BE428</f>
        <v>10000000</v>
      </c>
      <c r="AD428" s="298">
        <v>10000000</v>
      </c>
      <c r="AE428" s="298">
        <f t="shared" si="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 x14ac:dyDescent="0.4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>AG429+AJ429+AM429+AO429+AQ429+AS429+AU429+AW429+AY429+BA429+BC429+BE429</f>
        <v>11000000</v>
      </c>
      <c r="AD429" s="298">
        <v>11000000</v>
      </c>
      <c r="AE429" s="298">
        <f t="shared" si="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 x14ac:dyDescent="0.4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>AG430+AJ430+AM430+AO430+AQ430+AS430+AU430+AW430+AY430+BA430+BC430+BE430</f>
        <v>0</v>
      </c>
      <c r="AD430" s="298">
        <v>0</v>
      </c>
      <c r="AE430" s="298">
        <f t="shared" si="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 x14ac:dyDescent="0.4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>AG431+AJ431+AM431+AO431+AQ431+AS431+AU431+AW431+AY431+BA431+BC431+BE431</f>
        <v>139543370</v>
      </c>
      <c r="AD431" s="298">
        <v>139543370</v>
      </c>
      <c r="AE431" s="298">
        <f t="shared" si="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 x14ac:dyDescent="0.4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>AG432+AJ432+AM432+AO432+AQ432+AS432+AU432+AW432+AY432+BA432+BC432+BE432</f>
        <v>0</v>
      </c>
      <c r="AD432" s="298">
        <v>0</v>
      </c>
      <c r="AE432" s="298">
        <f t="shared" si="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 x14ac:dyDescent="0.4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>AG433+AJ433+AM433+AO433+AQ433+AS433+AU433+AW433+AY433+BA433+BC433+BE433</f>
        <v>10000000</v>
      </c>
      <c r="AD433" s="298">
        <v>10000000</v>
      </c>
      <c r="AE433" s="298">
        <f t="shared" si="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 x14ac:dyDescent="0.4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>AG434+AJ434+AM434+AO434+AQ434+AS434+AU434+AW434+AY434+BA434+BC434+BE434</f>
        <v>5000000</v>
      </c>
      <c r="AD434" s="298">
        <v>5000000</v>
      </c>
      <c r="AE434" s="298">
        <f t="shared" si="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 x14ac:dyDescent="0.4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>AG435+AJ435+AM435+AO435+AQ435+AS435+AU435+AW435+AY435+BA435+BC435+BE435</f>
        <v>6988695</v>
      </c>
      <c r="AD435" s="298">
        <v>6988695</v>
      </c>
      <c r="AE435" s="298">
        <f t="shared" si="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 x14ac:dyDescent="0.4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>AG436+AJ436+AM436+AO436+AQ436+AS436+AU436+AW436+AY436+BA436+BC436+BE436</f>
        <v>3000000</v>
      </c>
      <c r="AD436" s="298">
        <v>3000000</v>
      </c>
      <c r="AE436" s="298">
        <f t="shared" si="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 x14ac:dyDescent="0.4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>AG437+AJ437+AM437+AO437+AQ437+AS437+AU437+AW437+AY437+BA437+BC437+BE437</f>
        <v>3000000</v>
      </c>
      <c r="AD437" s="298">
        <v>3000000</v>
      </c>
      <c r="AE437" s="298">
        <f t="shared" si="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 x14ac:dyDescent="0.4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>AG438+AJ438+AM438+AO438+AQ438+AS438+AU438+AW438+AY438+BA438+BC438+BE438</f>
        <v>2000000</v>
      </c>
      <c r="AD438" s="298">
        <v>2000000</v>
      </c>
      <c r="AE438" s="298">
        <f t="shared" si="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 x14ac:dyDescent="0.4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>AG439+AJ439+AM439+AO439+AQ439+AS439+AU439+AW439+AY439+BA439+BC439+BE439</f>
        <v>0</v>
      </c>
      <c r="AD439" s="298">
        <v>0</v>
      </c>
      <c r="AE439" s="298">
        <f t="shared" si="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 x14ac:dyDescent="0.4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>AG440+AJ440+AM440+AO440+AQ440+AS440+AU440+AW440+AY440+BA440+BC440+BE440</f>
        <v>220817236</v>
      </c>
      <c r="AD440" s="298">
        <v>220817236</v>
      </c>
      <c r="AE440" s="298">
        <f t="shared" si="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 x14ac:dyDescent="0.4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>AG441+AJ441+AM441+AO441+AQ441+AS441+AU441+AW441+AY441+BA441+BC441+BE441</f>
        <v>15000000</v>
      </c>
      <c r="AD441" s="298">
        <v>15000000</v>
      </c>
      <c r="AE441" s="298">
        <f t="shared" si="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 x14ac:dyDescent="0.4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>AG442+AJ442+AM442+AO442+AQ442+AS442+AU442+AW442+AY442+BA442+BC442+BE442</f>
        <v>150000000</v>
      </c>
      <c r="AD442" s="298">
        <v>150000000</v>
      </c>
      <c r="AE442" s="298">
        <f t="shared" si="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 x14ac:dyDescent="0.4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>AG443+AJ443+AM443+AO443+AQ443+AS443+AU443+AW443+AY443+BA443+BC443+BE443</f>
        <v>10000000</v>
      </c>
      <c r="AD443" s="298">
        <v>10000000</v>
      </c>
      <c r="AE443" s="298">
        <f t="shared" si="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 x14ac:dyDescent="0.4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>AG444+AJ444+AM444+AO444+AQ444+AS444+AU444+AW444+AY444+BA444+BC444+BE444</f>
        <v>0</v>
      </c>
      <c r="AD444" s="298">
        <v>0</v>
      </c>
      <c r="AE444" s="298">
        <f t="shared" si="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 x14ac:dyDescent="0.4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>AG445+AJ445+AM445+AO445+AQ445+AS445+AU445+AW445+AY445+BA445+BC445+BE445</f>
        <v>66000</v>
      </c>
      <c r="AD445" s="298">
        <v>66000</v>
      </c>
      <c r="AE445" s="298">
        <f t="shared" si="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 x14ac:dyDescent="0.4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>AG446+AJ446+AM446+AO446+AQ446+AS446+AU446+AW446+AY446+BA446+BC446+BE446</f>
        <v>10000000</v>
      </c>
      <c r="AD446" s="298">
        <v>10000000</v>
      </c>
      <c r="AE446" s="298">
        <f t="shared" si="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 x14ac:dyDescent="0.4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>AG447+AJ447+AM447+AO447+AQ447+AS447+AU447+AW447+AY447+BA447+BC447+BE447</f>
        <v>12000000</v>
      </c>
      <c r="AD447" s="298">
        <v>12000000</v>
      </c>
      <c r="AE447" s="298">
        <f t="shared" si="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 x14ac:dyDescent="0.4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>AG448+AJ448+AM448+AO448+AQ448+AS448+AU448+AW448+AY448+BA448+BC448+BE448</f>
        <v>150298900</v>
      </c>
      <c r="AD448" s="298">
        <v>150298900</v>
      </c>
      <c r="AE448" s="298">
        <f t="shared" si="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 x14ac:dyDescent="0.4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>AG449+AJ449+AM449+AO449+AQ449+AS449+AU449+AW449+AY449+BA449+BC449+BE449</f>
        <v>9000000</v>
      </c>
      <c r="AD449" s="298">
        <v>9000000</v>
      </c>
      <c r="AE449" s="298">
        <f t="shared" si="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 x14ac:dyDescent="0.4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>AG450+AJ450+AM450+AO450+AQ450+AS450+AU450+AW450+AY450+BA450+BC450+BE450</f>
        <v>12000000</v>
      </c>
      <c r="AD450" s="298">
        <v>12000000</v>
      </c>
      <c r="AE450" s="298">
        <f t="shared" si="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 x14ac:dyDescent="0.4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>AG451+AJ451+AM451+AO451+AQ451+AS451+AU451+AW451+AY451+BA451+BC451+BE451</f>
        <v>0</v>
      </c>
      <c r="AD451" s="298">
        <v>0</v>
      </c>
      <c r="AE451" s="298">
        <f t="shared" si="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 x14ac:dyDescent="0.4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>AG452+AJ452+AM452+AO452+AQ452+AS452+AU452+AW452+AY452+BA452+BC452+BE452</f>
        <v>0</v>
      </c>
      <c r="AD452" s="298">
        <v>0</v>
      </c>
      <c r="AE452" s="298">
        <f t="shared" si="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 x14ac:dyDescent="0.4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>AG453+AJ453+AM453+AO453+AQ453+AS453+AU453+AW453+AY453+BA453+BC453+BE453</f>
        <v>5000000</v>
      </c>
      <c r="AD453" s="298">
        <v>5000000</v>
      </c>
      <c r="AE453" s="298">
        <f t="shared" si="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 x14ac:dyDescent="0.4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>AG454+AJ454+AM454+AO454+AQ454+AS454+AU454+AW454+AY454+BA454+BC454+BE454</f>
        <v>20000000</v>
      </c>
      <c r="AD454" s="298">
        <v>20000000</v>
      </c>
      <c r="AE454" s="298">
        <f t="shared" si="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 x14ac:dyDescent="0.4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>AG455+AJ455+AM455+AO455+AQ455+AS455+AU455+AW455+AY455+BA455+BC455+BE455</f>
        <v>2000000</v>
      </c>
      <c r="AD455" s="298">
        <v>2000000</v>
      </c>
      <c r="AE455" s="298">
        <f t="shared" si="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 x14ac:dyDescent="0.4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>AG456+AJ456+AM456+AO456+AQ456+AS456+AU456+AW456+AY456+BA456+BC456+BE456</f>
        <v>0</v>
      </c>
      <c r="AD456" s="298">
        <v>0</v>
      </c>
      <c r="AE456" s="298">
        <f t="shared" si="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 x14ac:dyDescent="0.4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>AG457+AJ457+AM457+AO457+AQ457+AS457+AU457+AW457+AY457+BA457+BC457+BE457</f>
        <v>355000000</v>
      </c>
      <c r="AD457" s="298">
        <v>355000000</v>
      </c>
      <c r="AE457" s="298">
        <f t="shared" si="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 x14ac:dyDescent="0.4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>AG458+AJ458+AM458+AO458+AQ458+AS458+AU458+AW458+AY458+BA458+BC458+BE458</f>
        <v>150000000</v>
      </c>
      <c r="AD458" s="298">
        <v>150000000</v>
      </c>
      <c r="AE458" s="298">
        <f t="shared" si="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 x14ac:dyDescent="0.4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>AG459+AJ459+AM459+AO459+AQ459+AS459+AU459+AW459+AY459+BA459+BC459+BE459</f>
        <v>10000000</v>
      </c>
      <c r="AD459" s="298">
        <v>10000000</v>
      </c>
      <c r="AE459" s="298">
        <f t="shared" si="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 x14ac:dyDescent="0.4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>AG460+AJ460+AM460+AO460+AQ460+AS460+AU460+AW460+AY460+BA460+BC460+BE460</f>
        <v>40000000</v>
      </c>
      <c r="AD460" s="298">
        <v>40000000</v>
      </c>
      <c r="AE460" s="298">
        <f t="shared" si="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 x14ac:dyDescent="0.4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>AG461+AJ461+AM461+AO461+AQ461+AS461+AU461+AW461+AY461+BA461+BC461+BE461</f>
        <v>150000000</v>
      </c>
      <c r="AD461" s="298">
        <v>150000000</v>
      </c>
      <c r="AE461" s="298">
        <f t="shared" si="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 x14ac:dyDescent="0.4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>AG462+AJ462+AM462+AO462+AQ462+AS462+AU462+AW462+AY462+BA462+BC462+BE462</f>
        <v>0</v>
      </c>
      <c r="AD462" s="298">
        <v>0</v>
      </c>
      <c r="AE462" s="298">
        <f t="shared" si="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 x14ac:dyDescent="0.4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>AG463+AJ463+AM463+AO463+AQ463+AS463+AU463+AW463+AY463+BA463+BC463+BE463</f>
        <v>5000000</v>
      </c>
      <c r="AD463" s="298">
        <v>5000000</v>
      </c>
      <c r="AE463" s="298">
        <f t="shared" si="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 x14ac:dyDescent="0.4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>AG464+AJ464+AM464+AO464+AQ464+AS464+AU464+AW464+AY464+BA464+BC464+BE464</f>
        <v>60000000</v>
      </c>
      <c r="AD464" s="298">
        <v>60000000</v>
      </c>
      <c r="AE464" s="298">
        <f t="shared" si="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 x14ac:dyDescent="0.4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>AG465+AJ465+AM465+AO465+AQ465+AS465+AU465+AW465+AY465+BA465+BC465+BE465</f>
        <v>60000000</v>
      </c>
      <c r="AD465" s="298">
        <v>60000000</v>
      </c>
      <c r="AE465" s="298">
        <f t="shared" si="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 x14ac:dyDescent="0.4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>AG466+AJ466+AM466+AO466+AQ466+AS466+AU466+AW466+AY466+BA466+BC466+BE466</f>
        <v>13636634</v>
      </c>
      <c r="AD466" s="298">
        <v>13636634</v>
      </c>
      <c r="AE466" s="298">
        <f t="shared" si="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 x14ac:dyDescent="0.4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>AG467+AJ467+AM467+AO467+AQ467+AS467+AU467+AW467+AY467+BA467+BC467+BE467</f>
        <v>123500000</v>
      </c>
      <c r="AD467" s="298">
        <v>123500000</v>
      </c>
      <c r="AE467" s="298">
        <f t="shared" si="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 x14ac:dyDescent="0.4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>AG468+AJ468+AM468+AO468+AQ468+AS468+AU468+AW468+AY468+BA468+BC468+BE468</f>
        <v>0</v>
      </c>
      <c r="AD468" s="298">
        <v>0</v>
      </c>
      <c r="AE468" s="298">
        <f t="shared" si="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 x14ac:dyDescent="0.4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>AG469+AJ469+AM469+AO469+AQ469+AS469+AU469+AW469+AY469+BA469+BC469+BE469</f>
        <v>4000000</v>
      </c>
      <c r="AD469" s="298">
        <v>4000000</v>
      </c>
      <c r="AE469" s="298">
        <f t="shared" si="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 x14ac:dyDescent="0.4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>AG470+AJ470+AM470+AO470+AQ470+AS470+AU470+AW470+AY470+BA470+BC470+BE470</f>
        <v>15600000</v>
      </c>
      <c r="AD470" s="298">
        <v>15600000</v>
      </c>
      <c r="AE470" s="298">
        <f t="shared" si="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 x14ac:dyDescent="0.4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>AG471+AJ471+AM471+AO471+AQ471+AS471+AU471+AW471+AY471+BA471+BC471+BE471</f>
        <v>135389816</v>
      </c>
      <c r="AD471" s="298">
        <v>135389816</v>
      </c>
      <c r="AE471" s="298">
        <f t="shared" si="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 x14ac:dyDescent="0.4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>AG472+AJ472+AM472+AO472+AQ472+AS472+AU472+AW472+AY472+BA472+BC472+BE472</f>
        <v>0</v>
      </c>
      <c r="AD472" s="298">
        <v>0</v>
      </c>
      <c r="AE472" s="298">
        <f t="shared" ref="AE472:AE535" si="8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 x14ac:dyDescent="0.4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>AG473+AJ473+AM473+AO473+AQ473+AS473+AU473+AW473+AY473+BA473+BC473+BE473</f>
        <v>0</v>
      </c>
      <c r="AD473" s="298">
        <v>0</v>
      </c>
      <c r="AE473" s="298">
        <f t="shared" si="8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 x14ac:dyDescent="0.4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>AG474+AJ474+AM474+AO474+AQ474+AS474+AU474+AW474+AY474+BA474+BC474+BE474</f>
        <v>50000000</v>
      </c>
      <c r="AD474" s="298">
        <v>50000000</v>
      </c>
      <c r="AE474" s="298">
        <f t="shared" si="8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 x14ac:dyDescent="0.4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>AG475+AJ475+AM475+AO475+AQ475+AS475+AU475+AW475+AY475+BA475+BC475+BE475</f>
        <v>190000000</v>
      </c>
      <c r="AD475" s="298">
        <v>190000000</v>
      </c>
      <c r="AE475" s="298">
        <f t="shared" si="8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 x14ac:dyDescent="0.4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>AG476+AJ476+AM476+AO476+AQ476+AS476+AU476+AW476+AY476+BA476+BC476+BE476</f>
        <v>0</v>
      </c>
      <c r="AD476" s="298">
        <v>0</v>
      </c>
      <c r="AE476" s="298">
        <f t="shared" si="8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 x14ac:dyDescent="0.4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>AG477+AJ477+AM477+AO477+AQ477+AS477+AU477+AW477+AY477+BA477+BC477+BE477</f>
        <v>215000000</v>
      </c>
      <c r="AD477" s="298">
        <v>215000000</v>
      </c>
      <c r="AE477" s="298">
        <f t="shared" si="8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 x14ac:dyDescent="0.4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>AG478+AJ478+AM478+AO478+AQ478+AS478+AU478+AW478+AY478+BA478+BC478+BE478</f>
        <v>2000000</v>
      </c>
      <c r="AD478" s="298">
        <v>2000000</v>
      </c>
      <c r="AE478" s="298">
        <f t="shared" si="8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 x14ac:dyDescent="0.4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>AG479+AJ479+AM479+AO479+AQ479+AS479+AU479+AW479+AY479+BA479+BC479+BE479</f>
        <v>0</v>
      </c>
      <c r="AD479" s="298">
        <v>0</v>
      </c>
      <c r="AE479" s="298">
        <f t="shared" si="8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 x14ac:dyDescent="0.4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>AG480+AJ480+AM480+AO480+AQ480+AS480+AU480+AW480+AY480+BA480+BC480+BE480</f>
        <v>0</v>
      </c>
      <c r="AD480" s="298">
        <v>0</v>
      </c>
      <c r="AE480" s="298">
        <f t="shared" si="8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 x14ac:dyDescent="0.4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>AG481+AJ481+AM481+AO481+AQ481+AS481+AU481+AW481+AY481+BA481+BC481+BE481</f>
        <v>134500000</v>
      </c>
      <c r="AD481" s="298">
        <v>134500000</v>
      </c>
      <c r="AE481" s="298">
        <f t="shared" si="8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 x14ac:dyDescent="0.4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>AG482+AJ482+AM482+AO482+AQ482+AS482+AU482+AW482+AY482+BA482+BC482+BE482</f>
        <v>0</v>
      </c>
      <c r="AD482" s="298">
        <v>0</v>
      </c>
      <c r="AE482" s="298">
        <f t="shared" si="8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 x14ac:dyDescent="0.4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>AG483+AJ483+AM483+AO483+AQ483+AS483+AU483+AW483+AY483+BA483+BC483+BE483</f>
        <v>27318600</v>
      </c>
      <c r="AD483" s="298">
        <v>27318600</v>
      </c>
      <c r="AE483" s="298">
        <f t="shared" si="8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 x14ac:dyDescent="0.4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>AG484+AJ484+AM484+AO484+AQ484+AS484+AU484+AW484+AY484+BA484+BC484+BE484</f>
        <v>10000000</v>
      </c>
      <c r="AD484" s="298">
        <v>10000000</v>
      </c>
      <c r="AE484" s="298">
        <f t="shared" si="8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 x14ac:dyDescent="0.4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>AG485+AJ485+AM485+AO485+AQ485+AS485+AU485+AW485+AY485+BA485+BC485+BE485</f>
        <v>0</v>
      </c>
      <c r="AD485" s="298">
        <v>0</v>
      </c>
      <c r="AE485" s="298">
        <f t="shared" si="8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 x14ac:dyDescent="0.4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>AG486+AJ486+AM486+AO486+AQ486+AS486+AU486+AW486+AY486+BA486+BC486+BE486</f>
        <v>100000000</v>
      </c>
      <c r="AD486" s="298">
        <v>100000000</v>
      </c>
      <c r="AE486" s="298">
        <f t="shared" si="8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 x14ac:dyDescent="0.4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>AG487+AJ487+AM487+AO487+AQ487+AS487+AU487+AW487+AY487+BA487+BC487+BE487</f>
        <v>0</v>
      </c>
      <c r="AD487" s="298">
        <v>0</v>
      </c>
      <c r="AE487" s="298">
        <f t="shared" si="8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 x14ac:dyDescent="0.4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>AG488+AJ488+AM488+AO488+AQ488+AS488+AU488+AW488+AY488+BA488+BC488+BE488</f>
        <v>41826772</v>
      </c>
      <c r="AD488" s="298">
        <v>41826772</v>
      </c>
      <c r="AE488" s="298">
        <f t="shared" si="8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 x14ac:dyDescent="0.4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>AG489+AJ489+AM489+AO489+AQ489+AS489+AU489+AW489+AY489+BA489+BC489+BE489</f>
        <v>0</v>
      </c>
      <c r="AD489" s="298">
        <v>0</v>
      </c>
      <c r="AE489" s="298">
        <f t="shared" si="8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 x14ac:dyDescent="0.4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>AG490+AJ490+AM490+AO490+AQ490+AS490+AU490+AW490+AY490+BA490+BC490+BE490</f>
        <v>0</v>
      </c>
      <c r="AD490" s="298">
        <v>0</v>
      </c>
      <c r="AE490" s="298">
        <f t="shared" si="8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 x14ac:dyDescent="0.4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>AG491+AJ491+AM491+AO491+AQ491+AS491+AU491+AW491+AY491+BA491+BC491+BE491</f>
        <v>3930000</v>
      </c>
      <c r="AD491" s="298">
        <v>3930000</v>
      </c>
      <c r="AE491" s="298">
        <f t="shared" si="8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 x14ac:dyDescent="0.4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>AG492+AJ492+AM492+AO492+AQ492+AS492+AU492+AW492+AY492+BA492+BC492+BE492</f>
        <v>8345000</v>
      </c>
      <c r="AD492" s="298">
        <v>8345000</v>
      </c>
      <c r="AE492" s="298">
        <f t="shared" si="8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 x14ac:dyDescent="0.4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>AG493+AJ493+AM493+AO493+AQ493+AS493+AU493+AW493+AY493+BA493+BC493+BE493</f>
        <v>20400000</v>
      </c>
      <c r="AD493" s="298">
        <v>20400000</v>
      </c>
      <c r="AE493" s="298">
        <f t="shared" si="8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 x14ac:dyDescent="0.4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>AG494+AJ494+AM494+AO494+AQ494+AS494+AU494+AW494+AY494+BA494+BC494+BE494</f>
        <v>0</v>
      </c>
      <c r="AD494" s="298">
        <v>0</v>
      </c>
      <c r="AE494" s="298">
        <f t="shared" si="8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 x14ac:dyDescent="0.4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>AG495+AJ495+AM495+AO495+AQ495+AS495+AU495+AW495+AY495+BA495+BC495+BE495</f>
        <v>0</v>
      </c>
      <c r="AD495" s="298">
        <v>0</v>
      </c>
      <c r="AE495" s="298">
        <f t="shared" si="8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 x14ac:dyDescent="0.4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>AG496+AJ496+AM496+AO496+AQ496+AS496+AU496+AW496+AY496+BA496+BC496+BE496</f>
        <v>0</v>
      </c>
      <c r="AD496" s="298">
        <v>0</v>
      </c>
      <c r="AE496" s="298">
        <f t="shared" si="8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 x14ac:dyDescent="0.4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>AG497+AJ497+AM497+AO497+AQ497+AS497+AU497+AW497+AY497+BA497+BC497+BE497</f>
        <v>37491400</v>
      </c>
      <c r="AD497" s="298">
        <v>37491400</v>
      </c>
      <c r="AE497" s="298">
        <f t="shared" si="8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 x14ac:dyDescent="0.4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>AG498+AJ498+AM498+AO498+AQ498+AS498+AU498+AW498+AY498+BA498+BC498+BE498</f>
        <v>0</v>
      </c>
      <c r="AD498" s="298">
        <v>0</v>
      </c>
      <c r="AE498" s="298">
        <f t="shared" si="8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 x14ac:dyDescent="0.4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>AG499+AJ499+AM499+AO499+AQ499+AS499+AU499+AW499+AY499+BA499+BC499+BE499</f>
        <v>40000000</v>
      </c>
      <c r="AD499" s="298">
        <v>40000000</v>
      </c>
      <c r="AE499" s="298">
        <f t="shared" si="8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 x14ac:dyDescent="0.4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>AG500+AJ500+AM500+AO500+AQ500+AS500+AU500+AW500+AY500+BA500+BC500+BE500</f>
        <v>0</v>
      </c>
      <c r="AD500" s="298">
        <v>0</v>
      </c>
      <c r="AE500" s="298">
        <f t="shared" si="8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 x14ac:dyDescent="0.4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>AG501+AJ501+AM501+AO501+AQ501+AS501+AU501+AW501+AY501+BA501+BC501+BE501</f>
        <v>0</v>
      </c>
      <c r="AD501" s="298">
        <v>0</v>
      </c>
      <c r="AE501" s="298">
        <f t="shared" si="8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 x14ac:dyDescent="0.4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>AG502+AJ502+AM502+AO502+AQ502+AS502+AU502+AW502+AY502+BA502+BC502+BE502</f>
        <v>95000000</v>
      </c>
      <c r="AD502" s="298">
        <v>95000000</v>
      </c>
      <c r="AE502" s="298">
        <f t="shared" si="8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 x14ac:dyDescent="0.4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>AG503+AJ503+AM503+AO503+AQ503+AS503+AU503+AW503+AY503+BA503+BC503+BE503</f>
        <v>0</v>
      </c>
      <c r="AD503" s="298">
        <v>0</v>
      </c>
      <c r="AE503" s="298">
        <f t="shared" si="8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 x14ac:dyDescent="0.4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>AG504+AJ504+AM504+AO504+AQ504+AS504+AU504+AW504+AY504+BA504+BC504+BE504</f>
        <v>0</v>
      </c>
      <c r="AD504" s="298">
        <v>0</v>
      </c>
      <c r="AE504" s="298">
        <f t="shared" si="8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 x14ac:dyDescent="0.4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>AG505+AJ505+AM505+AO505+AQ505+AS505+AU505+AW505+AY505+BA505+BC505+BE505</f>
        <v>25000000</v>
      </c>
      <c r="AD505" s="298">
        <v>25000000</v>
      </c>
      <c r="AE505" s="298">
        <f t="shared" si="8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 x14ac:dyDescent="0.4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>AG506+AJ506+AM506+AO506+AQ506+AS506+AU506+AW506+AY506+BA506+BC506+BE506</f>
        <v>5000000</v>
      </c>
      <c r="AD506" s="298">
        <v>5000000</v>
      </c>
      <c r="AE506" s="298">
        <f t="shared" si="8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 x14ac:dyDescent="0.4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>AG507+AJ507+AM507+AO507+AQ507+AS507+AU507+AW507+AY507+BA507+BC507+BE507</f>
        <v>0</v>
      </c>
      <c r="AD507" s="298">
        <v>0</v>
      </c>
      <c r="AE507" s="298">
        <f t="shared" si="8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 x14ac:dyDescent="0.4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>AG508+AJ508+AM508+AO508+AQ508+AS508+AU508+AW508+AY508+BA508+BC508+BE508</f>
        <v>0</v>
      </c>
      <c r="AD508" s="298">
        <v>0</v>
      </c>
      <c r="AE508" s="298">
        <f t="shared" si="8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 x14ac:dyDescent="0.4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>AG509+AJ509+AM509+AO509+AQ509+AS509+AU509+AW509+AY509+BA509+BC509+BE509</f>
        <v>10000000</v>
      </c>
      <c r="AD509" s="298">
        <v>10000000</v>
      </c>
      <c r="AE509" s="298">
        <f t="shared" si="8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 x14ac:dyDescent="0.4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>AG510+AJ510+AM510+AO510+AQ510+AS510+AU510+AW510+AY510+BA510+BC510+BE510</f>
        <v>1334000</v>
      </c>
      <c r="AD510" s="298">
        <v>1334000</v>
      </c>
      <c r="AE510" s="298">
        <f t="shared" si="8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 x14ac:dyDescent="0.4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>AG511+AJ511+AM511+AO511+AQ511+AS511+AU511+AW511+AY511+BA511+BC511+BE511</f>
        <v>46773714</v>
      </c>
      <c r="AD511" s="298">
        <v>46773714</v>
      </c>
      <c r="AE511" s="298">
        <f t="shared" si="8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 x14ac:dyDescent="0.4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>AG512+AJ512+AM512+AO512+AQ512+AS512+AU512+AW512+AY512+BA512+BC512+BE512</f>
        <v>50000000</v>
      </c>
      <c r="AD512" s="298">
        <v>50000000</v>
      </c>
      <c r="AE512" s="298">
        <f t="shared" si="8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 x14ac:dyDescent="0.4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>AG513+AJ513+AM513+AO513+AQ513+AS513+AU513+AW513+AY513+BA513+BC513+BE513</f>
        <v>36000000</v>
      </c>
      <c r="AD513" s="298">
        <v>36000000</v>
      </c>
      <c r="AE513" s="298">
        <f t="shared" si="8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 x14ac:dyDescent="0.4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>AG514+AJ514+AM514+AO514+AQ514+AS514+AU514+AW514+AY514+BA514+BC514+BE514</f>
        <v>40000000</v>
      </c>
      <c r="AD514" s="298">
        <v>40000000</v>
      </c>
      <c r="AE514" s="298">
        <f t="shared" si="8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 x14ac:dyDescent="0.4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>AG515+AJ515+AM515+AO515+AQ515+AS515+AU515+AW515+AY515+BA515+BC515+BE515</f>
        <v>3000000</v>
      </c>
      <c r="AD515" s="298">
        <v>3000000</v>
      </c>
      <c r="AE515" s="298">
        <f t="shared" si="8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 x14ac:dyDescent="0.4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>AG516+AJ516+AM516+AO516+AQ516+AS516+AU516+AW516+AY516+BA516+BC516+BE516</f>
        <v>5000000</v>
      </c>
      <c r="AD516" s="298">
        <v>5000000</v>
      </c>
      <c r="AE516" s="298">
        <f t="shared" si="8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 x14ac:dyDescent="0.4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>AG517+AJ517+AM517+AO517+AQ517+AS517+AU517+AW517+AY517+BA517+BC517+BE517</f>
        <v>10000000</v>
      </c>
      <c r="AD517" s="298">
        <v>10000000</v>
      </c>
      <c r="AE517" s="298">
        <f t="shared" si="8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 x14ac:dyDescent="0.4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>AG518+AJ518+AM518+AO518+AQ518+AS518+AU518+AW518+AY518+BA518+BC518+BE518</f>
        <v>2000000</v>
      </c>
      <c r="AD518" s="298">
        <v>2000000</v>
      </c>
      <c r="AE518" s="298">
        <f t="shared" si="8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 x14ac:dyDescent="0.4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>AG519+AJ519+AM519+AO519+AQ519+AS519+AU519+AW519+AY519+BA519+BC519+BE519</f>
        <v>35000000</v>
      </c>
      <c r="AD519" s="298">
        <v>35000000</v>
      </c>
      <c r="AE519" s="298">
        <f t="shared" si="8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 x14ac:dyDescent="0.4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>AG520+AJ520+AM520+AO520+AQ520+AS520+AU520+AW520+AY520+BA520+BC520+BE520</f>
        <v>0</v>
      </c>
      <c r="AD520" s="298">
        <v>0</v>
      </c>
      <c r="AE520" s="298">
        <f t="shared" si="8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 x14ac:dyDescent="0.4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>AG521+AJ521+AM521+AO521+AQ521+AS521+AU521+AW521+AY521+BA521+BC521+BE521</f>
        <v>28382650</v>
      </c>
      <c r="AD521" s="298">
        <v>28382650</v>
      </c>
      <c r="AE521" s="298">
        <f t="shared" si="8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 x14ac:dyDescent="0.4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>AG522+AJ522+AM522+AO522+AQ522+AS522+AU522+AW522+AY522+BA522+BC522+BE522</f>
        <v>0</v>
      </c>
      <c r="AD522" s="298">
        <v>0</v>
      </c>
      <c r="AE522" s="298">
        <f t="shared" si="8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 x14ac:dyDescent="0.4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>AG523+AJ523+AM523+AO523+AQ523+AS523+AU523+AW523+AY523+BA523+BC523+BE523</f>
        <v>0</v>
      </c>
      <c r="AD523" s="298">
        <v>0</v>
      </c>
      <c r="AE523" s="298">
        <f t="shared" si="8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 x14ac:dyDescent="0.4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>AG524+AJ524+AM524+AO524+AQ524+AS524+AU524+AW524+AY524+BA524+BC524+BE524</f>
        <v>18000000</v>
      </c>
      <c r="AD524" s="298">
        <v>18000000</v>
      </c>
      <c r="AE524" s="298">
        <f t="shared" si="8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 x14ac:dyDescent="0.4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>AG525+AJ525+AM525+AO525+AQ525+AS525+AU525+AW525+AY525+BA525+BC525+BE525</f>
        <v>30000000</v>
      </c>
      <c r="AD525" s="298">
        <v>30000000</v>
      </c>
      <c r="AE525" s="298">
        <f t="shared" si="8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 x14ac:dyDescent="0.4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>AG526+AJ526+AM526+AO526+AQ526+AS526+AU526+AW526+AY526+BA526+BC526+BE526</f>
        <v>103531330</v>
      </c>
      <c r="AD526" s="298">
        <v>103531330</v>
      </c>
      <c r="AE526" s="298">
        <f t="shared" si="8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 x14ac:dyDescent="0.4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>AG527+AJ527+AM527+AO527+AQ527+AS527+AU527+AW527+AY527+BA527+BC527+BE527</f>
        <v>0</v>
      </c>
      <c r="AD527" s="298">
        <v>0</v>
      </c>
      <c r="AE527" s="298">
        <f t="shared" si="8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 x14ac:dyDescent="0.4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>AG528+AJ528+AM528+AO528+AQ528+AS528+AU528+AW528+AY528+BA528+BC528+BE528</f>
        <v>10000000</v>
      </c>
      <c r="AD528" s="298">
        <v>10000000</v>
      </c>
      <c r="AE528" s="298">
        <f t="shared" si="8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 x14ac:dyDescent="0.4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>AG529+AJ529+AM529+AO529+AQ529+AS529+AU529+AW529+AY529+BA529+BC529+BE529</f>
        <v>16000000</v>
      </c>
      <c r="AD529" s="298">
        <v>16000000</v>
      </c>
      <c r="AE529" s="298">
        <f t="shared" si="8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 x14ac:dyDescent="0.4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>AG530+AJ530+AM530+AO530+AQ530+AS530+AU530+AW530+AY530+BA530+BC530+BE530</f>
        <v>37564200</v>
      </c>
      <c r="AD530" s="298">
        <v>37564200</v>
      </c>
      <c r="AE530" s="298">
        <f t="shared" si="8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 x14ac:dyDescent="0.4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>AG531+AJ531+AM531+AO531+AQ531+AS531+AU531+AW531+AY531+BA531+BC531+BE531</f>
        <v>2400000</v>
      </c>
      <c r="AD531" s="298">
        <v>2400000</v>
      </c>
      <c r="AE531" s="298">
        <f t="shared" si="8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 x14ac:dyDescent="0.4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>AG532+AJ532+AM532+AO532+AQ532+AS532+AU532+AW532+AY532+BA532+BC532+BE532</f>
        <v>90000</v>
      </c>
      <c r="AD532" s="298">
        <v>90000</v>
      </c>
      <c r="AE532" s="298">
        <f t="shared" si="8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 x14ac:dyDescent="0.4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>AG533+AJ533+AM533+AO533+AQ533+AS533+AU533+AW533+AY533+BA533+BC533+BE533</f>
        <v>10440000</v>
      </c>
      <c r="AD533" s="298">
        <v>10440000</v>
      </c>
      <c r="AE533" s="298">
        <f t="shared" si="8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 x14ac:dyDescent="0.4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>AG534+AJ534+AM534+AO534+AQ534+AS534+AU534+AW534+AY534+BA534+BC534+BE534</f>
        <v>6000000</v>
      </c>
      <c r="AD534" s="298">
        <v>6000000</v>
      </c>
      <c r="AE534" s="298">
        <f t="shared" si="8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 x14ac:dyDescent="0.4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>AG535+AJ535+AM535+AO535+AQ535+AS535+AU535+AW535+AY535+BA535+BC535+BE535</f>
        <v>489000</v>
      </c>
      <c r="AD535" s="298">
        <v>489000</v>
      </c>
      <c r="AE535" s="298">
        <f t="shared" si="8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 x14ac:dyDescent="0.4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>AG536+AJ536+AM536+AO536+AQ536+AS536+AU536+AW536+AY536+BA536+BC536+BE536</f>
        <v>0</v>
      </c>
      <c r="AD536" s="298">
        <v>0</v>
      </c>
      <c r="AE536" s="298">
        <f t="shared" ref="AE536:AE599" si="9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 x14ac:dyDescent="0.4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>AG537+AJ537+AM537+AO537+AQ537+AS537+AU537+AW537+AY537+BA537+BC537+BE537</f>
        <v>107710007</v>
      </c>
      <c r="AD537" s="298">
        <v>107710007</v>
      </c>
      <c r="AE537" s="298">
        <f t="shared" si="9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 x14ac:dyDescent="0.4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>AG538+AJ538+AM538+AO538+AQ538+AS538+AU538+AW538+AY538+BA538+BC538+BE538</f>
        <v>0</v>
      </c>
      <c r="AD538" s="298">
        <v>0</v>
      </c>
      <c r="AE538" s="298">
        <f t="shared" si="9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 x14ac:dyDescent="0.4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>AG539+AJ539+AM539+AO539+AQ539+AS539+AU539+AW539+AY539+BA539+BC539+BE539</f>
        <v>1000000</v>
      </c>
      <c r="AD539" s="298">
        <v>1000000</v>
      </c>
      <c r="AE539" s="298">
        <f t="shared" si="9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 x14ac:dyDescent="0.4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>AG540+AJ540+AM540+AO540+AQ540+AS540+AU540+AW540+AY540+BA540+BC540+BE540</f>
        <v>5000000</v>
      </c>
      <c r="AD540" s="298">
        <v>5000000</v>
      </c>
      <c r="AE540" s="298">
        <f t="shared" si="9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 x14ac:dyDescent="0.4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>AG541+AJ541+AM541+AO541+AQ541+AS541+AU541+AW541+AY541+BA541+BC541+BE541</f>
        <v>0</v>
      </c>
      <c r="AD541" s="298">
        <v>0</v>
      </c>
      <c r="AE541" s="298">
        <f t="shared" si="9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 x14ac:dyDescent="0.4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>AG542+AJ542+AM542+AO542+AQ542+AS542+AU542+AW542+AY542+BA542+BC542+BE542</f>
        <v>0</v>
      </c>
      <c r="AD542" s="298">
        <v>0</v>
      </c>
      <c r="AE542" s="298">
        <f t="shared" si="9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 x14ac:dyDescent="0.4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>AG543+AJ543+AM543+AO543+AQ543+AS543+AU543+AW543+AY543+BA543+BC543+BE543</f>
        <v>157500000</v>
      </c>
      <c r="AD543" s="298">
        <v>157500000</v>
      </c>
      <c r="AE543" s="298">
        <f t="shared" si="9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 x14ac:dyDescent="0.4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>AG544+AJ544+AM544+AO544+AQ544+AS544+AU544+AW544+AY544+BA544+BC544+BE544</f>
        <v>5000000</v>
      </c>
      <c r="AD544" s="298">
        <v>5000000</v>
      </c>
      <c r="AE544" s="298">
        <f t="shared" si="9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 x14ac:dyDescent="0.4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>AG545+AJ545+AM545+AO545+AQ545+AS545+AU545+AW545+AY545+BA545+BC545+BE545</f>
        <v>2413000</v>
      </c>
      <c r="AD545" s="298">
        <v>2413000</v>
      </c>
      <c r="AE545" s="298">
        <f t="shared" si="9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 x14ac:dyDescent="0.4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>AG546+AJ546+AM546+AO546+AQ546+AS546+AU546+AW546+AY546+BA546+BC546+BE546</f>
        <v>0</v>
      </c>
      <c r="AD546" s="298">
        <v>0</v>
      </c>
      <c r="AE546" s="298">
        <f t="shared" si="9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 x14ac:dyDescent="0.4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>AG547+AJ547+AM547+AO547+AQ547+AS547+AU547+AW547+AY547+BA547+BC547+BE547</f>
        <v>188000000</v>
      </c>
      <c r="AD547" s="298">
        <v>188000000</v>
      </c>
      <c r="AE547" s="298">
        <f t="shared" si="9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 x14ac:dyDescent="0.4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>AG548+AJ548+AM548+AO548+AQ548+AS548+AU548+AW548+AY548+BA548+BC548+BE548</f>
        <v>10000000</v>
      </c>
      <c r="AD548" s="298">
        <v>10000000</v>
      </c>
      <c r="AE548" s="298">
        <f t="shared" si="9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 x14ac:dyDescent="0.4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>AG549+AJ549+AM549+AO549+AQ549+AS549+AU549+AW549+AY549+BA549+BC549+BE549</f>
        <v>5000000</v>
      </c>
      <c r="AD549" s="298">
        <v>5000000</v>
      </c>
      <c r="AE549" s="298">
        <f t="shared" si="9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 x14ac:dyDescent="0.4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>AG550+AJ550+AM550+AO550+AQ550+AS550+AU550+AW550+AY550+BA550+BC550+BE550</f>
        <v>1000000</v>
      </c>
      <c r="AD550" s="298">
        <v>1000000</v>
      </c>
      <c r="AE550" s="298">
        <f t="shared" si="9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 x14ac:dyDescent="0.4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>AG551+AJ551+AM551+AO551+AQ551+AS551+AU551+AW551+AY551+BA551+BC551+BE551</f>
        <v>1800000</v>
      </c>
      <c r="AD551" s="298">
        <v>1800000</v>
      </c>
      <c r="AE551" s="298">
        <f t="shared" si="9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 x14ac:dyDescent="0.4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>AG552+AJ552+AM552+AO552+AQ552+AS552+AU552+AW552+AY552+BA552+BC552+BE552</f>
        <v>0</v>
      </c>
      <c r="AD552" s="298">
        <v>0</v>
      </c>
      <c r="AE552" s="298">
        <f t="shared" si="9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 x14ac:dyDescent="0.4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>AG553+AJ553+AM553+AO553+AQ553+AS553+AU553+AW553+AY553+BA553+BC553+BE553</f>
        <v>0</v>
      </c>
      <c r="AD553" s="298">
        <v>0</v>
      </c>
      <c r="AE553" s="298">
        <f t="shared" si="9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 x14ac:dyDescent="0.4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>AG554+AJ554+AM554+AO554+AQ554+AS554+AU554+AW554+AY554+BA554+BC554+BE554</f>
        <v>436239200</v>
      </c>
      <c r="AD554" s="298">
        <v>436239200</v>
      </c>
      <c r="AE554" s="298">
        <f t="shared" si="9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 x14ac:dyDescent="0.4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>AG555+AJ555+AM555+AO555+AQ555+AS555+AU555+AW555+AY555+BA555+BC555+BE555</f>
        <v>0</v>
      </c>
      <c r="AD555" s="298">
        <v>0</v>
      </c>
      <c r="AE555" s="298">
        <f t="shared" si="9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 x14ac:dyDescent="0.4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>AG556+AJ556+AM556+AO556+AQ556+AS556+AU556+AW556+AY556+BA556+BC556+BE556</f>
        <v>1250901442</v>
      </c>
      <c r="AD556" s="298">
        <v>1250901442</v>
      </c>
      <c r="AE556" s="298">
        <f t="shared" si="9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 x14ac:dyDescent="0.4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>AG557+AJ557+AM557+AO557+AQ557+AS557+AU557+AW557+AY557+BA557+BC557+BE557</f>
        <v>99000000</v>
      </c>
      <c r="AD557" s="298">
        <v>99000000</v>
      </c>
      <c r="AE557" s="298">
        <f t="shared" si="9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 x14ac:dyDescent="0.4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>AG558+AJ558+AM558+AO558+AQ558+AS558+AU558+AW558+AY558+BA558+BC558+BE558</f>
        <v>0</v>
      </c>
      <c r="AD558" s="298">
        <v>0</v>
      </c>
      <c r="AE558" s="298">
        <f t="shared" si="9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 x14ac:dyDescent="0.4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>AG559+AJ559+AM559+AO559+AQ559+AS559+AU559+AW559+AY559+BA559+BC559+BE559</f>
        <v>0</v>
      </c>
      <c r="AD559" s="298">
        <v>0</v>
      </c>
      <c r="AE559" s="298">
        <f t="shared" si="9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 x14ac:dyDescent="0.4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>AG560+AJ560+AM560+AO560+AQ560+AS560+AU560+AW560+AY560+BA560+BC560+BE560</f>
        <v>25000000</v>
      </c>
      <c r="AD560" s="298">
        <v>25000000</v>
      </c>
      <c r="AE560" s="298">
        <f t="shared" si="9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 x14ac:dyDescent="0.4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>AG561+AJ561+AM561+AO561+AQ561+AS561+AU561+AW561+AY561+BA561+BC561+BE561</f>
        <v>30000000</v>
      </c>
      <c r="AD561" s="298">
        <v>30000000</v>
      </c>
      <c r="AE561" s="298">
        <f t="shared" si="9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 x14ac:dyDescent="0.4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>AG562+AJ562+AM562+AO562+AQ562+AS562+AU562+AW562+AY562+BA562+BC562+BE562</f>
        <v>10000000</v>
      </c>
      <c r="AD562" s="298">
        <v>10000000</v>
      </c>
      <c r="AE562" s="298">
        <f t="shared" si="9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 x14ac:dyDescent="0.4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>AG563+AJ563+AM563+AO563+AQ563+AS563+AU563+AW563+AY563+BA563+BC563+BE563</f>
        <v>0</v>
      </c>
      <c r="AD563" s="298">
        <v>0</v>
      </c>
      <c r="AE563" s="298">
        <f t="shared" si="9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 x14ac:dyDescent="0.4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>AG564+AJ564+AM564+AO564+AQ564+AS564+AU564+AW564+AY564+BA564+BC564+BE564</f>
        <v>1000000</v>
      </c>
      <c r="AD564" s="298">
        <v>1000000</v>
      </c>
      <c r="AE564" s="298">
        <f t="shared" si="9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 x14ac:dyDescent="0.4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>AG565+AJ565+AM565+AO565+AQ565+AS565+AU565+AW565+AY565+BA565+BC565+BE565</f>
        <v>7500000</v>
      </c>
      <c r="AD565" s="298">
        <v>7500000</v>
      </c>
      <c r="AE565" s="298">
        <f t="shared" si="9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 x14ac:dyDescent="0.4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>AG566+AJ566+AM566+AO566+AQ566+AS566+AU566+AW566+AY566+BA566+BC566+BE566</f>
        <v>0</v>
      </c>
      <c r="AD566" s="298">
        <v>0</v>
      </c>
      <c r="AE566" s="298">
        <f t="shared" si="9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 x14ac:dyDescent="0.4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>AG567+AJ567+AM567+AO567+AQ567+AS567+AU567+AW567+AY567+BA567+BC567+BE567</f>
        <v>7200000</v>
      </c>
      <c r="AD567" s="298">
        <v>7200000</v>
      </c>
      <c r="AE567" s="298">
        <f t="shared" si="9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 x14ac:dyDescent="0.4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>AG568+AJ568+AM568+AO568+AQ568+AS568+AU568+AW568+AY568+BA568+BC568+BE568</f>
        <v>0</v>
      </c>
      <c r="AD568" s="298">
        <v>0</v>
      </c>
      <c r="AE568" s="298">
        <f t="shared" si="9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 x14ac:dyDescent="0.4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>AG569+AJ569+AM569+AO569+AQ569+AS569+AU569+AW569+AY569+BA569+BC569+BE569</f>
        <v>0</v>
      </c>
      <c r="AD569" s="298">
        <v>0</v>
      </c>
      <c r="AE569" s="298">
        <f t="shared" si="9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 x14ac:dyDescent="0.4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>AG570+AJ570+AM570+AO570+AQ570+AS570+AU570+AW570+AY570+BA570+BC570+BE570</f>
        <v>0</v>
      </c>
      <c r="AD570" s="298">
        <v>0</v>
      </c>
      <c r="AE570" s="298">
        <f t="shared" si="9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 x14ac:dyDescent="0.4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>AG571+AJ571+AM571+AO571+AQ571+AS571+AU571+AW571+AY571+BA571+BC571+BE571</f>
        <v>4500000</v>
      </c>
      <c r="AD571" s="298">
        <v>4500000</v>
      </c>
      <c r="AE571" s="298">
        <f t="shared" si="9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 x14ac:dyDescent="0.4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>AG572+AJ572+AM572+AO572+AQ572+AS572+AU572+AW572+AY572+BA572+BC572+BE572</f>
        <v>4000000</v>
      </c>
      <c r="AD572" s="298">
        <v>4000000</v>
      </c>
      <c r="AE572" s="298">
        <f t="shared" si="9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 x14ac:dyDescent="0.4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>AG573+AJ573+AM573+AO573+AQ573+AS573+AU573+AW573+AY573+BA573+BC573+BE573</f>
        <v>5000000</v>
      </c>
      <c r="AD573" s="298">
        <v>5000000</v>
      </c>
      <c r="AE573" s="298">
        <f t="shared" si="9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 x14ac:dyDescent="0.4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>AG574+AJ574+AM574+AO574+AQ574+AS574+AU574+AW574+AY574+BA574+BC574+BE574</f>
        <v>0</v>
      </c>
      <c r="AD574" s="298">
        <v>0</v>
      </c>
      <c r="AE574" s="298">
        <f t="shared" si="9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 x14ac:dyDescent="0.4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>AG575+AJ575+AM575+AO575+AQ575+AS575+AU575+AW575+AY575+BA575+BC575+BE575</f>
        <v>0</v>
      </c>
      <c r="AD575" s="298">
        <v>0</v>
      </c>
      <c r="AE575" s="298">
        <f t="shared" si="9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 x14ac:dyDescent="0.4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>AG576+AJ576+AM576+AO576+AQ576+AS576+AU576+AW576+AY576+BA576+BC576+BE576</f>
        <v>0</v>
      </c>
      <c r="AD576" s="298">
        <v>0</v>
      </c>
      <c r="AE576" s="298">
        <f t="shared" si="9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 x14ac:dyDescent="0.4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>AG577+AJ577+AM577+AO577+AQ577+AS577+AU577+AW577+AY577+BA577+BC577+BE577</f>
        <v>60000000</v>
      </c>
      <c r="AD577" s="298">
        <v>60000000</v>
      </c>
      <c r="AE577" s="298">
        <f t="shared" si="9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 x14ac:dyDescent="0.4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>AG578+AJ578+AM578+AO578+AQ578+AS578+AU578+AW578+AY578+BA578+BC578+BE578</f>
        <v>48000000</v>
      </c>
      <c r="AD578" s="298">
        <v>48000000</v>
      </c>
      <c r="AE578" s="298">
        <f t="shared" si="9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 x14ac:dyDescent="0.4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>AG579+AJ579+AM579+AO579+AQ579+AS579+AU579+AW579+AY579+BA579+BC579+BE579</f>
        <v>0</v>
      </c>
      <c r="AD579" s="298">
        <v>0</v>
      </c>
      <c r="AE579" s="298">
        <f t="shared" si="9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 x14ac:dyDescent="0.4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>AG580+AJ580+AM580+AO580+AQ580+AS580+AU580+AW580+AY580+BA580+BC580+BE580</f>
        <v>0</v>
      </c>
      <c r="AD580" s="298">
        <v>0</v>
      </c>
      <c r="AE580" s="298">
        <f t="shared" si="9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 x14ac:dyDescent="0.4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>AG581+AJ581+AM581+AO581+AQ581+AS581+AU581+AW581+AY581+BA581+BC581+BE581</f>
        <v>10000000</v>
      </c>
      <c r="AD581" s="298">
        <v>10000000</v>
      </c>
      <c r="AE581" s="298">
        <f t="shared" si="9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 x14ac:dyDescent="0.4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>AG582+AJ582+AM582+AO582+AQ582+AS582+AU582+AW582+AY582+BA582+BC582+BE582</f>
        <v>1000000</v>
      </c>
      <c r="AD582" s="298">
        <v>1000000</v>
      </c>
      <c r="AE582" s="298">
        <f t="shared" si="9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 x14ac:dyDescent="0.4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>AG583+AJ583+AM583+AO583+AQ583+AS583+AU583+AW583+AY583+BA583+BC583+BE583</f>
        <v>1000000</v>
      </c>
      <c r="AD583" s="298">
        <v>1000000</v>
      </c>
      <c r="AE583" s="298">
        <f t="shared" si="9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 x14ac:dyDescent="0.4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>AG584+AJ584+AM584+AO584+AQ584+AS584+AU584+AW584+AY584+BA584+BC584+BE584</f>
        <v>5628000</v>
      </c>
      <c r="AD584" s="298">
        <v>5628000</v>
      </c>
      <c r="AE584" s="298">
        <f t="shared" si="9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 x14ac:dyDescent="0.4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>AG585+AJ585+AM585+AO585+AQ585+AS585+AU585+AW585+AY585+BA585+BC585+BE585</f>
        <v>4596000</v>
      </c>
      <c r="AD585" s="298">
        <v>4596000</v>
      </c>
      <c r="AE585" s="298">
        <f t="shared" si="9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 x14ac:dyDescent="0.4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>AG586+AJ586+AM586+AO586+AQ586+AS586+AU586+AW586+AY586+BA586+BC586+BE586</f>
        <v>2000000</v>
      </c>
      <c r="AD586" s="298">
        <v>2000000</v>
      </c>
      <c r="AE586" s="298">
        <f t="shared" si="9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 x14ac:dyDescent="0.4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>AG587+AJ587+AM587+AO587+AQ587+AS587+AU587+AW587+AY587+BA587+BC587+BE587</f>
        <v>0</v>
      </c>
      <c r="AD587" s="298">
        <v>0</v>
      </c>
      <c r="AE587" s="298">
        <f t="shared" si="9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 x14ac:dyDescent="0.4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>AG588+AJ588+AM588+AO588+AQ588+AS588+AU588+AW588+AY588+BA588+BC588+BE588</f>
        <v>0</v>
      </c>
      <c r="AD588" s="298">
        <v>0</v>
      </c>
      <c r="AE588" s="298">
        <f t="shared" si="9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 x14ac:dyDescent="0.4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>AG589+AJ589+AM589+AO589+AQ589+AS589+AU589+AW589+AY589+BA589+BC589+BE589</f>
        <v>0</v>
      </c>
      <c r="AD589" s="298">
        <v>0</v>
      </c>
      <c r="AE589" s="298">
        <f t="shared" si="9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 x14ac:dyDescent="0.4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>AG590+AJ590+AM590+AO590+AQ590+AS590+AU590+AW590+AY590+BA590+BC590+BE590</f>
        <v>1164000</v>
      </c>
      <c r="AD590" s="298">
        <v>1164000</v>
      </c>
      <c r="AE590" s="298">
        <f t="shared" si="9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 x14ac:dyDescent="0.4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>AG591+AJ591+AM591+AO591+AQ591+AS591+AU591+AW591+AY591+BA591+BC591+BE591</f>
        <v>0</v>
      </c>
      <c r="AD591" s="298">
        <v>0</v>
      </c>
      <c r="AE591" s="298">
        <f t="shared" si="9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 x14ac:dyDescent="0.4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>AG592+AJ592+AM592+AO592+AQ592+AS592+AU592+AW592+AY592+BA592+BC592+BE592</f>
        <v>318000</v>
      </c>
      <c r="AD592" s="298">
        <v>318000</v>
      </c>
      <c r="AE592" s="298">
        <f t="shared" si="9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 x14ac:dyDescent="0.4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>AG593+AJ593+AM593+AO593+AQ593+AS593+AU593+AW593+AY593+BA593+BC593+BE593</f>
        <v>11000000</v>
      </c>
      <c r="AD593" s="298">
        <v>11000000</v>
      </c>
      <c r="AE593" s="298">
        <f t="shared" si="9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 x14ac:dyDescent="0.4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>AG594+AJ594+AM594+AO594+AQ594+AS594+AU594+AW594+AY594+BA594+BC594+BE594</f>
        <v>10720000</v>
      </c>
      <c r="AD594" s="298">
        <v>10720000</v>
      </c>
      <c r="AE594" s="298">
        <f t="shared" si="9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 x14ac:dyDescent="0.4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>AG595+AJ595+AM595+AO595+AQ595+AS595+AU595+AW595+AY595+BA595+BC595+BE595</f>
        <v>9000000</v>
      </c>
      <c r="AD595" s="298">
        <v>9000000</v>
      </c>
      <c r="AE595" s="298">
        <f t="shared" si="9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 x14ac:dyDescent="0.4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>AG596+AJ596+AM596+AO596+AQ596+AS596+AU596+AW596+AY596+BA596+BC596+BE596</f>
        <v>20000000</v>
      </c>
      <c r="AD596" s="298">
        <v>20000000</v>
      </c>
      <c r="AE596" s="298">
        <f t="shared" si="9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 x14ac:dyDescent="0.4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>AG597+AJ597+AM597+AO597+AQ597+AS597+AU597+AW597+AY597+BA597+BC597+BE597</f>
        <v>0</v>
      </c>
      <c r="AD597" s="298">
        <v>0</v>
      </c>
      <c r="AE597" s="298">
        <f t="shared" si="9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 x14ac:dyDescent="0.4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>AG598+AJ598+AM598+AO598+AQ598+AS598+AU598+AW598+AY598+BA598+BC598+BE598</f>
        <v>4010000</v>
      </c>
      <c r="AD598" s="298">
        <v>4010000</v>
      </c>
      <c r="AE598" s="298">
        <f t="shared" si="9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 x14ac:dyDescent="0.4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>AG599+AJ599+AM599+AO599+AQ599+AS599+AU599+AW599+AY599+BA599+BC599+BE599</f>
        <v>3000000</v>
      </c>
      <c r="AD599" s="298">
        <v>3000000</v>
      </c>
      <c r="AE599" s="298">
        <f t="shared" si="9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 x14ac:dyDescent="0.4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>AG600+AJ600+AM600+AO600+AQ600+AS600+AU600+AW600+AY600+BA600+BC600+BE600</f>
        <v>0</v>
      </c>
      <c r="AD600" s="298">
        <v>0</v>
      </c>
      <c r="AE600" s="298">
        <f t="shared" ref="AE600:AE663" si="10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 x14ac:dyDescent="0.4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>AG601+AJ601+AM601+AO601+AQ601+AS601+AU601+AW601+AY601+BA601+BC601+BE601</f>
        <v>0</v>
      </c>
      <c r="AD601" s="298">
        <v>0</v>
      </c>
      <c r="AE601" s="298">
        <f t="shared" si="10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 x14ac:dyDescent="0.4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>AG602+AJ602+AM602+AO602+AQ602+AS602+AU602+AW602+AY602+BA602+BC602+BE602</f>
        <v>0</v>
      </c>
      <c r="AD602" s="298">
        <v>0</v>
      </c>
      <c r="AE602" s="298">
        <f t="shared" si="10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 x14ac:dyDescent="0.4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>AG603+AJ603+AM603+AO603+AQ603+AS603+AU603+AW603+AY603+BA603+BC603+BE603</f>
        <v>35000000</v>
      </c>
      <c r="AD603" s="298">
        <v>35000000</v>
      </c>
      <c r="AE603" s="298">
        <f t="shared" si="10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 x14ac:dyDescent="0.4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>AG604+AJ604+AM604+AO604+AQ604+AS604+AU604+AW604+AY604+BA604+BC604+BE604</f>
        <v>76363636</v>
      </c>
      <c r="AD604" s="298">
        <v>76363636</v>
      </c>
      <c r="AE604" s="298">
        <f t="shared" si="10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 x14ac:dyDescent="0.4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>AG605+AJ605+AM605+AO605+AQ605+AS605+AU605+AW605+AY605+BA605+BC605+BE605</f>
        <v>0</v>
      </c>
      <c r="AD605" s="298">
        <v>0</v>
      </c>
      <c r="AE605" s="298">
        <f t="shared" si="10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 x14ac:dyDescent="0.4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>AG606+AJ606+AM606+AO606+AQ606+AS606+AU606+AW606+AY606+BA606+BC606+BE606</f>
        <v>0</v>
      </c>
      <c r="AD606" s="298">
        <v>0</v>
      </c>
      <c r="AE606" s="298">
        <f t="shared" si="10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 x14ac:dyDescent="0.4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>AG607+AJ607+AM607+AO607+AQ607+AS607+AU607+AW607+AY607+BA607+BC607+BE607</f>
        <v>5000000</v>
      </c>
      <c r="AD607" s="298">
        <v>5000000</v>
      </c>
      <c r="AE607" s="298">
        <f t="shared" si="10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 x14ac:dyDescent="0.4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>AG608+AJ608+AM608+AO608+AQ608+AS608+AU608+AW608+AY608+BA608+BC608+BE608</f>
        <v>5000000</v>
      </c>
      <c r="AD608" s="298">
        <v>5000000</v>
      </c>
      <c r="AE608" s="298">
        <f t="shared" si="10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 x14ac:dyDescent="0.4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>AG609+AJ609+AM609+AO609+AQ609+AS609+AU609+AW609+AY609+BA609+BC609+BE609</f>
        <v>1998000</v>
      </c>
      <c r="AD609" s="298">
        <v>1998000</v>
      </c>
      <c r="AE609" s="298">
        <f t="shared" si="10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 x14ac:dyDescent="0.4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>AG610+AJ610+AM610+AO610+AQ610+AS610+AU610+AW610+AY610+BA610+BC610+BE610</f>
        <v>0</v>
      </c>
      <c r="AD610" s="298">
        <v>0</v>
      </c>
      <c r="AE610" s="298">
        <f t="shared" si="10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 x14ac:dyDescent="0.4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>AG611+AJ611+AM611+AO611+AQ611+AS611+AU611+AW611+AY611+BA611+BC611+BE611</f>
        <v>10000000</v>
      </c>
      <c r="AD611" s="298">
        <v>10000000</v>
      </c>
      <c r="AE611" s="298">
        <f t="shared" si="10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 x14ac:dyDescent="0.4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>AG612+AJ612+AM612+AO612+AQ612+AS612+AU612+AW612+AY612+BA612+BC612+BE612</f>
        <v>30853950</v>
      </c>
      <c r="AD612" s="298">
        <v>30853950</v>
      </c>
      <c r="AE612" s="298">
        <f t="shared" si="10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 x14ac:dyDescent="0.4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>AG613+AJ613+AM613+AO613+AQ613+AS613+AU613+AW613+AY613+BA613+BC613+BE613</f>
        <v>10000000</v>
      </c>
      <c r="AD613" s="298">
        <v>10000000</v>
      </c>
      <c r="AE613" s="298">
        <f t="shared" si="10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 x14ac:dyDescent="0.4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>AG614+AJ614+AM614+AO614+AQ614+AS614+AU614+AW614+AY614+BA614+BC614+BE614</f>
        <v>10000000</v>
      </c>
      <c r="AD614" s="298">
        <v>10000000</v>
      </c>
      <c r="AE614" s="298">
        <f t="shared" si="10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 x14ac:dyDescent="0.4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>AG615+AJ615+AM615+AO615+AQ615+AS615+AU615+AW615+AY615+BA615+BC615+BE615</f>
        <v>0</v>
      </c>
      <c r="AD615" s="298">
        <v>0</v>
      </c>
      <c r="AE615" s="298">
        <f t="shared" si="10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 x14ac:dyDescent="0.4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>AG616+AJ616+AM616+AO616+AQ616+AS616+AU616+AW616+AY616+BA616+BC616+BE616</f>
        <v>2000000</v>
      </c>
      <c r="AD616" s="298">
        <v>2000000</v>
      </c>
      <c r="AE616" s="298">
        <f t="shared" si="10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 x14ac:dyDescent="0.4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>AG617+AJ617+AM617+AO617+AQ617+AS617+AU617+AW617+AY617+BA617+BC617+BE617</f>
        <v>1000000</v>
      </c>
      <c r="AD617" s="298">
        <v>1000000</v>
      </c>
      <c r="AE617" s="298">
        <f t="shared" si="10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 x14ac:dyDescent="0.4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>AG618+AJ618+AM618+AO618+AQ618+AS618+AU618+AW618+AY618+BA618+BC618+BE618</f>
        <v>0</v>
      </c>
      <c r="AD618" s="298">
        <v>0</v>
      </c>
      <c r="AE618" s="298">
        <f t="shared" si="10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 x14ac:dyDescent="0.4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>AG619+AJ619+AM619+AO619+AQ619+AS619+AU619+AW619+AY619+BA619+BC619+BE619</f>
        <v>0</v>
      </c>
      <c r="AD619" s="298">
        <v>0</v>
      </c>
      <c r="AE619" s="298">
        <f t="shared" si="10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 x14ac:dyDescent="0.4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>AG620+AJ620+AM620+AO620+AQ620+AS620+AU620+AW620+AY620+BA620+BC620+BE620</f>
        <v>1028000</v>
      </c>
      <c r="AD620" s="298">
        <v>1028000</v>
      </c>
      <c r="AE620" s="298">
        <f t="shared" si="10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 x14ac:dyDescent="0.4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>AG621+AJ621+AM621+AO621+AQ621+AS621+AU621+AW621+AY621+BA621+BC621+BE621</f>
        <v>0</v>
      </c>
      <c r="AD621" s="298">
        <v>0</v>
      </c>
      <c r="AE621" s="298">
        <f t="shared" si="10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 x14ac:dyDescent="0.4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>AG622+AJ622+AM622+AO622+AQ622+AS622+AU622+AW622+AY622+BA622+BC622+BE622</f>
        <v>15000000</v>
      </c>
      <c r="AD622" s="298">
        <v>15000000</v>
      </c>
      <c r="AE622" s="298">
        <f t="shared" si="10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 x14ac:dyDescent="0.4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>AG623+AJ623+AM623+AO623+AQ623+AS623+AU623+AW623+AY623+BA623+BC623+BE623</f>
        <v>11335800</v>
      </c>
      <c r="AD623" s="298">
        <v>11335800</v>
      </c>
      <c r="AE623" s="298">
        <f t="shared" si="10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 x14ac:dyDescent="0.4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>AG624+AJ624+AM624+AO624+AQ624+AS624+AU624+AW624+AY624+BA624+BC624+BE624</f>
        <v>10575800</v>
      </c>
      <c r="AD624" s="298">
        <v>10575800</v>
      </c>
      <c r="AE624" s="298">
        <f t="shared" si="10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 x14ac:dyDescent="0.4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>AG625+AJ625+AM625+AO625+AQ625+AS625+AU625+AW625+AY625+BA625+BC625+BE625</f>
        <v>9000</v>
      </c>
      <c r="AD625" s="298">
        <v>9000</v>
      </c>
      <c r="AE625" s="298">
        <f t="shared" si="10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 x14ac:dyDescent="0.4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>AG626+AJ626+AM626+AO626+AQ626+AS626+AU626+AW626+AY626+BA626+BC626+BE626</f>
        <v>10000000</v>
      </c>
      <c r="AD626" s="298">
        <v>10000000</v>
      </c>
      <c r="AE626" s="298">
        <f t="shared" si="10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 x14ac:dyDescent="0.4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>AG627+AJ627+AM627+AO627+AQ627+AS627+AU627+AW627+AY627+BA627+BC627+BE627</f>
        <v>618000</v>
      </c>
      <c r="AD627" s="298">
        <v>618000</v>
      </c>
      <c r="AE627" s="298">
        <f t="shared" si="10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 x14ac:dyDescent="0.4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>AG628+AJ628+AM628+AO628+AQ628+AS628+AU628+AW628+AY628+BA628+BC628+BE628</f>
        <v>5000000</v>
      </c>
      <c r="AD628" s="298">
        <v>5000000</v>
      </c>
      <c r="AE628" s="298">
        <f t="shared" si="10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 x14ac:dyDescent="0.4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>AG629+AJ629+AM629+AO629+AQ629+AS629+AU629+AW629+AY629+BA629+BC629+BE629</f>
        <v>0</v>
      </c>
      <c r="AD629" s="298">
        <v>0</v>
      </c>
      <c r="AE629" s="298">
        <f t="shared" si="10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 x14ac:dyDescent="0.4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>AG630+AJ630+AM630+AO630+AQ630+AS630+AU630+AW630+AY630+BA630+BC630+BE630</f>
        <v>640000</v>
      </c>
      <c r="AD630" s="298">
        <v>640000</v>
      </c>
      <c r="AE630" s="298">
        <f t="shared" si="10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 x14ac:dyDescent="0.4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>AG631+AJ631+AM631+AO631+AQ631+AS631+AU631+AW631+AY631+BA631+BC631+BE631</f>
        <v>3000000</v>
      </c>
      <c r="AD631" s="298">
        <v>3000000</v>
      </c>
      <c r="AE631" s="298">
        <f t="shared" si="10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 x14ac:dyDescent="0.4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>AG632+AJ632+AM632+AO632+AQ632+AS632+AU632+AW632+AY632+BA632+BC632+BE632</f>
        <v>21210800</v>
      </c>
      <c r="AD632" s="298">
        <v>21210800</v>
      </c>
      <c r="AE632" s="298">
        <f t="shared" si="10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 x14ac:dyDescent="0.4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>AG633+AJ633+AM633+AO633+AQ633+AS633+AU633+AW633+AY633+BA633+BC633+BE633</f>
        <v>13860000</v>
      </c>
      <c r="AD633" s="298">
        <v>13860000</v>
      </c>
      <c r="AE633" s="298">
        <f t="shared" si="10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 x14ac:dyDescent="0.4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>AG634+AJ634+AM634+AO634+AQ634+AS634+AU634+AW634+AY634+BA634+BC634+BE634</f>
        <v>4000000</v>
      </c>
      <c r="AD634" s="298">
        <v>4000000</v>
      </c>
      <c r="AE634" s="298">
        <f t="shared" si="10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 x14ac:dyDescent="0.4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>AG635+AJ635+AM635+AO635+AQ635+AS635+AU635+AW635+AY635+BA635+BC635+BE635</f>
        <v>6500000</v>
      </c>
      <c r="AD635" s="298">
        <v>6500000</v>
      </c>
      <c r="AE635" s="298">
        <f t="shared" si="10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 x14ac:dyDescent="0.4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>AG636+AJ636+AM636+AO636+AQ636+AS636+AU636+AW636+AY636+BA636+BC636+BE636</f>
        <v>0</v>
      </c>
      <c r="AD636" s="298">
        <v>0</v>
      </c>
      <c r="AE636" s="298">
        <f t="shared" si="10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 x14ac:dyDescent="0.4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>AG637+AJ637+AM637+AO637+AQ637+AS637+AU637+AW637+AY637+BA637+BC637+BE637</f>
        <v>0</v>
      </c>
      <c r="AD637" s="298">
        <v>0</v>
      </c>
      <c r="AE637" s="298">
        <f t="shared" si="10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 x14ac:dyDescent="0.4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>AG638+AJ638+AM638+AO638+AQ638+AS638+AU638+AW638+AY638+BA638+BC638+BE638</f>
        <v>19000000</v>
      </c>
      <c r="AD638" s="298">
        <v>19000000</v>
      </c>
      <c r="AE638" s="298">
        <f t="shared" si="10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 x14ac:dyDescent="0.4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>AG639+AJ639+AM639+AO639+AQ639+AS639+AU639+AW639+AY639+BA639+BC639+BE639</f>
        <v>0</v>
      </c>
      <c r="AD639" s="298">
        <v>0</v>
      </c>
      <c r="AE639" s="298">
        <f t="shared" si="10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 x14ac:dyDescent="0.4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>AG640+AJ640+AM640+AO640+AQ640+AS640+AU640+AW640+AY640+BA640+BC640+BE640</f>
        <v>0</v>
      </c>
      <c r="AD640" s="298">
        <v>0</v>
      </c>
      <c r="AE640" s="298">
        <f t="shared" si="10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 x14ac:dyDescent="0.4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>AG641+AJ641+AM641+AO641+AQ641+AS641+AU641+AW641+AY641+BA641+BC641+BE641</f>
        <v>12000000</v>
      </c>
      <c r="AD641" s="298">
        <v>12000000</v>
      </c>
      <c r="AE641" s="298">
        <f t="shared" si="10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 x14ac:dyDescent="0.4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>AG642+AJ642+AM642+AO642+AQ642+AS642+AU642+AW642+AY642+BA642+BC642+BE642</f>
        <v>11000000</v>
      </c>
      <c r="AD642" s="298">
        <v>11000000</v>
      </c>
      <c r="AE642" s="298">
        <f t="shared" si="10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 x14ac:dyDescent="0.4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>AG643+AJ643+AM643+AO643+AQ643+AS643+AU643+AW643+AY643+BA643+BC643+BE643</f>
        <v>0</v>
      </c>
      <c r="AD643" s="298">
        <v>0</v>
      </c>
      <c r="AE643" s="298">
        <f t="shared" si="10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 x14ac:dyDescent="0.4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>AG644+AJ644+AM644+AO644+AQ644+AS644+AU644+AW644+AY644+BA644+BC644+BE644</f>
        <v>5940000</v>
      </c>
      <c r="AD644" s="298">
        <v>5940000</v>
      </c>
      <c r="AE644" s="298">
        <f t="shared" si="10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 x14ac:dyDescent="0.4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>AG645+AJ645+AM645+AO645+AQ645+AS645+AU645+AW645+AY645+BA645+BC645+BE645</f>
        <v>5069000</v>
      </c>
      <c r="AD645" s="298">
        <v>5069000</v>
      </c>
      <c r="AE645" s="298">
        <f t="shared" si="10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 x14ac:dyDescent="0.4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>AG646+AJ646+AM646+AO646+AQ646+AS646+AU646+AW646+AY646+BA646+BC646+BE646</f>
        <v>125250</v>
      </c>
      <c r="AD646" s="298">
        <v>125250</v>
      </c>
      <c r="AE646" s="298">
        <f t="shared" si="10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 x14ac:dyDescent="0.4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>AG647+AJ647+AM647+AO647+AQ647+AS647+AU647+AW647+AY647+BA647+BC647+BE647</f>
        <v>90000000</v>
      </c>
      <c r="AD647" s="298">
        <v>90000000</v>
      </c>
      <c r="AE647" s="298">
        <f t="shared" si="10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 x14ac:dyDescent="0.4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>AG648+AJ648+AM648+AO648+AQ648+AS648+AU648+AW648+AY648+BA648+BC648+BE648</f>
        <v>45000000</v>
      </c>
      <c r="AD648" s="298">
        <v>45000000</v>
      </c>
      <c r="AE648" s="298">
        <f t="shared" si="10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 x14ac:dyDescent="0.4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>AG649+AJ649+AM649+AO649+AQ649+AS649+AU649+AW649+AY649+BA649+BC649+BE649</f>
        <v>18000000</v>
      </c>
      <c r="AD649" s="298">
        <v>18000000</v>
      </c>
      <c r="AE649" s="298">
        <f t="shared" si="10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 x14ac:dyDescent="0.4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>AG650+AJ650+AM650+AO650+AQ650+AS650+AU650+AW650+AY650+BA650+BC650+BE650</f>
        <v>0</v>
      </c>
      <c r="AD650" s="298">
        <v>0</v>
      </c>
      <c r="AE650" s="298">
        <f t="shared" si="10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 x14ac:dyDescent="0.4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>AG651+AJ651+AM651+AO651+AQ651+AS651+AU651+AW651+AY651+BA651+BC651+BE651</f>
        <v>0</v>
      </c>
      <c r="AD651" s="298">
        <v>0</v>
      </c>
      <c r="AE651" s="298">
        <f t="shared" si="10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 x14ac:dyDescent="0.4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>AG652+AJ652+AM652+AO652+AQ652+AS652+AU652+AW652+AY652+BA652+BC652+BE652</f>
        <v>130000000</v>
      </c>
      <c r="AD652" s="298">
        <v>130000000</v>
      </c>
      <c r="AE652" s="298">
        <f t="shared" si="10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 x14ac:dyDescent="0.4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>AG653+AJ653+AM653+AO653+AQ653+AS653+AU653+AW653+AY653+BA653+BC653+BE653</f>
        <v>540000000</v>
      </c>
      <c r="AD653" s="298">
        <v>540000000</v>
      </c>
      <c r="AE653" s="298">
        <f t="shared" si="10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 x14ac:dyDescent="0.4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>AG654+AJ654+AM654+AO654+AQ654+AS654+AU654+AW654+AY654+BA654+BC654+BE654</f>
        <v>15000000</v>
      </c>
      <c r="AD654" s="298">
        <v>15000000</v>
      </c>
      <c r="AE654" s="298">
        <f t="shared" si="10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 x14ac:dyDescent="0.4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>AG655+AJ655+AM655+AO655+AQ655+AS655+AU655+AW655+AY655+BA655+BC655+BE655</f>
        <v>0</v>
      </c>
      <c r="AD655" s="298">
        <v>0</v>
      </c>
      <c r="AE655" s="298">
        <f t="shared" si="10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 x14ac:dyDescent="0.4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>AG656+AJ656+AM656+AO656+AQ656+AS656+AU656+AW656+AY656+BA656+BC656+BE656</f>
        <v>0</v>
      </c>
      <c r="AD656" s="298">
        <v>0</v>
      </c>
      <c r="AE656" s="298">
        <f t="shared" si="10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 x14ac:dyDescent="0.4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>AG657+AJ657+AM657+AO657+AQ657+AS657+AU657+AW657+AY657+BA657+BC657+BE657</f>
        <v>99143680</v>
      </c>
      <c r="AD657" s="298">
        <v>99143680</v>
      </c>
      <c r="AE657" s="298">
        <f t="shared" si="10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 x14ac:dyDescent="0.4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>AG658+AJ658+AM658+AO658+AQ658+AS658+AU658+AW658+AY658+BA658+BC658+BE658</f>
        <v>0</v>
      </c>
      <c r="AD658" s="298">
        <v>0</v>
      </c>
      <c r="AE658" s="298">
        <f t="shared" si="10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 x14ac:dyDescent="0.4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>AG659+AJ659+AM659+AO659+AQ659+AS659+AU659+AW659+AY659+BA659+BC659+BE659</f>
        <v>20000000</v>
      </c>
      <c r="AD659" s="298">
        <v>20000000</v>
      </c>
      <c r="AE659" s="298">
        <f t="shared" si="10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 x14ac:dyDescent="0.4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>AG660+AJ660+AM660+AO660+AQ660+AS660+AU660+AW660+AY660+BA660+BC660+BE660</f>
        <v>0</v>
      </c>
      <c r="AD660" s="298">
        <v>0</v>
      </c>
      <c r="AE660" s="298">
        <f t="shared" si="10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 x14ac:dyDescent="0.4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>AG661+AJ661+AM661+AO661+AQ661+AS661+AU661+AW661+AY661+BA661+BC661+BE661</f>
        <v>0</v>
      </c>
      <c r="AD661" s="298">
        <v>0</v>
      </c>
      <c r="AE661" s="298">
        <f t="shared" si="10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 x14ac:dyDescent="0.4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>AG662+AJ662+AM662+AO662+AQ662+AS662+AU662+AW662+AY662+BA662+BC662+BE662</f>
        <v>280000000</v>
      </c>
      <c r="AD662" s="298">
        <v>280000000</v>
      </c>
      <c r="AE662" s="298">
        <f t="shared" si="10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 x14ac:dyDescent="0.4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>AG663+AJ663+AM663+AO663+AQ663+AS663+AU663+AW663+AY663+BA663+BC663+BE663</f>
        <v>10000000</v>
      </c>
      <c r="AD663" s="298">
        <v>10000000</v>
      </c>
      <c r="AE663" s="298">
        <f t="shared" si="10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 x14ac:dyDescent="0.4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>AG664+AJ664+AM664+AO664+AQ664+AS664+AU664+AW664+AY664+BA664+BC664+BE664</f>
        <v>150000000</v>
      </c>
      <c r="AD664" s="298">
        <v>150000000</v>
      </c>
      <c r="AE664" s="298">
        <f t="shared" ref="AE664:AE727" si="11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 x14ac:dyDescent="0.4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>AG665+AJ665+AM665+AO665+AQ665+AS665+AU665+AW665+AY665+BA665+BC665+BE665</f>
        <v>20000000</v>
      </c>
      <c r="AD665" s="298">
        <v>20000000</v>
      </c>
      <c r="AE665" s="298">
        <f t="shared" si="11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 x14ac:dyDescent="0.4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>AG666+AJ666+AM666+AO666+AQ666+AS666+AU666+AW666+AY666+BA666+BC666+BE666</f>
        <v>10000000</v>
      </c>
      <c r="AD666" s="298">
        <v>10000000</v>
      </c>
      <c r="AE666" s="298">
        <f t="shared" si="11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 x14ac:dyDescent="0.4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>AG667+AJ667+AM667+AO667+AQ667+AS667+AU667+AW667+AY667+BA667+BC667+BE667</f>
        <v>0</v>
      </c>
      <c r="AD667" s="298">
        <v>0</v>
      </c>
      <c r="AE667" s="298">
        <f t="shared" si="11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 x14ac:dyDescent="0.4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>AG668+AJ668+AM668+AO668+AQ668+AS668+AU668+AW668+AY668+BA668+BC668+BE668</f>
        <v>20000000</v>
      </c>
      <c r="AD668" s="298">
        <v>20000000</v>
      </c>
      <c r="AE668" s="298">
        <f t="shared" si="11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 x14ac:dyDescent="0.4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>AG669+AJ669+AM669+AO669+AQ669+AS669+AU669+AW669+AY669+BA669+BC669+BE669</f>
        <v>10000000</v>
      </c>
      <c r="AD669" s="298">
        <v>10000000</v>
      </c>
      <c r="AE669" s="298">
        <f t="shared" si="11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 x14ac:dyDescent="0.4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>AG670+AJ670+AM670+AO670+AQ670+AS670+AU670+AW670+AY670+BA670+BC670+BE670</f>
        <v>600000000</v>
      </c>
      <c r="AD670" s="298">
        <v>600000000</v>
      </c>
      <c r="AE670" s="298">
        <f t="shared" si="11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 x14ac:dyDescent="0.4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>AG671+AJ671+AM671+AO671+AQ671+AS671+AU671+AW671+AY671+BA671+BC671+BE671</f>
        <v>50000</v>
      </c>
      <c r="AD671" s="298">
        <v>50000</v>
      </c>
      <c r="AE671" s="298">
        <f t="shared" si="11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 x14ac:dyDescent="0.4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>AG672+AJ672+AM672+AO672+AQ672+AS672+AU672+AW672+AY672+BA672+BC672+BE672</f>
        <v>15000000</v>
      </c>
      <c r="AD672" s="298">
        <v>15000000</v>
      </c>
      <c r="AE672" s="298">
        <f t="shared" si="11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 x14ac:dyDescent="0.4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>AG673+AJ673+AM673+AO673+AQ673+AS673+AU673+AW673+AY673+BA673+BC673+BE673</f>
        <v>15000000</v>
      </c>
      <c r="AD673" s="298">
        <v>15000000</v>
      </c>
      <c r="AE673" s="298">
        <f t="shared" si="11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 x14ac:dyDescent="0.4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>AG674+AJ674+AM674+AO674+AQ674+AS674+AU674+AW674+AY674+BA674+BC674+BE674</f>
        <v>200000000</v>
      </c>
      <c r="AD674" s="298">
        <v>200000000</v>
      </c>
      <c r="AE674" s="298">
        <f t="shared" si="11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 x14ac:dyDescent="0.4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>AG675+AJ675+AM675+AO675+AQ675+AS675+AU675+AW675+AY675+BA675+BC675+BE675</f>
        <v>5000000</v>
      </c>
      <c r="AD675" s="298">
        <v>5000000</v>
      </c>
      <c r="AE675" s="298">
        <f t="shared" si="11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 x14ac:dyDescent="0.4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>AG676+AJ676+AM676+AO676+AQ676+AS676+AU676+AW676+AY676+BA676+BC676+BE676</f>
        <v>1000000</v>
      </c>
      <c r="AD676" s="298">
        <v>1000000</v>
      </c>
      <c r="AE676" s="298">
        <f t="shared" si="11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 x14ac:dyDescent="0.4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>AG677+AJ677+AM677+AO677+AQ677+AS677+AU677+AW677+AY677+BA677+BC677+BE677</f>
        <v>2000000</v>
      </c>
      <c r="AD677" s="298">
        <v>2000000</v>
      </c>
      <c r="AE677" s="298">
        <f t="shared" si="11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 x14ac:dyDescent="0.4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>AG678+AJ678+AM678+AO678+AQ678+AS678+AU678+AW678+AY678+BA678+BC678+BE678</f>
        <v>50000000</v>
      </c>
      <c r="AD678" s="298">
        <v>50000000</v>
      </c>
      <c r="AE678" s="298">
        <f t="shared" si="11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 x14ac:dyDescent="0.4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>AG679+AJ679+AM679+AO679+AQ679+AS679+AU679+AW679+AY679+BA679+BC679+BE679</f>
        <v>3500000</v>
      </c>
      <c r="AD679" s="298">
        <v>3500000</v>
      </c>
      <c r="AE679" s="298">
        <f t="shared" si="11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 x14ac:dyDescent="0.4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>AG680+AJ680+AM680+AO680+AQ680+AS680+AU680+AW680+AY680+BA680+BC680+BE680</f>
        <v>0</v>
      </c>
      <c r="AD680" s="298">
        <v>0</v>
      </c>
      <c r="AE680" s="298">
        <f t="shared" si="11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 x14ac:dyDescent="0.4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>AG681+AJ681+AM681+AO681+AQ681+AS681+AU681+AW681+AY681+BA681+BC681+BE681</f>
        <v>70000000</v>
      </c>
      <c r="AD681" s="298">
        <v>70000000</v>
      </c>
      <c r="AE681" s="298">
        <f t="shared" si="11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 x14ac:dyDescent="0.4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>AG682+AJ682+AM682+AO682+AQ682+AS682+AU682+AW682+AY682+BA682+BC682+BE682</f>
        <v>0</v>
      </c>
      <c r="AD682" s="298">
        <v>0</v>
      </c>
      <c r="AE682" s="298">
        <f t="shared" si="11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 x14ac:dyDescent="0.4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>AG683+AJ683+AM683+AO683+AQ683+AS683+AU683+AW683+AY683+BA683+BC683+BE683</f>
        <v>20000000</v>
      </c>
      <c r="AD683" s="298">
        <v>20000000</v>
      </c>
      <c r="AE683" s="298">
        <f t="shared" si="11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 x14ac:dyDescent="0.4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>AG684+AJ684+AM684+AO684+AQ684+AS684+AU684+AW684+AY684+BA684+BC684+BE684</f>
        <v>3500000</v>
      </c>
      <c r="AD684" s="298">
        <v>3500000</v>
      </c>
      <c r="AE684" s="298">
        <f t="shared" si="11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 x14ac:dyDescent="0.4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>AG685+AJ685+AM685+AO685+AQ685+AS685+AU685+AW685+AY685+BA685+BC685+BE685</f>
        <v>5000000</v>
      </c>
      <c r="AD685" s="298">
        <v>5000000</v>
      </c>
      <c r="AE685" s="298">
        <f t="shared" si="11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 x14ac:dyDescent="0.4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>AG686+AJ686+AM686+AO686+AQ686+AS686+AU686+AW686+AY686+BA686+BC686+BE686</f>
        <v>0</v>
      </c>
      <c r="AD686" s="298">
        <v>0</v>
      </c>
      <c r="AE686" s="298">
        <f t="shared" si="11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 x14ac:dyDescent="0.4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>AG687+AJ687+AM687+AO687+AQ687+AS687+AU687+AW687+AY687+BA687+BC687+BE687</f>
        <v>0</v>
      </c>
      <c r="AD687" s="298">
        <v>0</v>
      </c>
      <c r="AE687" s="298">
        <f t="shared" si="11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 x14ac:dyDescent="0.4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>AG688+AJ688+AM688+AO688+AQ688+AS688+AU688+AW688+AY688+BA688+BC688+BE688</f>
        <v>196791445</v>
      </c>
      <c r="AD688" s="298">
        <v>196791445</v>
      </c>
      <c r="AE688" s="298">
        <f t="shared" si="11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 x14ac:dyDescent="0.4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>AG689+AJ689+AM689+AO689+AQ689+AS689+AU689+AW689+AY689+BA689+BC689+BE689</f>
        <v>0</v>
      </c>
      <c r="AD689" s="298">
        <v>0</v>
      </c>
      <c r="AE689" s="298">
        <f t="shared" si="11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 x14ac:dyDescent="0.4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>AG690+AJ690+AM690+AO690+AQ690+AS690+AU690+AW690+AY690+BA690+BC690+BE690</f>
        <v>0</v>
      </c>
      <c r="AD690" s="298">
        <v>0</v>
      </c>
      <c r="AE690" s="298">
        <f t="shared" si="11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 x14ac:dyDescent="0.4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>AG691+AJ691+AM691+AO691+AQ691+AS691+AU691+AW691+AY691+BA691+BC691+BE691</f>
        <v>0</v>
      </c>
      <c r="AD691" s="298">
        <v>0</v>
      </c>
      <c r="AE691" s="298">
        <f t="shared" si="11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 x14ac:dyDescent="0.4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>AG692+AJ692+AM692+AO692+AQ692+AS692+AU692+AW692+AY692+BA692+BC692+BE692</f>
        <v>3000000</v>
      </c>
      <c r="AD692" s="298">
        <v>3000000</v>
      </c>
      <c r="AE692" s="298">
        <f t="shared" si="11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 x14ac:dyDescent="0.4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>AG693+AJ693+AM693+AO693+AQ693+AS693+AU693+AW693+AY693+BA693+BC693+BE693</f>
        <v>0</v>
      </c>
      <c r="AD693" s="298">
        <v>0</v>
      </c>
      <c r="AE693" s="298">
        <f t="shared" si="11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 x14ac:dyDescent="0.4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>AG694+AJ694+AM694+AO694+AQ694+AS694+AU694+AW694+AY694+BA694+BC694+BE694</f>
        <v>0</v>
      </c>
      <c r="AD694" s="298">
        <v>0</v>
      </c>
      <c r="AE694" s="298">
        <f t="shared" si="11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 x14ac:dyDescent="0.4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>AG695+AJ695+AM695+AO695+AQ695+AS695+AU695+AW695+AY695+BA695+BC695+BE695</f>
        <v>0</v>
      </c>
      <c r="AD695" s="298">
        <v>0</v>
      </c>
      <c r="AE695" s="298">
        <f t="shared" si="11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 x14ac:dyDescent="0.4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>AG696+AJ696+AM696+AO696+AQ696+AS696+AU696+AW696+AY696+BA696+BC696+BE696</f>
        <v>87000</v>
      </c>
      <c r="AD696" s="298">
        <v>87000</v>
      </c>
      <c r="AE696" s="298">
        <f t="shared" si="11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 x14ac:dyDescent="0.4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>AG697+AJ697+AM697+AO697+AQ697+AS697+AU697+AW697+AY697+BA697+BC697+BE697</f>
        <v>6900000</v>
      </c>
      <c r="AD697" s="298">
        <v>6900000</v>
      </c>
      <c r="AE697" s="298">
        <f t="shared" si="11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 x14ac:dyDescent="0.4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>AG698+AJ698+AM698+AO698+AQ698+AS698+AU698+AW698+AY698+BA698+BC698+BE698</f>
        <v>10000000</v>
      </c>
      <c r="AD698" s="298">
        <v>10000000</v>
      </c>
      <c r="AE698" s="298">
        <f t="shared" si="11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 x14ac:dyDescent="0.4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>AG699+AJ699+AM699+AO699+AQ699+AS699+AU699+AW699+AY699+BA699+BC699+BE699</f>
        <v>0</v>
      </c>
      <c r="AD699" s="298">
        <v>0</v>
      </c>
      <c r="AE699" s="298">
        <f t="shared" si="11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 x14ac:dyDescent="0.4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>AG700+AJ700+AM700+AO700+AQ700+AS700+AU700+AW700+AY700+BA700+BC700+BE700</f>
        <v>0</v>
      </c>
      <c r="AD700" s="298">
        <v>0</v>
      </c>
      <c r="AE700" s="298">
        <f t="shared" si="11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 x14ac:dyDescent="0.4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>AG701+AJ701+AM701+AO701+AQ701+AS701+AU701+AW701+AY701+BA701+BC701+BE701</f>
        <v>0</v>
      </c>
      <c r="AD701" s="298">
        <v>0</v>
      </c>
      <c r="AE701" s="298">
        <f t="shared" si="11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 x14ac:dyDescent="0.4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>AG702+AJ702+AM702+AO702+AQ702+AS702+AU702+AW702+AY702+BA702+BC702+BE702</f>
        <v>0</v>
      </c>
      <c r="AD702" s="298">
        <v>0</v>
      </c>
      <c r="AE702" s="298">
        <f t="shared" si="11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 x14ac:dyDescent="0.4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>AG703+AJ703+AM703+AO703+AQ703+AS703+AU703+AW703+AY703+BA703+BC703+BE703</f>
        <v>0</v>
      </c>
      <c r="AD703" s="298">
        <v>0</v>
      </c>
      <c r="AE703" s="298">
        <f t="shared" si="11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 x14ac:dyDescent="0.4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>AG704+AJ704+AM704+AO704+AQ704+AS704+AU704+AW704+AY704+BA704+BC704+BE704</f>
        <v>0</v>
      </c>
      <c r="AD704" s="298">
        <v>0</v>
      </c>
      <c r="AE704" s="298">
        <f t="shared" si="11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 x14ac:dyDescent="0.4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>AG705+AJ705+AM705+AO705+AQ705+AS705+AU705+AW705+AY705+BA705+BC705+BE705</f>
        <v>20000000</v>
      </c>
      <c r="AD705" s="298">
        <v>20000000</v>
      </c>
      <c r="AE705" s="298">
        <f t="shared" si="11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 x14ac:dyDescent="0.4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>AG706+AJ706+AM706+AO706+AQ706+AS706+AU706+AW706+AY706+BA706+BC706+BE706</f>
        <v>1000000</v>
      </c>
      <c r="AD706" s="298">
        <v>1000000</v>
      </c>
      <c r="AE706" s="298">
        <f t="shared" si="11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 x14ac:dyDescent="0.4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>AG707+AJ707+AM707+AO707+AQ707+AS707+AU707+AW707+AY707+BA707+BC707+BE707</f>
        <v>50000000</v>
      </c>
      <c r="AD707" s="298">
        <v>50000000</v>
      </c>
      <c r="AE707" s="298">
        <f t="shared" si="11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 x14ac:dyDescent="0.4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>AG708+AJ708+AM708+AO708+AQ708+AS708+AU708+AW708+AY708+BA708+BC708+BE708</f>
        <v>30000000</v>
      </c>
      <c r="AD708" s="298">
        <v>30000000</v>
      </c>
      <c r="AE708" s="298">
        <f t="shared" si="11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 x14ac:dyDescent="0.4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>AG709+AJ709+AM709+AO709+AQ709+AS709+AU709+AW709+AY709+BA709+BC709+BE709</f>
        <v>725800</v>
      </c>
      <c r="AD709" s="298">
        <v>725800</v>
      </c>
      <c r="AE709" s="298">
        <f t="shared" si="11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 x14ac:dyDescent="0.4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>AG710+AJ710+AM710+AO710+AQ710+AS710+AU710+AW710+AY710+BA710+BC710+BE710</f>
        <v>30000000</v>
      </c>
      <c r="AD710" s="298">
        <v>30000000</v>
      </c>
      <c r="AE710" s="298">
        <f t="shared" si="11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 x14ac:dyDescent="0.4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>AG711+AJ711+AM711+AO711+AQ711+AS711+AU711+AW711+AY711+BA711+BC711+BE711</f>
        <v>0</v>
      </c>
      <c r="AD711" s="298">
        <v>0</v>
      </c>
      <c r="AE711" s="298">
        <f t="shared" si="11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 x14ac:dyDescent="0.4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>AG712+AJ712+AM712+AO712+AQ712+AS712+AU712+AW712+AY712+BA712+BC712+BE712</f>
        <v>14000000</v>
      </c>
      <c r="AD712" s="298">
        <v>14000000</v>
      </c>
      <c r="AE712" s="298">
        <f t="shared" si="11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 x14ac:dyDescent="0.4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>AG713+AJ713+AM713+AO713+AQ713+AS713+AU713+AW713+AY713+BA713+BC713+BE713</f>
        <v>15000000</v>
      </c>
      <c r="AD713" s="298">
        <v>15000000</v>
      </c>
      <c r="AE713" s="298">
        <f t="shared" si="11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 x14ac:dyDescent="0.4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>AG714+AJ714+AM714+AO714+AQ714+AS714+AU714+AW714+AY714+BA714+BC714+BE714</f>
        <v>10000000</v>
      </c>
      <c r="AD714" s="298">
        <v>10000000</v>
      </c>
      <c r="AE714" s="298">
        <f t="shared" si="11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 x14ac:dyDescent="0.4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>AG715+AJ715+AM715+AO715+AQ715+AS715+AU715+AW715+AY715+BA715+BC715+BE715</f>
        <v>10000000</v>
      </c>
      <c r="AD715" s="298">
        <v>10000000</v>
      </c>
      <c r="AE715" s="298">
        <f t="shared" si="11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 x14ac:dyDescent="0.4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>AG716+AJ716+AM716+AO716+AQ716+AS716+AU716+AW716+AY716+BA716+BC716+BE716</f>
        <v>40240000</v>
      </c>
      <c r="AD716" s="298">
        <v>40240000</v>
      </c>
      <c r="AE716" s="298">
        <f t="shared" si="11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 x14ac:dyDescent="0.4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>AG717+AJ717+AM717+AO717+AQ717+AS717+AU717+AW717+AY717+BA717+BC717+BE717</f>
        <v>8000000</v>
      </c>
      <c r="AD717" s="298">
        <v>8000000</v>
      </c>
      <c r="AE717" s="298">
        <f t="shared" si="11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 x14ac:dyDescent="0.4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>AG718+AJ718+AM718+AO718+AQ718+AS718+AU718+AW718+AY718+BA718+BC718+BE718</f>
        <v>80000000</v>
      </c>
      <c r="AD718" s="298">
        <v>80000000</v>
      </c>
      <c r="AE718" s="298">
        <f t="shared" si="11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 x14ac:dyDescent="0.4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>AG719+AJ719+AM719+AO719+AQ719+AS719+AU719+AW719+AY719+BA719+BC719+BE719</f>
        <v>79000000</v>
      </c>
      <c r="AD719" s="298">
        <v>79000000</v>
      </c>
      <c r="AE719" s="298">
        <f t="shared" si="11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 x14ac:dyDescent="0.4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>AG720+AJ720+AM720+AO720+AQ720+AS720+AU720+AW720+AY720+BA720+BC720+BE720</f>
        <v>3000000</v>
      </c>
      <c r="AD720" s="298">
        <v>3000000</v>
      </c>
      <c r="AE720" s="298">
        <f t="shared" si="11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 x14ac:dyDescent="0.4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>AG721+AJ721+AM721+AO721+AQ721+AS721+AU721+AW721+AY721+BA721+BC721+BE721</f>
        <v>100000000</v>
      </c>
      <c r="AD721" s="298">
        <v>100000000</v>
      </c>
      <c r="AE721" s="298">
        <f t="shared" si="11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 x14ac:dyDescent="0.4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>AG722+AJ722+AM722+AO722+AQ722+AS722+AU722+AW722+AY722+BA722+BC722+BE722</f>
        <v>-357000</v>
      </c>
      <c r="AD722" s="298">
        <v>-357000</v>
      </c>
      <c r="AE722" s="298">
        <f t="shared" si="11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 x14ac:dyDescent="0.4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>AG723+AJ723+AM723+AO723+AQ723+AS723+AU723+AW723+AY723+BA723+BC723+BE723</f>
        <v>0</v>
      </c>
      <c r="AD723" s="298">
        <v>0</v>
      </c>
      <c r="AE723" s="298">
        <f t="shared" si="11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 x14ac:dyDescent="0.4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>AG724+AJ724+AM724+AO724+AQ724+AS724+AU724+AW724+AY724+BA724+BC724+BE724</f>
        <v>0</v>
      </c>
      <c r="AD724" s="298">
        <v>0</v>
      </c>
      <c r="AE724" s="298">
        <f t="shared" si="11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 x14ac:dyDescent="0.4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>AG725+AJ725+AM725+AO725+AQ725+AS725+AU725+AW725+AY725+BA725+BC725+BE725</f>
        <v>200000000</v>
      </c>
      <c r="AD725" s="298">
        <v>200000000</v>
      </c>
      <c r="AE725" s="298">
        <f t="shared" si="11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 x14ac:dyDescent="0.4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>AG726+AJ726+AM726+AO726+AQ726+AS726+AU726+AW726+AY726+BA726+BC726+BE726</f>
        <v>11000000</v>
      </c>
      <c r="AD726" s="298">
        <v>11000000</v>
      </c>
      <c r="AE726" s="298">
        <f t="shared" si="11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 x14ac:dyDescent="0.4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>AG727+AJ727+AM727+AO727+AQ727+AS727+AU727+AW727+AY727+BA727+BC727+BE727</f>
        <v>10000000</v>
      </c>
      <c r="AD727" s="298">
        <v>10000000</v>
      </c>
      <c r="AE727" s="298">
        <f t="shared" si="11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  <row r="728" spans="1:60" s="305" customFormat="1" ht="16.5" customHeight="1" x14ac:dyDescent="0.4">
      <c r="A728" s="369"/>
      <c r="B728" s="286"/>
      <c r="C728" s="286"/>
      <c r="D728" s="287"/>
      <c r="E728" s="287"/>
      <c r="F728" s="288" t="s">
        <v>92</v>
      </c>
      <c r="G728" s="289" t="s">
        <v>873</v>
      </c>
      <c r="H728" s="307" t="s">
        <v>875</v>
      </c>
      <c r="I728" s="290" t="s">
        <v>873</v>
      </c>
      <c r="J728" s="370" t="s">
        <v>872</v>
      </c>
      <c r="K728" s="287" t="s">
        <v>97</v>
      </c>
      <c r="L728" s="287"/>
      <c r="M728" s="287">
        <v>66907</v>
      </c>
      <c r="N728" s="287"/>
      <c r="O728" s="287"/>
      <c r="P728" s="287"/>
      <c r="Q728" s="287"/>
      <c r="R728" s="287"/>
      <c r="S728" s="292" t="s">
        <v>349</v>
      </c>
      <c r="T728" s="293"/>
      <c r="U728" s="294"/>
      <c r="V728" s="294"/>
      <c r="W728" s="295"/>
      <c r="X728" s="296"/>
      <c r="Y728" s="287"/>
      <c r="Z728" s="297" t="s">
        <v>28</v>
      </c>
      <c r="AA728" s="313"/>
      <c r="AB728" s="313"/>
      <c r="AC728" s="298">
        <f>AG728+AJ728+AM728+AO728+AQ728+AS728+AU728+AW728+AY728+BA728+BC728+BE728</f>
        <v>120000000</v>
      </c>
      <c r="AD728" s="298">
        <v>120000000</v>
      </c>
      <c r="AE728" s="298">
        <f t="shared" ref="AE728:AE729" si="12">AC728-AD728</f>
        <v>0</v>
      </c>
      <c r="AF728" s="299">
        <v>0</v>
      </c>
      <c r="AG728" s="300"/>
      <c r="AH728" s="299"/>
      <c r="AI728" s="299">
        <v>0</v>
      </c>
      <c r="AJ728" s="300">
        <v>0</v>
      </c>
      <c r="AK728" s="299"/>
      <c r="AL728" s="301"/>
      <c r="AM728" s="314"/>
      <c r="AN728" s="301"/>
      <c r="AO728" s="302">
        <v>64050000</v>
      </c>
      <c r="AP728" s="301"/>
      <c r="AQ728" s="301">
        <v>0</v>
      </c>
      <c r="AR728" s="301"/>
      <c r="AS728" s="301">
        <v>0</v>
      </c>
      <c r="AT728" s="301"/>
      <c r="AU728" s="301">
        <v>0</v>
      </c>
      <c r="AV728" s="301"/>
      <c r="AW728" s="301">
        <v>55950000</v>
      </c>
      <c r="AX728" s="301"/>
      <c r="AY728" s="301">
        <v>0</v>
      </c>
      <c r="AZ728" s="301"/>
      <c r="BA728" s="301">
        <v>0</v>
      </c>
      <c r="BB728" s="301"/>
      <c r="BC728" s="301">
        <v>0</v>
      </c>
      <c r="BD728" s="301"/>
      <c r="BE728" s="301">
        <v>0</v>
      </c>
      <c r="BF728" s="301"/>
      <c r="BG728" s="303"/>
      <c r="BH728" s="304"/>
    </row>
    <row r="729" spans="1:60" s="305" customFormat="1" ht="16.5" customHeight="1" x14ac:dyDescent="0.4">
      <c r="A729" s="369"/>
      <c r="B729" s="286"/>
      <c r="C729" s="286"/>
      <c r="D729" s="287"/>
      <c r="E729" s="287"/>
      <c r="F729" s="288" t="s">
        <v>92</v>
      </c>
      <c r="G729" s="289" t="s">
        <v>873</v>
      </c>
      <c r="H729" s="307" t="s">
        <v>876</v>
      </c>
      <c r="I729" s="290" t="s">
        <v>877</v>
      </c>
      <c r="J729" s="370" t="s">
        <v>872</v>
      </c>
      <c r="K729" s="287"/>
      <c r="L729" s="287"/>
      <c r="M729" s="287">
        <v>66907</v>
      </c>
      <c r="N729" s="287"/>
      <c r="O729" s="287"/>
      <c r="P729" s="287"/>
      <c r="Q729" s="287"/>
      <c r="R729" s="287"/>
      <c r="S729" s="292" t="s">
        <v>740</v>
      </c>
      <c r="T729" s="293"/>
      <c r="U729" s="294"/>
      <c r="V729" s="294"/>
      <c r="W729" s="295"/>
      <c r="X729" s="296"/>
      <c r="Y729" s="287"/>
      <c r="Z729" s="297" t="s">
        <v>28</v>
      </c>
      <c r="AA729" s="313"/>
      <c r="AB729" s="313"/>
      <c r="AC729" s="298">
        <f>AG729+AJ729+AM729+AO729+AQ729+AS729+AU729+AW729+AY729+BA729+BC729+BE729</f>
        <v>300000000</v>
      </c>
      <c r="AD729" s="298">
        <v>300000000</v>
      </c>
      <c r="AE729" s="298">
        <f t="shared" si="12"/>
        <v>0</v>
      </c>
      <c r="AF729" s="299">
        <v>0</v>
      </c>
      <c r="AG729" s="300"/>
      <c r="AH729" s="299"/>
      <c r="AI729" s="299">
        <v>0</v>
      </c>
      <c r="AJ729" s="300">
        <v>0</v>
      </c>
      <c r="AK729" s="299"/>
      <c r="AL729" s="301"/>
      <c r="AM729" s="314"/>
      <c r="AN729" s="301"/>
      <c r="AO729" s="302">
        <v>0</v>
      </c>
      <c r="AP729" s="301"/>
      <c r="AQ729" s="301">
        <v>18400000</v>
      </c>
      <c r="AR729" s="301"/>
      <c r="AS729" s="301">
        <v>0</v>
      </c>
      <c r="AT729" s="301"/>
      <c r="AU729" s="301">
        <v>0</v>
      </c>
      <c r="AV729" s="301"/>
      <c r="AW729" s="301">
        <v>0</v>
      </c>
      <c r="AX729" s="301"/>
      <c r="AY729" s="301">
        <v>0</v>
      </c>
      <c r="AZ729" s="301"/>
      <c r="BA729" s="301">
        <v>0</v>
      </c>
      <c r="BB729" s="301"/>
      <c r="BC729" s="301">
        <v>0</v>
      </c>
      <c r="BD729" s="301"/>
      <c r="BE729" s="301">
        <v>281600000</v>
      </c>
      <c r="BF729" s="301"/>
      <c r="BG729" s="303"/>
      <c r="BH729" s="304"/>
    </row>
  </sheetData>
  <autoFilter ref="A23:BF729">
    <filterColumn colId="6">
      <filters>
        <filter val="안혜연"/>
      </filters>
    </filterColumn>
    <filterColumn colId="25">
      <filters>
        <filter val="01 확정"/>
      </filters>
    </filterColumn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8" priority="122" operator="containsText" text="추가">
      <formula>NOT(ISERROR(SEARCH("추가",A1)))</formula>
    </cfRule>
  </conditionalFormatting>
  <conditionalFormatting sqref="M725">
    <cfRule type="duplicateValues" dxfId="7" priority="9"/>
  </conditionalFormatting>
  <conditionalFormatting sqref="M725">
    <cfRule type="duplicateValues" dxfId="6" priority="10"/>
  </conditionalFormatting>
  <conditionalFormatting sqref="M727">
    <cfRule type="duplicateValues" dxfId="5" priority="6"/>
  </conditionalFormatting>
  <conditionalFormatting sqref="M727">
    <cfRule type="duplicateValues" dxfId="4" priority="7"/>
  </conditionalFormatting>
  <conditionalFormatting sqref="BG728:BG729">
    <cfRule type="duplicateValues" dxfId="3" priority="1"/>
  </conditionalFormatting>
  <conditionalFormatting sqref="BG728:BG729">
    <cfRule type="duplicateValues" dxfId="2" priority="2"/>
  </conditionalFormatting>
  <conditionalFormatting sqref="BH728:BH729">
    <cfRule type="duplicateValues" dxfId="1" priority="3"/>
  </conditionalFormatting>
  <dataValidations count="15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 O728:O729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 P728:P729">
      <formula1>$R$3:$R$3</formula1>
    </dataValidation>
    <dataValidation allowBlank="1" showInputMessage="1" showErrorMessage="1" promptTitle="수정금지!!!!" prompt="원본값, 수정하지 마세요." sqref="W23:W729"/>
    <dataValidation type="list" allowBlank="1" showInputMessage="1" showErrorMessage="1" sqref="N728:N729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Z730:AB1048576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S1:S727 S730:S1048576</xm:sqref>
        </x14:dataValidation>
        <x14:dataValidation type="list" allowBlank="1" showInputMessage="1" showErrorMessage="1">
          <x14:formula1>
            <xm:f>[★2026년_databook_FS2팀_260507_최상근.xlsx]index!#REF!</xm:f>
          </x14:formula1>
          <xm:sqref>S728:S729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AA728:AB729</xm:sqref>
        </x14:dataValidation>
        <x14:dataValidation type="list" allowBlank="1" showInputMessage="1" showErrorMessage="1">
          <x14:formula1>
            <xm:f>[★2026년_databook_FS2팀_260507_최상근.xlsx]index!#REF!</xm:f>
          </x14:formula1>
          <xm:sqref>Z728:Z729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Y728:Y729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Q728:R729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51" customWidth="1"/>
    <col min="12" max="12" width="20.69921875" style="88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52"/>
      <c r="R1" s="53"/>
    </row>
    <row r="2" spans="1:18" ht="38.4" x14ac:dyDescent="0.4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 x14ac:dyDescent="0.4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 x14ac:dyDescent="0.4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 x14ac:dyDescent="0.4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 x14ac:dyDescent="0.4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 x14ac:dyDescent="0.4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 x14ac:dyDescent="0.4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 x14ac:dyDescent="0.4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 x14ac:dyDescent="0.4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 x14ac:dyDescent="0.4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 x14ac:dyDescent="0.4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 x14ac:dyDescent="0.4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 x14ac:dyDescent="0.4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 x14ac:dyDescent="0.4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 x14ac:dyDescent="0.4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 x14ac:dyDescent="0.4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 x14ac:dyDescent="0.4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 x14ac:dyDescent="0.4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 x14ac:dyDescent="0.4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 x14ac:dyDescent="0.4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 x14ac:dyDescent="0.4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 x14ac:dyDescent="0.4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 x14ac:dyDescent="0.4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 x14ac:dyDescent="0.4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 x14ac:dyDescent="0.4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 x14ac:dyDescent="0.4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 x14ac:dyDescent="0.4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 x14ac:dyDescent="0.4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 x14ac:dyDescent="0.4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 x14ac:dyDescent="0.4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 x14ac:dyDescent="0.4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 x14ac:dyDescent="0.4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 x14ac:dyDescent="0.4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 x14ac:dyDescent="0.4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 x14ac:dyDescent="0.4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 x14ac:dyDescent="0.4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 x14ac:dyDescent="0.4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 x14ac:dyDescent="0.4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 x14ac:dyDescent="0.4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 x14ac:dyDescent="0.4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 x14ac:dyDescent="0.4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 x14ac:dyDescent="0.4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 x14ac:dyDescent="0.4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 x14ac:dyDescent="0.4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 x14ac:dyDescent="0.4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 x14ac:dyDescent="0.4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 x14ac:dyDescent="0.4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 x14ac:dyDescent="0.4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 x14ac:dyDescent="0.4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 x14ac:dyDescent="0.4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 x14ac:dyDescent="0.4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 x14ac:dyDescent="0.4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 x14ac:dyDescent="0.4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 x14ac:dyDescent="0.4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 x14ac:dyDescent="0.4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 x14ac:dyDescent="0.4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 x14ac:dyDescent="0.4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 x14ac:dyDescent="0.4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 x14ac:dyDescent="0.4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 x14ac:dyDescent="0.4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 x14ac:dyDescent="0.4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 x14ac:dyDescent="0.4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 x14ac:dyDescent="0.4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 x14ac:dyDescent="0.4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 x14ac:dyDescent="0.4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 x14ac:dyDescent="0.4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 x14ac:dyDescent="0.4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 x14ac:dyDescent="0.4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 x14ac:dyDescent="0.4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 x14ac:dyDescent="0.4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 x14ac:dyDescent="0.4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 x14ac:dyDescent="0.4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 x14ac:dyDescent="0.4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 x14ac:dyDescent="0.4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 x14ac:dyDescent="0.4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 x14ac:dyDescent="0.4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 x14ac:dyDescent="0.4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 x14ac:dyDescent="0.4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 x14ac:dyDescent="0.4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 x14ac:dyDescent="0.4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 x14ac:dyDescent="0.4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 x14ac:dyDescent="0.4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 x14ac:dyDescent="0.4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 x14ac:dyDescent="0.4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 x14ac:dyDescent="0.4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 x14ac:dyDescent="0.4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 x14ac:dyDescent="0.4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 x14ac:dyDescent="0.4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 x14ac:dyDescent="0.4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 x14ac:dyDescent="0.4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 x14ac:dyDescent="0.4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 x14ac:dyDescent="0.4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 x14ac:dyDescent="0.4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 x14ac:dyDescent="0.4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 x14ac:dyDescent="0.4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 x14ac:dyDescent="0.4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 x14ac:dyDescent="0.4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 x14ac:dyDescent="0.4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 x14ac:dyDescent="0.4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 x14ac:dyDescent="0.4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 x14ac:dyDescent="0.4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 x14ac:dyDescent="0.4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 x14ac:dyDescent="0.4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 x14ac:dyDescent="0.4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 x14ac:dyDescent="0.4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 x14ac:dyDescent="0.4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 x14ac:dyDescent="0.4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 x14ac:dyDescent="0.4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 x14ac:dyDescent="0.4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 x14ac:dyDescent="0.4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 x14ac:dyDescent="0.4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 x14ac:dyDescent="0.4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 x14ac:dyDescent="0.4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 x14ac:dyDescent="0.4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 x14ac:dyDescent="0.4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 x14ac:dyDescent="0.4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 x14ac:dyDescent="0.4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 x14ac:dyDescent="0.4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 x14ac:dyDescent="0.4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 x14ac:dyDescent="0.4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 x14ac:dyDescent="0.4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 x14ac:dyDescent="0.4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 x14ac:dyDescent="0.4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 x14ac:dyDescent="0.4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 x14ac:dyDescent="0.4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 x14ac:dyDescent="0.4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 x14ac:dyDescent="0.4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 x14ac:dyDescent="0.4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 x14ac:dyDescent="0.4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 x14ac:dyDescent="0.4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 x14ac:dyDescent="0.4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 x14ac:dyDescent="0.4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 x14ac:dyDescent="0.4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 x14ac:dyDescent="0.4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 x14ac:dyDescent="0.4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 x14ac:dyDescent="0.4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 x14ac:dyDescent="0.4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 x14ac:dyDescent="0.4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 x14ac:dyDescent="0.4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 x14ac:dyDescent="0.4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 x14ac:dyDescent="0.4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 x14ac:dyDescent="0.4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 x14ac:dyDescent="0.4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 x14ac:dyDescent="0.4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 x14ac:dyDescent="0.4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 x14ac:dyDescent="0.4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 x14ac:dyDescent="0.4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 x14ac:dyDescent="0.4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95" customHeight="1" x14ac:dyDescent="0.4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 x14ac:dyDescent="0.4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 x14ac:dyDescent="0.4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 x14ac:dyDescent="0.4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 x14ac:dyDescent="0.4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 x14ac:dyDescent="0.4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 x14ac:dyDescent="0.4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 x14ac:dyDescent="0.4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 x14ac:dyDescent="0.4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 x14ac:dyDescent="0.4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 x14ac:dyDescent="0.4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 x14ac:dyDescent="0.4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 x14ac:dyDescent="0.4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 x14ac:dyDescent="0.4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 x14ac:dyDescent="0.4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 x14ac:dyDescent="0.4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 x14ac:dyDescent="0.4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 x14ac:dyDescent="0.4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 x14ac:dyDescent="0.4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 x14ac:dyDescent="0.4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 x14ac:dyDescent="0.4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 x14ac:dyDescent="0.4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 x14ac:dyDescent="0.4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 x14ac:dyDescent="0.4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 x14ac:dyDescent="0.4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 x14ac:dyDescent="0.4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 x14ac:dyDescent="0.4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 x14ac:dyDescent="0.4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 x14ac:dyDescent="0.4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 x14ac:dyDescent="0.4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 x14ac:dyDescent="0.4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 x14ac:dyDescent="0.4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 x14ac:dyDescent="0.4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 x14ac:dyDescent="0.4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 x14ac:dyDescent="0.4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 x14ac:dyDescent="0.4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 x14ac:dyDescent="0.4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 x14ac:dyDescent="0.4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 x14ac:dyDescent="0.4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 x14ac:dyDescent="0.4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 x14ac:dyDescent="0.4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 x14ac:dyDescent="0.4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 x14ac:dyDescent="0.4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 x14ac:dyDescent="0.4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 x14ac:dyDescent="0.4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 x14ac:dyDescent="0.4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 x14ac:dyDescent="0.4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 x14ac:dyDescent="0.4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 x14ac:dyDescent="0.4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 x14ac:dyDescent="0.4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 x14ac:dyDescent="0.4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 x14ac:dyDescent="0.4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 x14ac:dyDescent="0.4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 x14ac:dyDescent="0.4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 x14ac:dyDescent="0.4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 x14ac:dyDescent="0.4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 x14ac:dyDescent="0.4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 x14ac:dyDescent="0.4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 x14ac:dyDescent="0.4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 x14ac:dyDescent="0.4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 x14ac:dyDescent="0.4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 x14ac:dyDescent="0.4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 x14ac:dyDescent="0.4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 x14ac:dyDescent="0.4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 x14ac:dyDescent="0.4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 x14ac:dyDescent="0.4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 x14ac:dyDescent="0.4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 x14ac:dyDescent="0.4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 x14ac:dyDescent="0.4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 x14ac:dyDescent="0.4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 x14ac:dyDescent="0.4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 x14ac:dyDescent="0.4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 x14ac:dyDescent="0.4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 x14ac:dyDescent="0.4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 x14ac:dyDescent="0.4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 x14ac:dyDescent="0.4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 x14ac:dyDescent="0.4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 x14ac:dyDescent="0.4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 x14ac:dyDescent="0.4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 x14ac:dyDescent="0.4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 x14ac:dyDescent="0.4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 x14ac:dyDescent="0.4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 x14ac:dyDescent="0.4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 x14ac:dyDescent="0.4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 x14ac:dyDescent="0.4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 x14ac:dyDescent="0.4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 x14ac:dyDescent="0.4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 x14ac:dyDescent="0.4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 x14ac:dyDescent="0.4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 x14ac:dyDescent="0.4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 x14ac:dyDescent="0.4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 x14ac:dyDescent="0.4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 x14ac:dyDescent="0.4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 x14ac:dyDescent="0.4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 x14ac:dyDescent="0.4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 x14ac:dyDescent="0.4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 x14ac:dyDescent="0.4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6" max="16" width="10.59765625" customWidth="1"/>
    <col min="17" max="18" width="13.8984375" hidden="1" customWidth="1"/>
    <col min="19" max="19" width="16" hidden="1" customWidth="1"/>
    <col min="20" max="20" width="8.19921875" hidden="1" customWidth="1"/>
    <col min="21" max="21" width="8.69921875" hidden="1" customWidth="1"/>
    <col min="22" max="22" width="21.8984375" bestFit="1" customWidth="1"/>
    <col min="23" max="23" width="13.8984375" bestFit="1" customWidth="1"/>
    <col min="24" max="24" width="12.19921875" bestFit="1" customWidth="1"/>
  </cols>
  <sheetData>
    <row r="2" spans="2:26" ht="18" thickBot="1" x14ac:dyDescent="0.45"/>
    <row r="3" spans="2:26" ht="17.399999999999999" customHeight="1" x14ac:dyDescent="0.4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 x14ac:dyDescent="0.45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 x14ac:dyDescent="0.4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 x14ac:dyDescent="0.4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2" customHeight="1" x14ac:dyDescent="0.4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2" customHeight="1" x14ac:dyDescent="0.4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2" customHeight="1" x14ac:dyDescent="0.4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2" customHeight="1" x14ac:dyDescent="0.4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2" customHeight="1" x14ac:dyDescent="0.4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2" customHeight="1" x14ac:dyDescent="0.4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2" customHeight="1" x14ac:dyDescent="0.4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2" customHeight="1" x14ac:dyDescent="0.4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2" hidden="1" customHeight="1" x14ac:dyDescent="0.4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2" customHeight="1" x14ac:dyDescent="0.4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2" customHeight="1" thickBot="1" x14ac:dyDescent="0.45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2" customHeight="1" x14ac:dyDescent="0.4">
      <c r="N18" s="109"/>
      <c r="P18" s="124"/>
      <c r="Q18" s="89"/>
      <c r="R18" s="89"/>
      <c r="T18" s="110"/>
    </row>
    <row r="19" spans="2:26" ht="31.2" customHeight="1" x14ac:dyDescent="0.4">
      <c r="J19" s="109"/>
      <c r="Q19" s="109"/>
      <c r="S19" s="110"/>
    </row>
    <row r="20" spans="2:26" x14ac:dyDescent="0.4">
      <c r="F20" s="125"/>
      <c r="J20" s="125"/>
      <c r="M20" s="126"/>
      <c r="N20" s="109"/>
      <c r="Q20" s="124"/>
      <c r="R20" s="89"/>
      <c r="T20" s="110"/>
    </row>
    <row r="21" spans="2:26" x14ac:dyDescent="0.4">
      <c r="K21" s="126"/>
      <c r="N21" s="109"/>
    </row>
    <row r="22" spans="2:26" x14ac:dyDescent="0.4">
      <c r="E22" s="125"/>
      <c r="J22" s="125"/>
      <c r="M22" s="126"/>
      <c r="N22" s="109"/>
    </row>
    <row r="23" spans="2:26" x14ac:dyDescent="0.4">
      <c r="N23" s="109"/>
    </row>
    <row r="24" spans="2:26" x14ac:dyDescent="0.4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5" t="s">
        <v>397</v>
      </c>
    </row>
    <row r="3" spans="2:20" x14ac:dyDescent="0.4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 x14ac:dyDescent="0.4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 x14ac:dyDescent="0.4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 x14ac:dyDescent="0.4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 x14ac:dyDescent="0.4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 x14ac:dyDescent="0.4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 x14ac:dyDescent="0.4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 x14ac:dyDescent="0.4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 x14ac:dyDescent="0.4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 x14ac:dyDescent="0.4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 x14ac:dyDescent="0.4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 x14ac:dyDescent="0.4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 x14ac:dyDescent="0.4">
      <c r="I16" s="36"/>
    </row>
    <row r="17" spans="16:16" x14ac:dyDescent="0.4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 x14ac:dyDescent="0.4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 x14ac:dyDescent="0.4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 x14ac:dyDescent="0.4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 x14ac:dyDescent="0.4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 x14ac:dyDescent="0.4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 x14ac:dyDescent="0.4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 x14ac:dyDescent="0.4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 x14ac:dyDescent="0.4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 x14ac:dyDescent="0.4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 x14ac:dyDescent="0.4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 x14ac:dyDescent="0.4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 x14ac:dyDescent="0.4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 x14ac:dyDescent="0.4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 x14ac:dyDescent="0.4">
      <c r="B17" s="165"/>
      <c r="E17" s="166"/>
      <c r="I17" s="166"/>
      <c r="M17" s="166"/>
    </row>
    <row r="18" spans="2:13" x14ac:dyDescent="0.4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.399999999999999" x14ac:dyDescent="0.4"/>
  <cols>
    <col min="1" max="1" width="24.59765625" customWidth="1"/>
    <col min="2" max="2" width="17.8984375" style="3" customWidth="1"/>
    <col min="3" max="4" width="16.59765625" style="3" customWidth="1"/>
    <col min="5" max="5" width="17.8984375" style="3" customWidth="1"/>
    <col min="6" max="9" width="16.59765625" style="3" bestFit="1" customWidth="1"/>
    <col min="10" max="13" width="16.59765625" style="3" customWidth="1"/>
    <col min="14" max="14" width="24.59765625" style="3" customWidth="1"/>
  </cols>
  <sheetData>
    <row r="3" spans="1:14" x14ac:dyDescent="0.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 x14ac:dyDescent="0.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 x14ac:dyDescent="0.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 x14ac:dyDescent="0.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 x14ac:dyDescent="0.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 x14ac:dyDescent="0.4">
      <c r="A10" s="247" t="s">
        <v>658</v>
      </c>
      <c r="B10" s="247" t="s">
        <v>359</v>
      </c>
      <c r="C10"/>
      <c r="D10"/>
      <c r="E10"/>
    </row>
    <row r="11" spans="1:14" x14ac:dyDescent="0.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 x14ac:dyDescent="0.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 x14ac:dyDescent="0.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 x14ac:dyDescent="0.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 x14ac:dyDescent="0.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 x14ac:dyDescent="0.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 x14ac:dyDescent="0.4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 x14ac:dyDescent="0.4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 x14ac:dyDescent="0.4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 x14ac:dyDescent="0.4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 x14ac:dyDescent="0.4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 x14ac:dyDescent="0.4">
      <c r="B22"/>
      <c r="C22"/>
      <c r="D22"/>
      <c r="E22"/>
    </row>
    <row r="23" spans="1:5" x14ac:dyDescent="0.4">
      <c r="B23"/>
      <c r="C23"/>
      <c r="D23"/>
      <c r="E23"/>
    </row>
    <row r="25" spans="1:5" x14ac:dyDescent="0.4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.399999999999999" x14ac:dyDescent="0.4"/>
  <cols>
    <col min="1" max="1" width="3.5" style="16" customWidth="1"/>
    <col min="2" max="3" width="12.69921875" style="16" customWidth="1"/>
    <col min="4" max="4" width="12.69921875" style="17" customWidth="1"/>
    <col min="5" max="6" width="8" style="16"/>
    <col min="7" max="7" width="14.59765625" style="16" bestFit="1" customWidth="1"/>
    <col min="8" max="8" width="14.3984375" style="16" bestFit="1" customWidth="1"/>
    <col min="9" max="9" width="8.19921875" style="16" bestFit="1" customWidth="1"/>
    <col min="10" max="10" width="32" style="16" bestFit="1" customWidth="1"/>
    <col min="11" max="11" width="34.09765625" style="16" bestFit="1" customWidth="1"/>
    <col min="12" max="12" width="13.3984375" style="16" bestFit="1" customWidth="1"/>
    <col min="13" max="13" width="13" style="16" bestFit="1" customWidth="1"/>
    <col min="14" max="14" width="25.59765625" style="16" bestFit="1" customWidth="1"/>
    <col min="15" max="16384" width="8" style="16"/>
  </cols>
  <sheetData>
    <row r="1" spans="2:14" x14ac:dyDescent="0.4">
      <c r="B1" s="15">
        <f>SUBTOTAL(3,B3:B41)</f>
        <v>39</v>
      </c>
    </row>
    <row r="2" spans="2:14" x14ac:dyDescent="0.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 x14ac:dyDescent="0.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 x14ac:dyDescent="0.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 x14ac:dyDescent="0.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 x14ac:dyDescent="0.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 x14ac:dyDescent="0.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 x14ac:dyDescent="0.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 x14ac:dyDescent="0.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 x14ac:dyDescent="0.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 x14ac:dyDescent="0.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 x14ac:dyDescent="0.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 x14ac:dyDescent="0.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 x14ac:dyDescent="0.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 x14ac:dyDescent="0.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 x14ac:dyDescent="0.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 x14ac:dyDescent="0.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 x14ac:dyDescent="0.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 x14ac:dyDescent="0.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 x14ac:dyDescent="0.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 x14ac:dyDescent="0.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 x14ac:dyDescent="0.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 x14ac:dyDescent="0.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 x14ac:dyDescent="0.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 x14ac:dyDescent="0.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 x14ac:dyDescent="0.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 x14ac:dyDescent="0.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 x14ac:dyDescent="0.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 x14ac:dyDescent="0.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 x14ac:dyDescent="0.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 x14ac:dyDescent="0.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 x14ac:dyDescent="0.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 x14ac:dyDescent="0.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 x14ac:dyDescent="0.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 x14ac:dyDescent="0.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 x14ac:dyDescent="0.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 x14ac:dyDescent="0.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 x14ac:dyDescent="0.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 x14ac:dyDescent="0.4">
      <c r="B39" s="20" t="s">
        <v>270</v>
      </c>
      <c r="C39" s="20" t="s">
        <v>649</v>
      </c>
      <c r="D39" s="21"/>
    </row>
    <row r="40" spans="2:14" x14ac:dyDescent="0.4">
      <c r="B40" s="20" t="s">
        <v>274</v>
      </c>
      <c r="C40" s="20" t="s">
        <v>649</v>
      </c>
      <c r="D40" s="21"/>
    </row>
    <row r="41" spans="2:14" x14ac:dyDescent="0.4">
      <c r="B41" s="20" t="s">
        <v>650</v>
      </c>
      <c r="C41" s="20" t="s">
        <v>649</v>
      </c>
      <c r="D41" s="21"/>
    </row>
    <row r="42" spans="2:14" x14ac:dyDescent="0.4">
      <c r="B42" s="20" t="s">
        <v>651</v>
      </c>
      <c r="C42" s="20" t="s">
        <v>649</v>
      </c>
      <c r="D42" s="21"/>
    </row>
    <row r="43" spans="2:14" x14ac:dyDescent="0.4">
      <c r="B43" s="20" t="s">
        <v>652</v>
      </c>
      <c r="C43" s="20" t="s">
        <v>652</v>
      </c>
      <c r="D43" s="21"/>
    </row>
    <row r="44" spans="2:14" x14ac:dyDescent="0.4">
      <c r="B44" s="20" t="s">
        <v>159</v>
      </c>
      <c r="C44" s="20" t="s">
        <v>137</v>
      </c>
      <c r="D44" s="21"/>
    </row>
    <row r="45" spans="2:14" x14ac:dyDescent="0.4">
      <c r="B45" s="20" t="s">
        <v>535</v>
      </c>
      <c r="C45" s="20" t="s">
        <v>92</v>
      </c>
      <c r="D45" s="21"/>
    </row>
    <row r="46" spans="2:14" x14ac:dyDescent="0.4">
      <c r="B46" s="20" t="s">
        <v>653</v>
      </c>
      <c r="C46" s="20" t="s">
        <v>17</v>
      </c>
      <c r="D46" s="21"/>
    </row>
    <row r="47" spans="2:14" x14ac:dyDescent="0.4">
      <c r="B47" s="20" t="s">
        <v>654</v>
      </c>
      <c r="C47" s="20" t="s">
        <v>71</v>
      </c>
      <c r="D47" s="21"/>
    </row>
    <row r="48" spans="2:14" x14ac:dyDescent="0.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 x14ac:dyDescent="0.4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 x14ac:dyDescent="0.4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 x14ac:dyDescent="0.4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 x14ac:dyDescent="0.4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 x14ac:dyDescent="0.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 x14ac:dyDescent="0.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 x14ac:dyDescent="0.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 x14ac:dyDescent="0.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 x14ac:dyDescent="0.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 x14ac:dyDescent="0.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 x14ac:dyDescent="0.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 x14ac:dyDescent="0.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 x14ac:dyDescent="0.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 x14ac:dyDescent="0.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 x14ac:dyDescent="0.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 x14ac:dyDescent="0.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 x14ac:dyDescent="0.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 x14ac:dyDescent="0.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 x14ac:dyDescent="0.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 x14ac:dyDescent="0.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 x14ac:dyDescent="0.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 x14ac:dyDescent="0.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 x14ac:dyDescent="0.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 x14ac:dyDescent="0.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 x14ac:dyDescent="0.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 x14ac:dyDescent="0.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 x14ac:dyDescent="0.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 x14ac:dyDescent="0.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 x14ac:dyDescent="0.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 x14ac:dyDescent="0.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 x14ac:dyDescent="0.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 x14ac:dyDescent="0.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 x14ac:dyDescent="0.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 x14ac:dyDescent="0.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 x14ac:dyDescent="0.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 x14ac:dyDescent="0.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 x14ac:dyDescent="0.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 x14ac:dyDescent="0.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 x14ac:dyDescent="0.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 x14ac:dyDescent="0.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 x14ac:dyDescent="0.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 x14ac:dyDescent="0.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 x14ac:dyDescent="0.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 x14ac:dyDescent="0.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 x14ac:dyDescent="0.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 x14ac:dyDescent="0.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 x14ac:dyDescent="0.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 x14ac:dyDescent="0.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 x14ac:dyDescent="0.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 x14ac:dyDescent="0.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 x14ac:dyDescent="0.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 x14ac:dyDescent="0.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 x14ac:dyDescent="0.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 x14ac:dyDescent="0.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 x14ac:dyDescent="0.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 x14ac:dyDescent="0.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 x14ac:dyDescent="0.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 x14ac:dyDescent="0.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 x14ac:dyDescent="0.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 x14ac:dyDescent="0.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 x14ac:dyDescent="0.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 x14ac:dyDescent="0.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 x14ac:dyDescent="0.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 x14ac:dyDescent="0.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 x14ac:dyDescent="0.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 x14ac:dyDescent="0.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 x14ac:dyDescent="0.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 x14ac:dyDescent="0.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 x14ac:dyDescent="0.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 x14ac:dyDescent="0.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 x14ac:dyDescent="0.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 x14ac:dyDescent="0.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 x14ac:dyDescent="0.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 x14ac:dyDescent="0.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 x14ac:dyDescent="0.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 x14ac:dyDescent="0.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 x14ac:dyDescent="0.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 x14ac:dyDescent="0.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 x14ac:dyDescent="0.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 x14ac:dyDescent="0.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 x14ac:dyDescent="0.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 x14ac:dyDescent="0.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 x14ac:dyDescent="0.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 x14ac:dyDescent="0.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 x14ac:dyDescent="0.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 x14ac:dyDescent="0.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 x14ac:dyDescent="0.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 x14ac:dyDescent="0.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 x14ac:dyDescent="0.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 x14ac:dyDescent="0.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 x14ac:dyDescent="0.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 x14ac:dyDescent="0.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 x14ac:dyDescent="0.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 x14ac:dyDescent="0.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 x14ac:dyDescent="0.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 x14ac:dyDescent="0.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 x14ac:dyDescent="0.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 x14ac:dyDescent="0.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 x14ac:dyDescent="0.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 x14ac:dyDescent="0.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 x14ac:dyDescent="0.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 x14ac:dyDescent="0.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 x14ac:dyDescent="0.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 x14ac:dyDescent="0.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 x14ac:dyDescent="0.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 x14ac:dyDescent="0.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 x14ac:dyDescent="0.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 x14ac:dyDescent="0.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 x14ac:dyDescent="0.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 x14ac:dyDescent="0.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 x14ac:dyDescent="0.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 x14ac:dyDescent="0.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 x14ac:dyDescent="0.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 x14ac:dyDescent="0.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 x14ac:dyDescent="0.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 x14ac:dyDescent="0.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 x14ac:dyDescent="0.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 x14ac:dyDescent="0.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 x14ac:dyDescent="0.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 x14ac:dyDescent="0.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 x14ac:dyDescent="0.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 x14ac:dyDescent="0.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 x14ac:dyDescent="0.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 x14ac:dyDescent="0.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 x14ac:dyDescent="0.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 x14ac:dyDescent="0.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 x14ac:dyDescent="0.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 x14ac:dyDescent="0.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 x14ac:dyDescent="0.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 x14ac:dyDescent="0.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 x14ac:dyDescent="0.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 x14ac:dyDescent="0.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 x14ac:dyDescent="0.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 x14ac:dyDescent="0.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 x14ac:dyDescent="0.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 x14ac:dyDescent="0.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 x14ac:dyDescent="0.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 x14ac:dyDescent="0.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 x14ac:dyDescent="0.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 x14ac:dyDescent="0.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 x14ac:dyDescent="0.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 x14ac:dyDescent="0.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 x14ac:dyDescent="0.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 x14ac:dyDescent="0.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 x14ac:dyDescent="0.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 x14ac:dyDescent="0.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 x14ac:dyDescent="0.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 x14ac:dyDescent="0.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 x14ac:dyDescent="0.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 x14ac:dyDescent="0.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 x14ac:dyDescent="0.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 x14ac:dyDescent="0.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 x14ac:dyDescent="0.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 x14ac:dyDescent="0.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 x14ac:dyDescent="0.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 x14ac:dyDescent="0.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 x14ac:dyDescent="0.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 x14ac:dyDescent="0.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 x14ac:dyDescent="0.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 x14ac:dyDescent="0.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 x14ac:dyDescent="0.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 x14ac:dyDescent="0.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 x14ac:dyDescent="0.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 x14ac:dyDescent="0.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 x14ac:dyDescent="0.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 x14ac:dyDescent="0.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 x14ac:dyDescent="0.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 x14ac:dyDescent="0.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 x14ac:dyDescent="0.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 x14ac:dyDescent="0.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 x14ac:dyDescent="0.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 x14ac:dyDescent="0.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 x14ac:dyDescent="0.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 x14ac:dyDescent="0.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 x14ac:dyDescent="0.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 x14ac:dyDescent="0.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 x14ac:dyDescent="0.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 x14ac:dyDescent="0.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 x14ac:dyDescent="0.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 x14ac:dyDescent="0.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 x14ac:dyDescent="0.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 x14ac:dyDescent="0.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</cp:lastModifiedBy>
  <dcterms:created xsi:type="dcterms:W3CDTF">2024-10-29T06:57:50Z</dcterms:created>
  <dcterms:modified xsi:type="dcterms:W3CDTF">2026-05-03T23:42:04Z</dcterms:modified>
</cp:coreProperties>
</file>